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551D8B12-4B4E-45C8-B375-A4E933282AFC}" xr6:coauthVersionLast="47" xr6:coauthVersionMax="47" xr10:uidLastSave="{00000000-0000-0000-0000-000000000000}"/>
  <workbookProtection workbookAlgorithmName="SHA-512" workbookHashValue="PqN3wliC5GJ8um7Y/T4seekygL2RD4lVT00c4f60ZneVn/SIYy7mKLSGm2AipIjnw+lKl/GNirqLwevfyQLQyQ==" workbookSaltValue="bbwQsOn4X5NORVK2dd8bFQ==" workbookSpinCount="100000" lockStructure="1"/>
  <bookViews>
    <workbookView xWindow="-120" yWindow="-120" windowWidth="20730" windowHeight="11760" xr2:uid="{E168B714-CCCE-4DF0-BA10-7EA2B77A61A7}"/>
  </bookViews>
  <sheets>
    <sheet name="XL-Test" sheetId="1" r:id="rId1"/>
    <sheet name="About" sheetId="4" r:id="rId2"/>
    <sheet name="DF" sheetId="2" state="veryHidden" r:id="rId3"/>
  </sheets>
  <externalReferences>
    <externalReference r:id="rId4"/>
  </externalReferences>
  <definedNames>
    <definedName name="kode_jawaban">DF!$C$37</definedName>
    <definedName name="old">[1]DF!$C$66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1" l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J48" i="1"/>
  <c r="K48" i="1"/>
  <c r="I48" i="1"/>
  <c r="H48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73" i="1"/>
  <c r="N49" i="1"/>
  <c r="O49" i="1"/>
  <c r="N50" i="1"/>
  <c r="O50" i="1"/>
  <c r="N51" i="1"/>
  <c r="O51" i="1"/>
  <c r="N52" i="1"/>
  <c r="O52" i="1"/>
  <c r="N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O48" i="1"/>
  <c r="N48" i="1"/>
  <c r="N41" i="2" a="1"/>
  <c r="N41" i="2" s="1"/>
  <c r="I41" i="2" a="1"/>
  <c r="I41" i="2" s="1"/>
  <c r="O5" i="2"/>
  <c r="O4" i="2"/>
  <c r="O3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L6" i="2"/>
  <c r="L5" i="2"/>
  <c r="L4" i="2"/>
  <c r="L3" i="2"/>
  <c r="K3" i="2"/>
  <c r="O64" i="2"/>
  <c r="P64" i="2"/>
  <c r="Q64" i="2"/>
  <c r="O65" i="2"/>
  <c r="P65" i="2"/>
  <c r="Q65" i="2"/>
  <c r="O66" i="2"/>
  <c r="P66" i="2"/>
  <c r="Q66" i="2"/>
  <c r="O67" i="2"/>
  <c r="P67" i="2"/>
  <c r="Q67" i="2"/>
  <c r="O68" i="2"/>
  <c r="P68" i="2"/>
  <c r="Q68" i="2"/>
  <c r="O69" i="2"/>
  <c r="P69" i="2"/>
  <c r="Q69" i="2"/>
  <c r="O70" i="2"/>
  <c r="P70" i="2"/>
  <c r="Q70" i="2"/>
  <c r="O71" i="2"/>
  <c r="P71" i="2"/>
  <c r="Q71" i="2"/>
  <c r="O72" i="2"/>
  <c r="P72" i="2"/>
  <c r="Q72" i="2"/>
  <c r="O73" i="2"/>
  <c r="P73" i="2"/>
  <c r="Q73" i="2"/>
  <c r="O74" i="2"/>
  <c r="P74" i="2"/>
  <c r="Q74" i="2"/>
  <c r="O75" i="2"/>
  <c r="P75" i="2"/>
  <c r="Q75" i="2"/>
  <c r="O76" i="2"/>
  <c r="P76" i="2"/>
  <c r="Q76" i="2"/>
  <c r="O77" i="2"/>
  <c r="P77" i="2"/>
  <c r="Q77" i="2"/>
  <c r="O78" i="2"/>
  <c r="P78" i="2"/>
  <c r="Q78" i="2"/>
  <c r="O79" i="2"/>
  <c r="P79" i="2"/>
  <c r="Q79" i="2"/>
  <c r="O80" i="2"/>
  <c r="P80" i="2"/>
  <c r="Q80" i="2"/>
  <c r="O81" i="2"/>
  <c r="P81" i="2"/>
  <c r="Q81" i="2"/>
  <c r="O82" i="2"/>
  <c r="P82" i="2"/>
  <c r="Q82" i="2"/>
  <c r="O83" i="2"/>
  <c r="P83" i="2"/>
  <c r="Q83" i="2"/>
  <c r="J64" i="2"/>
  <c r="K64" i="2"/>
  <c r="L64" i="2"/>
  <c r="M64" i="2"/>
  <c r="N64" i="2"/>
  <c r="J65" i="2"/>
  <c r="K65" i="2"/>
  <c r="L65" i="2"/>
  <c r="M65" i="2"/>
  <c r="N65" i="2"/>
  <c r="J66" i="2"/>
  <c r="K66" i="2"/>
  <c r="L66" i="2"/>
  <c r="M66" i="2"/>
  <c r="N66" i="2"/>
  <c r="J67" i="2"/>
  <c r="K67" i="2"/>
  <c r="L67" i="2"/>
  <c r="M67" i="2"/>
  <c r="N67" i="2"/>
  <c r="J68" i="2"/>
  <c r="K68" i="2"/>
  <c r="L68" i="2"/>
  <c r="M68" i="2"/>
  <c r="N68" i="2"/>
  <c r="J69" i="2"/>
  <c r="K69" i="2"/>
  <c r="L69" i="2"/>
  <c r="M69" i="2"/>
  <c r="N69" i="2"/>
  <c r="J70" i="2"/>
  <c r="K70" i="2"/>
  <c r="L70" i="2"/>
  <c r="M70" i="2"/>
  <c r="N70" i="2"/>
  <c r="J71" i="2"/>
  <c r="K71" i="2"/>
  <c r="L71" i="2"/>
  <c r="M71" i="2"/>
  <c r="N71" i="2"/>
  <c r="J72" i="2"/>
  <c r="K72" i="2"/>
  <c r="L72" i="2"/>
  <c r="M72" i="2"/>
  <c r="N72" i="2"/>
  <c r="J73" i="2"/>
  <c r="K73" i="2"/>
  <c r="L73" i="2"/>
  <c r="M73" i="2"/>
  <c r="N73" i="2"/>
  <c r="J74" i="2"/>
  <c r="K74" i="2"/>
  <c r="L74" i="2"/>
  <c r="M74" i="2"/>
  <c r="N74" i="2"/>
  <c r="J75" i="2"/>
  <c r="K75" i="2"/>
  <c r="L75" i="2"/>
  <c r="M75" i="2"/>
  <c r="N75" i="2"/>
  <c r="J76" i="2"/>
  <c r="K76" i="2"/>
  <c r="L76" i="2"/>
  <c r="M76" i="2"/>
  <c r="N76" i="2"/>
  <c r="J77" i="2"/>
  <c r="K77" i="2"/>
  <c r="L77" i="2"/>
  <c r="M77" i="2"/>
  <c r="N77" i="2"/>
  <c r="J78" i="2"/>
  <c r="K78" i="2"/>
  <c r="L78" i="2"/>
  <c r="M78" i="2"/>
  <c r="N78" i="2"/>
  <c r="J79" i="2"/>
  <c r="K79" i="2"/>
  <c r="L79" i="2"/>
  <c r="M79" i="2"/>
  <c r="N79" i="2"/>
  <c r="J80" i="2"/>
  <c r="K80" i="2"/>
  <c r="L80" i="2"/>
  <c r="M80" i="2"/>
  <c r="N80" i="2"/>
  <c r="J81" i="2"/>
  <c r="K81" i="2"/>
  <c r="L81" i="2"/>
  <c r="M81" i="2"/>
  <c r="N81" i="2"/>
  <c r="J82" i="2"/>
  <c r="K82" i="2"/>
  <c r="L82" i="2"/>
  <c r="M82" i="2"/>
  <c r="N82" i="2"/>
  <c r="J83" i="2"/>
  <c r="K83" i="2"/>
  <c r="L83" i="2"/>
  <c r="M83" i="2"/>
  <c r="N8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64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C31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C30" i="2"/>
  <c r="J3" i="2"/>
  <c r="P3" i="2"/>
  <c r="J4" i="2"/>
  <c r="P4" i="2"/>
  <c r="J5" i="2"/>
  <c r="P5" i="2"/>
  <c r="J6" i="2"/>
  <c r="P6" i="2"/>
  <c r="J7" i="2"/>
  <c r="P7" i="2"/>
  <c r="J8" i="2"/>
  <c r="P8" i="2"/>
  <c r="J9" i="2"/>
  <c r="P9" i="2"/>
  <c r="J10" i="2"/>
  <c r="P10" i="2"/>
  <c r="J11" i="2"/>
  <c r="P11" i="2"/>
  <c r="J12" i="2"/>
  <c r="P12" i="2"/>
  <c r="J13" i="2"/>
  <c r="P13" i="2"/>
  <c r="J14" i="2"/>
  <c r="P14" i="2"/>
  <c r="P15" i="2"/>
  <c r="P16" i="2"/>
  <c r="P17" i="2"/>
  <c r="P18" i="2"/>
  <c r="P19" i="2"/>
  <c r="P20" i="2"/>
  <c r="P21" i="2"/>
  <c r="D41" i="2" a="1"/>
  <c r="D41" i="2" s="1"/>
  <c r="E41" i="2" a="1"/>
  <c r="E41" i="2" s="1"/>
  <c r="F41" i="2" a="1"/>
  <c r="F41" i="2" s="1"/>
  <c r="G41" i="2" a="1"/>
  <c r="G41" i="2" s="1"/>
  <c r="H41" i="2" a="1"/>
  <c r="H41" i="2" s="1"/>
  <c r="J41" i="2" a="1"/>
  <c r="J41" i="2" s="1"/>
  <c r="K41" i="2" a="1"/>
  <c r="K41" i="2" s="1"/>
  <c r="L41" i="2" a="1"/>
  <c r="L41" i="2" s="1"/>
  <c r="M41" i="2" a="1"/>
  <c r="M41" i="2" s="1"/>
  <c r="O41" i="2" a="1"/>
  <c r="O41" i="2" s="1"/>
  <c r="P41" i="2" a="1"/>
  <c r="P41" i="2" s="1"/>
  <c r="Q41" i="2" a="1"/>
  <c r="Q41" i="2" s="1"/>
  <c r="C41" i="2" a="1"/>
  <c r="C41" i="2" s="1"/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O9" i="2"/>
  <c r="O8" i="2"/>
  <c r="O7" i="2"/>
  <c r="O6" i="2"/>
  <c r="O10" i="2"/>
  <c r="O11" i="2"/>
  <c r="O12" i="2"/>
  <c r="O13" i="2"/>
  <c r="O14" i="2"/>
  <c r="O15" i="2"/>
  <c r="O16" i="2"/>
  <c r="O17" i="2"/>
  <c r="O18" i="2"/>
  <c r="O19" i="2"/>
  <c r="O20" i="2"/>
  <c r="O21" i="2"/>
  <c r="N2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15" i="2"/>
  <c r="J18" i="2"/>
  <c r="J19" i="2"/>
  <c r="J16" i="2"/>
  <c r="J17" i="2"/>
  <c r="J20" i="2"/>
  <c r="J21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26" i="2" s="1"/>
  <c r="O53" i="1"/>
  <c r="H7" i="2" s="1"/>
  <c r="G21" i="2"/>
  <c r="G20" i="2"/>
  <c r="G19" i="2"/>
  <c r="G18" i="2"/>
  <c r="G17" i="2"/>
  <c r="G16" i="2"/>
  <c r="G15" i="2"/>
  <c r="G14" i="2"/>
  <c r="G12" i="2"/>
  <c r="G11" i="2"/>
  <c r="G10" i="2"/>
  <c r="G9" i="2"/>
  <c r="G7" i="2"/>
  <c r="G6" i="2"/>
  <c r="G4" i="2"/>
  <c r="H4" i="2"/>
  <c r="H6" i="2"/>
  <c r="H9" i="2"/>
  <c r="H10" i="2"/>
  <c r="H11" i="2"/>
  <c r="H12" i="2"/>
  <c r="H14" i="2"/>
  <c r="H15" i="2"/>
  <c r="H16" i="2"/>
  <c r="H17" i="2"/>
  <c r="H18" i="2"/>
  <c r="H19" i="2"/>
  <c r="H20" i="2"/>
  <c r="H21" i="2"/>
  <c r="F3" i="2"/>
  <c r="E3" i="2"/>
  <c r="C3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14" i="2"/>
  <c r="E13" i="2"/>
  <c r="E12" i="2"/>
  <c r="E11" i="2"/>
  <c r="E10" i="2"/>
  <c r="E9" i="2"/>
  <c r="E8" i="2"/>
  <c r="E7" i="2"/>
  <c r="E6" i="2"/>
  <c r="E5" i="2"/>
  <c r="E4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O85" i="2"/>
  <c r="O86" i="2" s="1"/>
  <c r="P85" i="2"/>
  <c r="P86" i="2" s="1"/>
  <c r="P88" i="2"/>
  <c r="Q85" i="2"/>
  <c r="Q86" i="2" s="1"/>
  <c r="Q88" i="2"/>
  <c r="J85" i="2"/>
  <c r="J86" i="2" s="1"/>
  <c r="J88" i="2"/>
  <c r="K85" i="2"/>
  <c r="K86" i="2" s="1"/>
  <c r="K88" i="2"/>
  <c r="L85" i="2"/>
  <c r="L86" i="2" s="1"/>
  <c r="L88" i="2"/>
  <c r="M85" i="2"/>
  <c r="M86" i="2" s="1"/>
  <c r="M88" i="2"/>
  <c r="N85" i="2"/>
  <c r="N86" i="2" s="1"/>
  <c r="N88" i="2"/>
  <c r="N90" i="2" s="1"/>
  <c r="H85" i="2"/>
  <c r="H86" i="2" s="1"/>
  <c r="H88" i="2"/>
  <c r="I85" i="2"/>
  <c r="I86" i="2" s="1"/>
  <c r="I88" i="2"/>
  <c r="G85" i="2"/>
  <c r="G86" i="2" s="1"/>
  <c r="G88" i="2"/>
  <c r="F85" i="2"/>
  <c r="F86" i="2" s="1"/>
  <c r="F88" i="2"/>
  <c r="D85" i="2"/>
  <c r="D86" i="2" s="1"/>
  <c r="D88" i="2"/>
  <c r="E85" i="2"/>
  <c r="E86" i="2" s="1"/>
  <c r="E88" i="2"/>
  <c r="C85" i="2"/>
  <c r="C86" i="2" s="1"/>
  <c r="C88" i="2"/>
  <c r="N26" i="2"/>
  <c r="N23" i="2"/>
  <c r="Q2" i="2"/>
  <c r="P2" i="2"/>
  <c r="O2" i="2"/>
  <c r="L2" i="2"/>
  <c r="K2" i="2"/>
  <c r="J2" i="2"/>
  <c r="G3" i="2"/>
  <c r="H3" i="2"/>
  <c r="G5" i="2"/>
  <c r="H5" i="2"/>
  <c r="G8" i="2"/>
  <c r="H8" i="2"/>
  <c r="H13" i="2"/>
  <c r="G13" i="2"/>
  <c r="H2" i="2"/>
  <c r="G2" i="2"/>
  <c r="F2" i="2"/>
  <c r="E2" i="2"/>
  <c r="D2" i="2"/>
  <c r="C2" i="2"/>
  <c r="N49" i="2"/>
  <c r="N40" i="2"/>
  <c r="N59" i="2" s="1"/>
  <c r="N61" i="2" s="1"/>
  <c r="N34" i="2" s="1"/>
  <c r="I53" i="2"/>
  <c r="I40" i="2"/>
  <c r="I59" i="2" s="1"/>
  <c r="I61" i="2" s="1"/>
  <c r="I34" i="2" s="1"/>
  <c r="D43" i="2"/>
  <c r="D40" i="2"/>
  <c r="D59" i="2" s="1"/>
  <c r="D61" i="2" s="1"/>
  <c r="D34" i="2" s="1"/>
  <c r="E45" i="2"/>
  <c r="E40" i="2"/>
  <c r="E59" i="2" s="1"/>
  <c r="E61" i="2" s="1"/>
  <c r="E34" i="2" s="1"/>
  <c r="F47" i="2"/>
  <c r="F40" i="2"/>
  <c r="F59" i="2" s="1"/>
  <c r="F61" i="2" s="1"/>
  <c r="F34" i="2" s="1"/>
  <c r="G49" i="2"/>
  <c r="G40" i="2"/>
  <c r="G59" i="2" s="1"/>
  <c r="G61" i="2" s="1"/>
  <c r="G34" i="2" s="1"/>
  <c r="H51" i="2"/>
  <c r="H40" i="2"/>
  <c r="H59" i="2" s="1"/>
  <c r="H61" i="2" s="1"/>
  <c r="H34" i="2" s="1"/>
  <c r="J55" i="2"/>
  <c r="J40" i="2"/>
  <c r="J59" i="2" s="1"/>
  <c r="J61" i="2" s="1"/>
  <c r="J34" i="2" s="1"/>
  <c r="K43" i="2"/>
  <c r="K40" i="2"/>
  <c r="K59" i="2" s="1"/>
  <c r="K61" i="2" s="1"/>
  <c r="K34" i="2" s="1"/>
  <c r="L45" i="2"/>
  <c r="L40" i="2"/>
  <c r="L59" i="2" s="1"/>
  <c r="L61" i="2" s="1"/>
  <c r="L34" i="2" s="1"/>
  <c r="M47" i="2"/>
  <c r="M40" i="2"/>
  <c r="M59" i="2" s="1"/>
  <c r="M61" i="2" s="1"/>
  <c r="M34" i="2" s="1"/>
  <c r="O51" i="2"/>
  <c r="O40" i="2"/>
  <c r="O59" i="2" s="1"/>
  <c r="O61" i="2" s="1"/>
  <c r="O34" i="2" s="1"/>
  <c r="P53" i="2"/>
  <c r="P40" i="2"/>
  <c r="P59" i="2" s="1"/>
  <c r="P61" i="2" s="1"/>
  <c r="P34" i="2" s="1"/>
  <c r="Q55" i="2"/>
  <c r="Q40" i="2"/>
  <c r="Q59" i="2" s="1"/>
  <c r="Q61" i="2" s="1"/>
  <c r="Q34" i="2" s="1"/>
  <c r="C46" i="2"/>
  <c r="C40" i="2"/>
  <c r="C59" i="2" s="1"/>
  <c r="C61" i="2" s="1"/>
  <c r="C34" i="2" s="1"/>
  <c r="O88" i="2" l="1"/>
  <c r="O90" i="2" s="1"/>
  <c r="I23" i="2"/>
  <c r="C90" i="2"/>
  <c r="Q90" i="2"/>
  <c r="Q27" i="2" s="1"/>
  <c r="P90" i="2"/>
  <c r="P27" i="2" s="1"/>
  <c r="K90" i="2"/>
  <c r="K27" i="2" s="1"/>
  <c r="L90" i="2"/>
  <c r="L27" i="2" s="1"/>
  <c r="H90" i="2"/>
  <c r="H27" i="2" s="1"/>
  <c r="M90" i="2"/>
  <c r="M27" i="2" s="1"/>
  <c r="I90" i="2"/>
  <c r="I27" i="2" s="1"/>
  <c r="J90" i="2"/>
  <c r="J27" i="2" s="1"/>
  <c r="F90" i="2"/>
  <c r="F27" i="2" s="1"/>
  <c r="G90" i="2"/>
  <c r="G27" i="2" s="1"/>
  <c r="E90" i="2"/>
  <c r="E27" i="2" s="1"/>
  <c r="D90" i="2"/>
  <c r="D27" i="2" s="1"/>
  <c r="N27" i="2"/>
  <c r="N33" i="2"/>
  <c r="I33" i="2"/>
  <c r="D33" i="2"/>
  <c r="E33" i="2"/>
  <c r="F33" i="2"/>
  <c r="G25" i="2"/>
  <c r="H25" i="2"/>
  <c r="K33" i="2"/>
  <c r="M33" i="2"/>
  <c r="P33" i="2"/>
  <c r="C33" i="2"/>
  <c r="Q23" i="2"/>
  <c r="Q26" i="2"/>
  <c r="P26" i="2"/>
  <c r="P23" i="2"/>
  <c r="O23" i="2"/>
  <c r="O26" i="2"/>
  <c r="L26" i="2"/>
  <c r="L23" i="2"/>
  <c r="K26" i="2"/>
  <c r="K23" i="2"/>
  <c r="J23" i="2"/>
  <c r="J26" i="2"/>
  <c r="H26" i="2"/>
  <c r="H23" i="2"/>
  <c r="G23" i="2"/>
  <c r="G26" i="2"/>
  <c r="F26" i="2"/>
  <c r="F23" i="2"/>
  <c r="E26" i="2"/>
  <c r="E23" i="2"/>
  <c r="D26" i="2"/>
  <c r="D23" i="2"/>
  <c r="C26" i="2"/>
  <c r="C23" i="2"/>
  <c r="M2" i="2"/>
  <c r="N25" i="2"/>
  <c r="I25" i="2"/>
  <c r="J33" i="2"/>
  <c r="J25" i="2"/>
  <c r="K25" i="2"/>
  <c r="L33" i="2"/>
  <c r="L25" i="2"/>
  <c r="M25" i="2"/>
  <c r="O33" i="2"/>
  <c r="O25" i="2"/>
  <c r="P25" i="2"/>
  <c r="Q33" i="2"/>
  <c r="Q25" i="2"/>
  <c r="H33" i="2"/>
  <c r="G33" i="2"/>
  <c r="D25" i="2"/>
  <c r="E25" i="2"/>
  <c r="F25" i="2"/>
  <c r="C25" i="2"/>
  <c r="O27" i="2" l="1"/>
  <c r="C27" i="2"/>
  <c r="G28" i="2"/>
  <c r="G35" i="2" s="1"/>
  <c r="N28" i="2"/>
  <c r="N35" i="2" s="1"/>
  <c r="H28" i="2"/>
  <c r="H35" i="2" s="1"/>
  <c r="E28" i="2"/>
  <c r="E35" i="2" s="1"/>
  <c r="J28" i="2"/>
  <c r="J35" i="2" s="1"/>
  <c r="I28" i="2"/>
  <c r="I35" i="2" s="1"/>
  <c r="L28" i="2"/>
  <c r="L35" i="2" s="1"/>
  <c r="P28" i="2"/>
  <c r="P35" i="2" s="1"/>
  <c r="Q28" i="2"/>
  <c r="Q35" i="2" s="1"/>
  <c r="K28" i="2"/>
  <c r="K35" i="2" s="1"/>
  <c r="D28" i="2"/>
  <c r="D35" i="2" s="1"/>
  <c r="F28" i="2"/>
  <c r="F35" i="2" s="1"/>
  <c r="M23" i="2"/>
  <c r="M26" i="2"/>
  <c r="O28" i="2" l="1"/>
  <c r="O35" i="2" s="1"/>
  <c r="C28" i="2"/>
  <c r="C35" i="2" s="1"/>
  <c r="M28" i="2"/>
  <c r="M35" i="2" s="1"/>
  <c r="C37" i="2" l="1"/>
  <c r="G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<sst xmlns="http://schemas.openxmlformats.org/spreadsheetml/2006/main" count="150" uniqueCount="131">
  <si>
    <t>NO</t>
  </si>
  <si>
    <t>ID
KARYAWAN</t>
  </si>
  <si>
    <t>NAMA KARYAWAN</t>
  </si>
  <si>
    <t>JABATAN</t>
  </si>
  <si>
    <t>TANGGAL LAHIR</t>
  </si>
  <si>
    <r>
      <t xml:space="preserve">TANGGAL MASUK
</t>
    </r>
    <r>
      <rPr>
        <i/>
        <sz val="11"/>
        <color theme="0"/>
        <rFont val="Aptos Narrow"/>
        <family val="2"/>
        <scheme val="minor"/>
      </rPr>
      <t>(Gabung Perusahaan)</t>
    </r>
  </si>
  <si>
    <r>
      <t xml:space="preserve">USIA KARYAWAN
</t>
    </r>
    <r>
      <rPr>
        <i/>
        <sz val="11"/>
        <color theme="0"/>
        <rFont val="Aptos Narrow"/>
        <family val="2"/>
        <scheme val="minor"/>
      </rPr>
      <t>(Tahun)</t>
    </r>
  </si>
  <si>
    <r>
      <t xml:space="preserve">LAMA KERJA
</t>
    </r>
    <r>
      <rPr>
        <i/>
        <sz val="11"/>
        <color theme="0"/>
        <rFont val="Aptos Narrow"/>
        <family val="2"/>
        <scheme val="minor"/>
      </rPr>
      <t>(Tahun)</t>
    </r>
  </si>
  <si>
    <t>JAM MASUK</t>
  </si>
  <si>
    <t>JAM PULANG</t>
  </si>
  <si>
    <t>TANGGAL MULAI
PROYEK</t>
  </si>
  <si>
    <r>
      <t xml:space="preserve">ESTIMASI DURASI PROYEK
</t>
    </r>
    <r>
      <rPr>
        <i/>
        <sz val="11"/>
        <color theme="0"/>
        <rFont val="Aptos Narrow"/>
        <family val="2"/>
        <scheme val="minor"/>
      </rPr>
      <t>(Hari Kerja)</t>
    </r>
  </si>
  <si>
    <t>HARI MULAI
PROYEK</t>
  </si>
  <si>
    <t>NOMOR MINGGU
PROYEK</t>
  </si>
  <si>
    <t>TANGGAL SELESAI
PROYEK</t>
  </si>
  <si>
    <t>STATUS PROYEK</t>
  </si>
  <si>
    <t>ID-PM-001</t>
  </si>
  <si>
    <t>LOKA WIRANTA</t>
  </si>
  <si>
    <t>ID-CE-002</t>
  </si>
  <si>
    <t>HANA LIN</t>
  </si>
  <si>
    <t>ID-QS-003</t>
  </si>
  <si>
    <t>SANITA VELORA</t>
  </si>
  <si>
    <t>ID-CE-004</t>
  </si>
  <si>
    <t>VANYA RUSELINA</t>
  </si>
  <si>
    <t>ID-CE-005</t>
  </si>
  <si>
    <t>REZA TARMOKO</t>
  </si>
  <si>
    <t>ID-QS-006</t>
  </si>
  <si>
    <t>DARGO MAWESTA</t>
  </si>
  <si>
    <t>ID-PM-007</t>
  </si>
  <si>
    <t>TISYA AVENDRA</t>
  </si>
  <si>
    <t>ID-QS-008</t>
  </si>
  <si>
    <t>KARYO LIMANTARA</t>
  </si>
  <si>
    <t>ID-PM-009</t>
  </si>
  <si>
    <t>JEFRO MALANTARA</t>
  </si>
  <si>
    <t>ID-PM-010</t>
  </si>
  <si>
    <t>BINAR KENDARTA</t>
  </si>
  <si>
    <t>ID-CE-011</t>
  </si>
  <si>
    <t>CHIKA YURESTA</t>
  </si>
  <si>
    <t>ID-PM-012</t>
  </si>
  <si>
    <t>MEI ZHANG</t>
  </si>
  <si>
    <t>ID-QS-013</t>
  </si>
  <si>
    <t>LIU SHISHI</t>
  </si>
  <si>
    <t>ID-QS-014</t>
  </si>
  <si>
    <t>ZHANG ROUNAN</t>
  </si>
  <si>
    <t>ID-QS-015</t>
  </si>
  <si>
    <t>SONG ZUER</t>
  </si>
  <si>
    <t>ID-PM-016</t>
  </si>
  <si>
    <t>VARO GHANTIRA</t>
  </si>
  <si>
    <t>ID-CE-017</t>
  </si>
  <si>
    <t>ZHANG YUNLONG</t>
  </si>
  <si>
    <t>ID-CE-018</t>
  </si>
  <si>
    <t>BAI JINTING</t>
  </si>
  <si>
    <t>ID-PM-019</t>
  </si>
  <si>
    <t>LIU YUNING</t>
  </si>
  <si>
    <t>ID-CE-020</t>
  </si>
  <si>
    <t>SELVI MAHARENTIYA</t>
  </si>
  <si>
    <t>Project Manager</t>
  </si>
  <si>
    <t>Civil Engineer</t>
  </si>
  <si>
    <t>Quantity Surveyor</t>
  </si>
  <si>
    <r>
      <t xml:space="preserve">NOMOR MINGGU
PROYEK  </t>
    </r>
    <r>
      <rPr>
        <i/>
        <sz val="11"/>
        <color theme="0"/>
        <rFont val="Aptos Narrow"/>
        <family val="2"/>
        <scheme val="minor"/>
      </rPr>
      <t>(Bulan berjalan)</t>
    </r>
  </si>
  <si>
    <r>
      <t xml:space="preserve">TANGGAL REVIEW PROYEK 2
</t>
    </r>
    <r>
      <rPr>
        <i/>
        <sz val="11"/>
        <color theme="0"/>
        <rFont val="Aptos Narrow"/>
        <family val="2"/>
        <scheme val="minor"/>
      </rPr>
      <t>(3 Bulan Setelah Mulai)</t>
    </r>
  </si>
  <si>
    <r>
      <t xml:space="preserve">TANGGAL REVIEW PROYEK 3
</t>
    </r>
    <r>
      <rPr>
        <i/>
        <sz val="11"/>
        <color theme="0"/>
        <rFont val="Aptos Narrow"/>
        <family val="2"/>
        <scheme val="minor"/>
      </rPr>
      <t>(6 Bulan di akhir bulan)</t>
    </r>
  </si>
  <si>
    <r>
      <t xml:space="preserve">TANGGAL REVIEW PROYEK 1
</t>
    </r>
    <r>
      <rPr>
        <i/>
        <sz val="11"/>
        <color theme="0"/>
        <rFont val="Aptos Narrow"/>
        <family val="2"/>
        <scheme val="minor"/>
      </rPr>
      <t>(Tanggal 1 Bulan Pertama)</t>
    </r>
  </si>
  <si>
    <t>KODE SOAL</t>
  </si>
  <si>
    <t>SBEM008</t>
  </si>
  <si>
    <t>KODE JAWABAN</t>
  </si>
  <si>
    <t xml:space="preserve">            Rekapitulasi Data Karyawan, Waktu Kerja, dan Proyek</t>
  </si>
  <si>
    <t>Hari Ini</t>
  </si>
  <si>
    <t>Selain kondisi diatas maka "Sedang Berjalan"</t>
  </si>
  <si>
    <t>DEF</t>
  </si>
  <si>
    <t>TANGGAL INVOICE</t>
  </si>
  <si>
    <t>SUM</t>
  </si>
  <si>
    <t>Value</t>
  </si>
  <si>
    <t>Hasil</t>
  </si>
  <si>
    <t>Cek Rumus</t>
  </si>
  <si>
    <t>Cek Manual</t>
  </si>
  <si>
    <t>cek kosong</t>
  </si>
  <si>
    <t>rand</t>
  </si>
  <si>
    <t>Cek Fungsi</t>
  </si>
  <si>
    <t>Cek konsisten</t>
  </si>
  <si>
    <t>Bool</t>
  </si>
  <si>
    <t>Array</t>
  </si>
  <si>
    <t>Cek konsi</t>
  </si>
  <si>
    <t>cek jml</t>
  </si>
  <si>
    <t>Formula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</si>
  <si>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</si>
  <si>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</si>
  <si>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</si>
  <si>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</si>
  <si>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</si>
  <si>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</si>
  <si>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</si>
  <si>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</si>
  <si>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</si>
  <si>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</si>
  <si>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</si>
  <si>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</si>
  <si>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</si>
  <si>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</si>
  <si>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</si>
  <si>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r>
      <t xml:space="preserve">LAMA KERJA
</t>
    </r>
    <r>
      <rPr>
        <i/>
        <sz val="11"/>
        <color theme="0"/>
        <rFont val="Aptos Narrow"/>
        <family val="2"/>
        <scheme val="minor"/>
      </rPr>
      <t>(Sisa Bulan)</t>
    </r>
  </si>
  <si>
    <r>
      <t xml:space="preserve">LAMA KERJA
</t>
    </r>
    <r>
      <rPr>
        <i/>
        <sz val="11"/>
        <color theme="0"/>
        <rFont val="Aptos Narrow"/>
        <family val="2"/>
        <scheme val="minor"/>
      </rPr>
      <t>(Sisa Hari)</t>
    </r>
  </si>
  <si>
    <t>MH2</t>
  </si>
  <si>
    <r>
      <t xml:space="preserve">TOTAL DURASI
KERJA </t>
    </r>
    <r>
      <rPr>
        <i/>
        <sz val="11"/>
        <color theme="0"/>
        <rFont val="Aptos Narrow"/>
        <family val="2"/>
        <scheme val="minor"/>
      </rPr>
      <t>(Normal)</t>
    </r>
  </si>
  <si>
    <r>
      <t xml:space="preserve">TOTAL DURASI
KERJA </t>
    </r>
    <r>
      <rPr>
        <i/>
        <sz val="11"/>
        <color theme="0"/>
        <rFont val="Aptos Narrow"/>
        <family val="2"/>
        <scheme val="minor"/>
      </rPr>
      <t>(Pembulatan)</t>
    </r>
  </si>
  <si>
    <t>Intruksi</t>
  </si>
  <si>
    <t>Soal  :</t>
  </si>
  <si>
    <t>Gunakan Fungsi Excel (Function) untuk menyelsaikan kasus dibawah ini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</si>
  <si>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</si>
  <si>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</si>
  <si>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r>
      <rPr>
        <b/>
        <sz val="12"/>
        <color rgb="FF00B050"/>
        <rFont val="Aptos Narrow"/>
        <family val="2"/>
        <scheme val="minor"/>
      </rPr>
      <t>Medium Level</t>
    </r>
    <r>
      <rPr>
        <b/>
        <sz val="12"/>
        <color theme="1"/>
        <rFont val="Aptos Narrow"/>
        <family val="2"/>
        <scheme val="minor"/>
      </rPr>
      <t xml:space="preserve"> - Latihan Soal Management Proyek</t>
    </r>
  </si>
  <si>
    <t>ketentuan pembulatan disoal nomor 6 sebagai berikut;</t>
  </si>
  <si>
    <t>ketentuan soal nomor 12:</t>
  </si>
  <si>
    <t>Soal  &gt;&gt;</t>
  </si>
  <si>
    <t>Durasi kerja dibulatkan ke jam terdekat, jika lebih dari 30 Menit dibulatan ke Jam berikutnya jika kurang 30 menit dibulatkan kebawah</t>
  </si>
  <si>
    <t>misal jika Total Durasi adalah 8:21 maka Total Durasi menjadi 08:00</t>
  </si>
  <si>
    <t>sedangkan jika Total Durasi adalah 8:43 maka Total durasi menjadi 09:00</t>
  </si>
  <si>
    <t>Saya adalah seorang Excel Holic yang percaya bahwa setiap angka memiliki cerita yang bisa ditemukan dengan cara yang tepat.</t>
  </si>
  <si>
    <t>“Excel bukan cuma soal kerjaan tapi juga hobi yang aku nikmati.”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</si>
  <si>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</si>
  <si>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</si>
  <si>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</si>
  <si>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</si>
  <si>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</si>
  <si>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</si>
  <si>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</si>
  <si>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</si>
  <si>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Dilarang mengubah Table atau Menambah Table Baru atau Menambah Kolom Bantuan !!, Gunakan Table seperti yang sudah di sediakan soal.</t>
  </si>
  <si>
    <r>
      <t xml:space="preserve">Jika </t>
    </r>
    <r>
      <rPr>
        <b/>
        <sz val="11"/>
        <color theme="1"/>
        <rFont val="Aptos Narrow"/>
        <family val="2"/>
        <scheme val="minor"/>
      </rPr>
      <t>Tanggal Selesai Proyek</t>
    </r>
    <r>
      <rPr>
        <sz val="11"/>
        <color theme="1"/>
        <rFont val="Aptos Narrow"/>
        <family val="2"/>
        <scheme val="minor"/>
      </rPr>
      <t xml:space="preserve"> sudah melewati hari ini (D45), maka "Selesai"</t>
    </r>
  </si>
  <si>
    <r>
      <t xml:space="preserve">Jika </t>
    </r>
    <r>
      <rPr>
        <b/>
        <sz val="11"/>
        <color theme="1"/>
        <rFont val="Aptos Narrow"/>
        <family val="2"/>
        <scheme val="minor"/>
      </rPr>
      <t>Tanggal Proyek Mulai</t>
    </r>
    <r>
      <rPr>
        <sz val="11"/>
        <color theme="1"/>
        <rFont val="Aptos Narrow"/>
        <family val="2"/>
        <scheme val="minor"/>
      </rPr>
      <t xml:space="preserve"> masih di masa depan dari hari ini (D45), maka "Akan Datang"</t>
    </r>
  </si>
  <si>
    <t>Penjelasan soal ada di setiap nomor soal pada baris 46 dan 71, kata "Hari ini" mengacu pada data di cell 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</si>
</sst>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;\(#,##0\);\-"/>
  </numFmts>
  <fonts count="3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70C0"/>
      <name val="Aptos Narrow"/>
      <family val="2"/>
      <scheme val="minor"/>
    </font>
    <font>
      <i/>
      <sz val="9"/>
      <color theme="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9"/>
      <color theme="4" tint="-0.249977111117893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2"/>
      <color theme="0"/>
      <name val="Roboto"/>
    </font>
    <font>
      <i/>
      <sz val="11"/>
      <color theme="1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ck">
        <color rgb="FFFFC000"/>
      </left>
      <right/>
      <top style="thick">
        <color rgb="FFFFC000"/>
      </top>
      <bottom style="thick">
        <color rgb="FFFFC000"/>
      </bottom>
      <diagonal/>
    </border>
    <border>
      <left/>
      <right style="thick">
        <color rgb="FFFFC000"/>
      </right>
      <top style="thick">
        <color rgb="FFFFC000"/>
      </top>
      <bottom style="thick">
        <color rgb="FFFFC000"/>
      </bottom>
      <diagonal/>
    </border>
  </borders>
  <cellStyleXfs count="4">
    <xf numFmtId="0" fontId="0" fillId="0" borderId="0"/>
    <xf numFmtId="0" fontId="9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/>
    <xf numFmtId="0" fontId="0" fillId="4" borderId="1" xfId="0" applyFill="1" applyBorder="1"/>
    <xf numFmtId="21" fontId="0" fillId="4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left" indent="2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7" fillId="0" borderId="0" xfId="0" applyFont="1"/>
    <xf numFmtId="0" fontId="3" fillId="0" borderId="0" xfId="0" applyFont="1" applyAlignment="1">
      <alignment vertical="center"/>
    </xf>
    <xf numFmtId="21" fontId="0" fillId="0" borderId="0" xfId="0" applyNumberFormat="1"/>
    <xf numFmtId="0" fontId="9" fillId="0" borderId="1" xfId="1" applyBorder="1"/>
    <xf numFmtId="0" fontId="9" fillId="0" borderId="0" xfId="1"/>
    <xf numFmtId="165" fontId="13" fillId="6" borderId="0" xfId="0" applyNumberFormat="1" applyFont="1" applyFill="1" applyAlignment="1">
      <alignment horizontal="center" vertical="center"/>
    </xf>
    <xf numFmtId="165" fontId="13" fillId="6" borderId="3" xfId="0" applyNumberFormat="1" applyFont="1" applyFill="1" applyBorder="1" applyAlignment="1">
      <alignment horizontal="left" vertical="center"/>
    </xf>
    <xf numFmtId="165" fontId="14" fillId="6" borderId="0" xfId="0" applyNumberFormat="1" applyFont="1" applyFill="1" applyAlignment="1">
      <alignment horizontal="left" vertical="center"/>
    </xf>
    <xf numFmtId="0" fontId="16" fillId="7" borderId="4" xfId="0" applyFont="1" applyFill="1" applyBorder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6" fillId="7" borderId="5" xfId="0" applyFont="1" applyFill="1" applyBorder="1" applyAlignment="1">
      <alignment vertical="top" wrapText="1"/>
    </xf>
    <xf numFmtId="0" fontId="16" fillId="7" borderId="6" xfId="0" applyFont="1" applyFill="1" applyBorder="1" applyAlignment="1">
      <alignment vertical="top" wrapText="1"/>
    </xf>
    <xf numFmtId="0" fontId="0" fillId="7" borderId="0" xfId="0" applyFill="1"/>
    <xf numFmtId="0" fontId="8" fillId="7" borderId="0" xfId="0" applyFont="1" applyFill="1" applyAlignment="1">
      <alignment horizontal="left" vertical="top"/>
    </xf>
    <xf numFmtId="0" fontId="16" fillId="7" borderId="7" xfId="0" applyFont="1" applyFill="1" applyBorder="1" applyAlignment="1">
      <alignment vertical="top" wrapText="1"/>
    </xf>
    <xf numFmtId="0" fontId="8" fillId="7" borderId="0" xfId="0" applyFont="1" applyFill="1" applyAlignment="1">
      <alignment vertical="top"/>
    </xf>
    <xf numFmtId="0" fontId="18" fillId="7" borderId="0" xfId="0" applyFont="1" applyFill="1" applyAlignment="1">
      <alignment horizontal="center" vertical="top" wrapText="1"/>
    </xf>
    <xf numFmtId="0" fontId="19" fillId="7" borderId="0" xfId="0" applyFont="1" applyFill="1" applyAlignment="1">
      <alignment horizontal="right"/>
    </xf>
    <xf numFmtId="0" fontId="20" fillId="7" borderId="0" xfId="0" applyFont="1" applyFill="1" applyAlignment="1">
      <alignment wrapText="1"/>
    </xf>
    <xf numFmtId="0" fontId="20" fillId="7" borderId="7" xfId="0" applyFont="1" applyFill="1" applyBorder="1" applyAlignment="1">
      <alignment wrapText="1"/>
    </xf>
    <xf numFmtId="0" fontId="6" fillId="7" borderId="0" xfId="0" applyFont="1" applyFill="1" applyAlignment="1">
      <alignment horizontal="center" vertical="center"/>
    </xf>
    <xf numFmtId="0" fontId="21" fillId="7" borderId="0" xfId="0" applyFont="1" applyFill="1"/>
    <xf numFmtId="0" fontId="6" fillId="7" borderId="0" xfId="0" applyFont="1" applyFill="1" applyAlignment="1">
      <alignment horizontal="right" vertical="center"/>
    </xf>
    <xf numFmtId="0" fontId="23" fillId="7" borderId="0" xfId="0" applyFont="1" applyFill="1" applyAlignment="1">
      <alignment horizontal="right"/>
    </xf>
    <xf numFmtId="0" fontId="0" fillId="7" borderId="0" xfId="0" applyFill="1" applyAlignment="1">
      <alignment horizontal="left" indent="1"/>
    </xf>
    <xf numFmtId="165" fontId="24" fillId="6" borderId="8" xfId="0" applyNumberFormat="1" applyFont="1" applyFill="1" applyBorder="1" applyAlignment="1">
      <alignment horizontal="center" vertical="center"/>
    </xf>
    <xf numFmtId="0" fontId="25" fillId="7" borderId="0" xfId="0" applyFont="1" applyFill="1" applyAlignment="1">
      <alignment vertical="top"/>
    </xf>
    <xf numFmtId="0" fontId="19" fillId="0" borderId="0" xfId="0" applyFont="1" applyAlignment="1">
      <alignment horizontal="right"/>
    </xf>
    <xf numFmtId="0" fontId="9" fillId="0" borderId="9" xfId="1" applyBorder="1"/>
    <xf numFmtId="0" fontId="9" fillId="0" borderId="10" xfId="1" applyBorder="1"/>
    <xf numFmtId="0" fontId="26" fillId="0" borderId="1" xfId="1" applyFont="1" applyBorder="1"/>
    <xf numFmtId="0" fontId="28" fillId="0" borderId="1" xfId="1" applyFont="1" applyBorder="1" applyAlignment="1">
      <alignment horizontal="left"/>
    </xf>
    <xf numFmtId="0" fontId="28" fillId="0" borderId="1" xfId="1" applyFont="1" applyBorder="1"/>
    <xf numFmtId="0" fontId="29" fillId="0" borderId="9" xfId="0" applyFont="1" applyBorder="1" applyAlignment="1">
      <alignment horizontal="left" vertical="top" wrapText="1"/>
    </xf>
    <xf numFmtId="0" fontId="31" fillId="0" borderId="9" xfId="0" applyFont="1" applyBorder="1" applyAlignment="1">
      <alignment horizontal="left" vertical="top" wrapText="1"/>
    </xf>
    <xf numFmtId="0" fontId="10" fillId="0" borderId="1" xfId="2" applyBorder="1" applyAlignment="1">
      <alignment vertical="top"/>
    </xf>
    <xf numFmtId="0" fontId="2" fillId="0" borderId="0" xfId="1" applyFont="1"/>
    <xf numFmtId="0" fontId="32" fillId="0" borderId="0" xfId="1" applyFont="1"/>
    <xf numFmtId="0" fontId="10" fillId="0" borderId="0" xfId="3"/>
    <xf numFmtId="0" fontId="32" fillId="0" borderId="0" xfId="1" quotePrefix="1" applyFont="1"/>
    <xf numFmtId="0" fontId="0" fillId="6" borderId="0" xfId="0" applyFill="1"/>
    <xf numFmtId="0" fontId="23" fillId="6" borderId="0" xfId="0" applyFont="1" applyFill="1"/>
    <xf numFmtId="0" fontId="11" fillId="6" borderId="0" xfId="0" applyFont="1" applyFill="1"/>
    <xf numFmtId="0" fontId="34" fillId="6" borderId="0" xfId="0" applyFont="1" applyFill="1"/>
    <xf numFmtId="0" fontId="35" fillId="6" borderId="0" xfId="3" applyFont="1" applyFill="1"/>
    <xf numFmtId="0" fontId="5" fillId="3" borderId="1" xfId="0" applyFont="1" applyFill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14" fontId="8" fillId="9" borderId="13" xfId="0" applyNumberFormat="1" applyFont="1" applyFill="1" applyBorder="1" applyAlignment="1">
      <alignment horizontal="center"/>
    </xf>
    <xf numFmtId="0" fontId="33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28" fillId="0" borderId="1" xfId="1" applyFont="1" applyBorder="1" applyAlignment="1">
      <alignment horizontal="left"/>
    </xf>
    <xf numFmtId="0" fontId="27" fillId="0" borderId="1" xfId="1" applyFont="1" applyBorder="1" applyAlignment="1">
      <alignment horizontal="left"/>
    </xf>
    <xf numFmtId="0" fontId="29" fillId="0" borderId="0" xfId="0" applyFont="1" applyAlignment="1">
      <alignment horizontal="left" vertical="top" wrapText="1"/>
    </xf>
    <xf numFmtId="0" fontId="29" fillId="0" borderId="11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11" xfId="0" applyFont="1" applyBorder="1" applyAlignment="1">
      <alignment horizontal="left" vertical="top" wrapText="1"/>
    </xf>
    <xf numFmtId="0" fontId="33" fillId="5" borderId="4" xfId="0" applyFont="1" applyFill="1" applyBorder="1" applyAlignment="1">
      <alignment horizontal="center" vertical="center"/>
    </xf>
  </cellXfs>
  <cellStyles count="4">
    <cellStyle name="Hyperlink" xfId="3" builtinId="8"/>
    <cellStyle name="Hyperlink 2" xfId="2" xr:uid="{D1654691-5BC9-4008-BA87-0204441CFE80}"/>
    <cellStyle name="Normal" xfId="0" builtinId="0"/>
    <cellStyle name="Normal 2" xfId="1" xr:uid="{E0383CC8-D61B-461A-8E45-E288AEB8C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274320</xdr:colOff>
      <xdr:row>16</xdr:row>
      <xdr:rowOff>68580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8B6345-A924-47F2-AD2E-9DD363A8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1978639" cy="2994660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13</xdr:row>
      <xdr:rowOff>91440</xdr:rowOff>
    </xdr:from>
    <xdr:to>
      <xdr:col>7</xdr:col>
      <xdr:colOff>436880</xdr:colOff>
      <xdr:row>17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ED387B-0947-486E-8C24-02B32A0F2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8920" y="228600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480060</xdr:colOff>
      <xdr:row>36</xdr:row>
      <xdr:rowOff>60960</xdr:rowOff>
    </xdr:from>
    <xdr:to>
      <xdr:col>4</xdr:col>
      <xdr:colOff>1028700</xdr:colOff>
      <xdr:row>38</xdr:row>
      <xdr:rowOff>15240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7CD169-CDE6-40C5-A3D1-DF28A4785E88}"/>
            </a:ext>
          </a:extLst>
        </xdr:cNvPr>
        <xdr:cNvSpPr/>
      </xdr:nvSpPr>
      <xdr:spPr>
        <a:xfrm>
          <a:off x="2674620" y="10690860"/>
          <a:ext cx="18973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10</xdr:col>
      <xdr:colOff>350520</xdr:colOff>
      <xdr:row>0</xdr:row>
      <xdr:rowOff>0</xdr:rowOff>
    </xdr:from>
    <xdr:to>
      <xdr:col>11</xdr:col>
      <xdr:colOff>579119</xdr:colOff>
      <xdr:row>16</xdr:row>
      <xdr:rowOff>53494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B29D03-2856-4BD4-8EF9-4F14CCCB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54840" y="0"/>
          <a:ext cx="1912619" cy="2979574"/>
        </a:xfrm>
        <a:prstGeom prst="rect">
          <a:avLst/>
        </a:prstGeom>
      </xdr:spPr>
    </xdr:pic>
    <xdr:clientData/>
  </xdr:twoCellAnchor>
  <xdr:oneCellAnchor>
    <xdr:from>
      <xdr:col>9</xdr:col>
      <xdr:colOff>464820</xdr:colOff>
      <xdr:row>0</xdr:row>
      <xdr:rowOff>53340</xdr:rowOff>
    </xdr:from>
    <xdr:ext cx="1136401" cy="280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A0C8DC-D0E5-4FF4-A745-E1BDF169202D}"/>
            </a:ext>
          </a:extLst>
        </xdr:cNvPr>
        <xdr:cNvSpPr txBox="1"/>
      </xdr:nvSpPr>
      <xdr:spPr>
        <a:xfrm>
          <a:off x="10759440" y="53340"/>
          <a:ext cx="1136401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MEDIUM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C9025612-F8AA-458A-9DAD-19D5AD73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F4CD9E0B-3369-49F7-9C1A-2EBEFA65D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601980</xdr:colOff>
      <xdr:row>1</xdr:row>
      <xdr:rowOff>0</xdr:rowOff>
    </xdr:from>
    <xdr:to>
      <xdr:col>4</xdr:col>
      <xdr:colOff>251460</xdr:colOff>
      <xdr:row>14</xdr:row>
      <xdr:rowOff>83034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0CE20B-DE06-4448-BFD9-87B6A4D1B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220" y="182880"/>
          <a:ext cx="1554480" cy="24604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4b3130b3dd6cff9/VBA%20REPO/File%20BelajarExcel.id/Soal/new%20Format/New%20SBEX007%20BelajarExcel.id%20-%20Latihan%20Soal%20Data%20Karyawan%20dan%20Slip%20Gaji%20(anagram).xlsx" TargetMode="External"/><Relationship Id="rId1" Type="http://schemas.openxmlformats.org/officeDocument/2006/relationships/externalLinkPath" Target="https://d.docs.live.net/04b3130b3dd6cff9/VBA%20REPO/File%20BelajarExcel.id/Soal/new%20Format/New%20SBEX007%20BelajarExcel.id%20-%20Latihan%20Soal%20Data%20Karyawan%20dan%20Slip%20Gaji%20(anagra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-Test"/>
      <sheetName val="DF"/>
      <sheetName val="Data Pegawai"/>
      <sheetName val="About"/>
    </sheetNames>
    <sheetDataSet>
      <sheetData sheetId="0"/>
      <sheetData sheetId="1">
        <row r="66">
          <cell r="C66" t="str">
            <v>XG2|6F-256C;77-2173;54-1E4F;85-A7F;12-240B;6A-2162;F8-7EF;6C-1462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78C5-C98F-4898-9B35-DE6959A6B633}">
  <sheetPr codeName="Sheet1"/>
  <dimension ref="A18:O96"/>
  <sheetViews>
    <sheetView tabSelected="1" topLeftCell="C32" workbookViewId="0">
      <selection activeCell="G18" sqref="G18"/>
    </sheetView>
  </sheetViews>
  <sheetFormatPr defaultRowHeight="15"/>
  <cols>
    <col min="1" max="1" width="6" customWidth="1"/>
    <col min="2" max="2" width="9.7109375" customWidth="1"/>
    <col min="3" max="3" width="16.28515625" customWidth="1"/>
    <col min="4" max="4" width="24.140625" customWidth="1"/>
    <col min="5" max="5" width="19.140625" customWidth="1"/>
    <col min="6" max="6" width="16.5703125" customWidth="1"/>
    <col min="7" max="7" width="20.85546875" customWidth="1"/>
    <col min="8" max="9" width="18.7109375" customWidth="1"/>
    <col min="10" max="10" width="20.5703125" customWidth="1"/>
    <col min="11" max="11" width="24.5703125" customWidth="1"/>
    <col min="12" max="12" width="24.140625" customWidth="1"/>
    <col min="13" max="13" width="25.28515625" customWidth="1"/>
    <col min="14" max="14" width="20.7109375" customWidth="1"/>
    <col min="15" max="15" width="18.28515625" customWidth="1"/>
    <col min="16" max="16" width="17.5703125" customWidth="1"/>
    <col min="17" max="17" width="15.42578125" customWidth="1"/>
    <col min="18" max="18" width="14" customWidth="1"/>
    <col min="19" max="19" width="16.85546875" customWidth="1"/>
    <col min="20" max="20" width="17" customWidth="1"/>
    <col min="21" max="21" width="16.5703125" customWidth="1"/>
    <col min="22" max="22" width="15.28515625" customWidth="1"/>
    <col min="23" max="23" width="15.140625" customWidth="1"/>
    <col min="24" max="24" width="25.140625" customWidth="1"/>
    <col min="25" max="25" width="26.28515625" customWidth="1"/>
    <col min="26" max="26" width="24.85546875" customWidth="1"/>
  </cols>
  <sheetData>
    <row r="18" spans="1:13" ht="23.25">
      <c r="A18" s="64" t="s">
        <v>63</v>
      </c>
      <c r="B18" s="64"/>
      <c r="C18" s="17" t="s">
        <v>64</v>
      </c>
      <c r="E18" s="64" t="s">
        <v>65</v>
      </c>
      <c r="F18" s="65"/>
      <c r="G18" s="18" t="str">
        <f ca="1">kode_jawaban</f>
        <v>MH2|52-416;24-1A2;36-72;5D-123;58-A;5E-9;26-10CA;4F-2EF;60-4C;2E-12FBDC;59-13000B;39-FDD;5F-12F7B8;39-12FF6B;6C-130ACA</v>
      </c>
      <c r="H18" s="19"/>
      <c r="I18" s="19"/>
      <c r="J18" s="19"/>
      <c r="K18" s="19"/>
      <c r="L18" s="19"/>
      <c r="M18" s="19"/>
    </row>
    <row r="20" spans="1:13" ht="23.25">
      <c r="A20" s="66" t="s">
        <v>105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</row>
    <row r="21" spans="1:13" ht="15.75">
      <c r="A21" s="20"/>
      <c r="B21" s="21"/>
      <c r="C21" s="21"/>
      <c r="D21" s="21"/>
      <c r="E21" s="21"/>
      <c r="F21" s="21"/>
      <c r="G21" s="21"/>
      <c r="H21" s="21"/>
      <c r="I21" s="21"/>
      <c r="J21" s="22"/>
      <c r="K21" s="22"/>
      <c r="L21" s="22"/>
      <c r="M21" s="23"/>
    </row>
    <row r="22" spans="1:13" ht="15.75">
      <c r="A22" s="24"/>
      <c r="B22" s="25" t="s">
        <v>110</v>
      </c>
      <c r="C22" s="24"/>
      <c r="D22" s="24"/>
      <c r="E22" s="21"/>
      <c r="F22" s="21"/>
      <c r="G22" s="21"/>
      <c r="H22" s="21"/>
      <c r="I22" s="21"/>
      <c r="J22" s="21"/>
      <c r="K22" s="21"/>
      <c r="L22" s="21"/>
      <c r="M22" s="26"/>
    </row>
    <row r="23" spans="1:13" ht="15.75">
      <c r="A23" s="24"/>
      <c r="B23" s="24"/>
      <c r="C23" s="27"/>
      <c r="D23" s="24"/>
      <c r="E23" s="21"/>
      <c r="F23" s="21"/>
      <c r="G23" s="21"/>
      <c r="H23" s="28"/>
      <c r="I23" s="21"/>
      <c r="J23" s="21"/>
      <c r="K23" s="21"/>
      <c r="L23" s="21"/>
      <c r="M23" s="26"/>
    </row>
    <row r="24" spans="1:13" ht="15.75">
      <c r="A24" s="24"/>
      <c r="B24" s="29" t="s">
        <v>106</v>
      </c>
      <c r="C24" s="38" t="s">
        <v>107</v>
      </c>
      <c r="D24" s="24"/>
      <c r="E24" s="24"/>
      <c r="F24" s="21"/>
      <c r="G24" s="24"/>
      <c r="H24" s="28"/>
      <c r="I24" s="30"/>
      <c r="J24" s="30"/>
      <c r="K24" s="30"/>
      <c r="L24" s="30"/>
      <c r="M24" s="31"/>
    </row>
    <row r="25" spans="1:13" ht="15.75">
      <c r="A25" s="24"/>
      <c r="B25" s="35"/>
      <c r="C25" s="38" t="s">
        <v>130</v>
      </c>
      <c r="D25" s="24"/>
      <c r="E25" s="24"/>
      <c r="F25" s="21"/>
      <c r="G25" s="24"/>
      <c r="H25" s="28"/>
      <c r="I25" s="30"/>
      <c r="J25" s="30"/>
      <c r="K25" s="30"/>
      <c r="L25" s="30"/>
      <c r="M25" s="31"/>
    </row>
    <row r="26" spans="1:13" ht="15.75">
      <c r="A26" s="24"/>
      <c r="B26" s="35"/>
      <c r="C26" s="38"/>
      <c r="D26" s="24"/>
      <c r="E26" s="24"/>
      <c r="F26" s="21"/>
      <c r="G26" s="24"/>
      <c r="H26" s="28"/>
      <c r="I26" s="30"/>
      <c r="J26" s="30"/>
      <c r="K26" s="30"/>
      <c r="L26" s="30"/>
      <c r="M26" s="31"/>
    </row>
    <row r="27" spans="1:13" ht="15.75">
      <c r="A27" s="24"/>
      <c r="B27" s="35">
        <v>6</v>
      </c>
      <c r="C27" s="36" t="s">
        <v>111</v>
      </c>
      <c r="D27" s="24"/>
      <c r="E27" s="24"/>
      <c r="F27" s="21"/>
      <c r="G27" s="24"/>
      <c r="H27" s="28"/>
      <c r="I27" s="30"/>
      <c r="J27" s="30"/>
      <c r="K27" s="30"/>
      <c r="L27" s="30"/>
      <c r="M27" s="31"/>
    </row>
    <row r="28" spans="1:13" ht="15.75">
      <c r="A28" s="24"/>
      <c r="B28" s="35"/>
      <c r="C28" s="36" t="s">
        <v>114</v>
      </c>
      <c r="D28" s="24"/>
      <c r="E28" s="24"/>
      <c r="F28" s="21"/>
      <c r="G28" s="24"/>
      <c r="H28" s="28"/>
      <c r="I28" s="30"/>
      <c r="J28" s="30"/>
      <c r="K28" s="30"/>
      <c r="L28" s="30"/>
      <c r="M28" s="31"/>
    </row>
    <row r="29" spans="1:13" ht="15.75">
      <c r="A29" s="24"/>
      <c r="B29" s="35"/>
      <c r="C29" s="36" t="s">
        <v>115</v>
      </c>
      <c r="D29" s="24"/>
      <c r="E29" s="24"/>
      <c r="F29" s="21"/>
      <c r="G29" s="24"/>
      <c r="H29" s="28"/>
      <c r="I29" s="30"/>
      <c r="J29" s="30"/>
      <c r="K29" s="30"/>
      <c r="L29" s="30"/>
      <c r="M29" s="31"/>
    </row>
    <row r="30" spans="1:13" ht="15.75">
      <c r="A30" s="24"/>
      <c r="B30" s="32"/>
      <c r="C30" s="36" t="s">
        <v>116</v>
      </c>
      <c r="D30" s="24"/>
      <c r="E30" s="24"/>
      <c r="F30" s="21"/>
      <c r="G30" s="24"/>
      <c r="H30" s="24"/>
      <c r="I30" s="21"/>
      <c r="J30" s="21"/>
      <c r="K30" s="21"/>
      <c r="L30" s="21"/>
      <c r="M30" s="26"/>
    </row>
    <row r="31" spans="1:13" ht="15.75">
      <c r="A31" s="24"/>
      <c r="B31" s="34">
        <v>12</v>
      </c>
      <c r="C31" s="36" t="s">
        <v>112</v>
      </c>
      <c r="D31" s="24"/>
      <c r="E31" s="24"/>
      <c r="F31" s="21"/>
      <c r="G31" s="24"/>
      <c r="H31" s="24"/>
      <c r="I31" s="21"/>
      <c r="J31" s="21"/>
      <c r="K31" s="21"/>
      <c r="L31" s="21"/>
      <c r="M31" s="26"/>
    </row>
    <row r="32" spans="1:13" ht="15.75">
      <c r="A32" s="24"/>
      <c r="B32" s="32"/>
      <c r="C32" s="36" t="s">
        <v>128</v>
      </c>
      <c r="D32" s="24"/>
      <c r="E32" s="24"/>
      <c r="F32" s="21"/>
      <c r="G32" s="24"/>
      <c r="H32" s="24"/>
      <c r="I32" s="21"/>
      <c r="J32" s="21"/>
      <c r="K32" s="21"/>
      <c r="L32" s="21"/>
      <c r="M32" s="26"/>
    </row>
    <row r="33" spans="1:15" ht="15.75">
      <c r="A33" s="24"/>
      <c r="B33" s="32"/>
      <c r="C33" s="36" t="s">
        <v>129</v>
      </c>
      <c r="D33" s="24"/>
      <c r="E33" s="24"/>
      <c r="F33" s="21"/>
      <c r="G33" s="24"/>
      <c r="H33" s="24"/>
      <c r="I33" s="21"/>
      <c r="J33" s="21"/>
      <c r="K33" s="21"/>
      <c r="L33" s="21"/>
      <c r="M33" s="26"/>
    </row>
    <row r="34" spans="1:15" ht="15.75">
      <c r="A34" s="24"/>
      <c r="B34" s="32"/>
      <c r="C34" s="36" t="s">
        <v>68</v>
      </c>
      <c r="D34" s="24"/>
      <c r="E34" s="24"/>
      <c r="F34" s="21"/>
      <c r="G34" s="24"/>
      <c r="H34" s="24"/>
      <c r="I34" s="21"/>
      <c r="J34" s="21"/>
      <c r="K34" s="21"/>
      <c r="L34" s="21"/>
      <c r="M34" s="26"/>
    </row>
    <row r="35" spans="1:15" ht="15.75">
      <c r="A35" s="24"/>
      <c r="B35" s="32"/>
      <c r="C35" s="11"/>
      <c r="D35" s="24"/>
      <c r="E35" s="24"/>
      <c r="F35" s="21"/>
      <c r="G35" s="24"/>
      <c r="H35" s="24"/>
      <c r="I35" s="21"/>
      <c r="J35" s="21"/>
      <c r="K35" s="21"/>
      <c r="L35" s="21"/>
      <c r="M35" s="26"/>
    </row>
    <row r="36" spans="1:15" ht="15.75">
      <c r="A36" s="24"/>
      <c r="B36" s="24"/>
      <c r="C36" s="33" t="s">
        <v>108</v>
      </c>
      <c r="D36" s="24"/>
      <c r="E36" s="24"/>
      <c r="F36" s="21"/>
      <c r="G36" s="24"/>
      <c r="H36" s="24"/>
      <c r="I36" s="21"/>
      <c r="J36" s="21"/>
      <c r="K36" s="21"/>
      <c r="L36" s="21"/>
      <c r="M36" s="26"/>
    </row>
    <row r="37" spans="1:15" ht="15.75">
      <c r="A37" s="24"/>
      <c r="B37" s="24"/>
      <c r="C37" s="33" t="s">
        <v>109</v>
      </c>
      <c r="D37" s="24"/>
      <c r="E37" s="21"/>
      <c r="F37" s="21"/>
      <c r="G37" s="24"/>
      <c r="H37" s="24"/>
      <c r="I37" s="21"/>
      <c r="J37" s="21"/>
      <c r="K37" s="21"/>
      <c r="L37" s="21"/>
      <c r="M37" s="26"/>
    </row>
    <row r="38" spans="1:15" ht="15.7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6"/>
    </row>
    <row r="39" spans="1:15" ht="15.7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6"/>
    </row>
    <row r="40" spans="1:15" ht="23.25">
      <c r="A40" s="66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8"/>
    </row>
    <row r="42" spans="1:15" ht="14.45" customHeight="1">
      <c r="B42" s="1"/>
      <c r="C42" s="1"/>
      <c r="D42" s="1"/>
      <c r="E42" s="1"/>
    </row>
    <row r="43" spans="1:15" ht="25.9" customHeight="1">
      <c r="B43" s="13" t="s">
        <v>66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0"/>
    </row>
    <row r="44" spans="1:15" ht="15.75" thickBot="1"/>
    <row r="45" spans="1:15" ht="17.25" thickTop="1" thickBot="1">
      <c r="C45" s="61" t="s">
        <v>67</v>
      </c>
      <c r="D45" s="62">
        <v>45886</v>
      </c>
    </row>
    <row r="46" spans="1:15" ht="14.45" customHeight="1" thickTop="1" thickBot="1">
      <c r="B46" s="1"/>
      <c r="C46" s="1"/>
      <c r="D46" s="1"/>
      <c r="E46" s="1"/>
      <c r="G46" s="39" t="s">
        <v>113</v>
      </c>
      <c r="H46" s="37">
        <v>1</v>
      </c>
      <c r="I46" s="37">
        <v>2</v>
      </c>
      <c r="J46" s="37">
        <v>3</v>
      </c>
      <c r="K46" s="37">
        <v>4</v>
      </c>
      <c r="L46" s="12"/>
      <c r="M46" s="12"/>
      <c r="N46" s="37">
        <v>5</v>
      </c>
      <c r="O46" s="37">
        <v>6</v>
      </c>
    </row>
    <row r="47" spans="1:15" ht="45">
      <c r="B47" s="2" t="s">
        <v>0</v>
      </c>
      <c r="C47" s="3" t="s">
        <v>1</v>
      </c>
      <c r="D47" s="2" t="s">
        <v>2</v>
      </c>
      <c r="E47" s="2" t="s">
        <v>3</v>
      </c>
      <c r="F47" s="2" t="s">
        <v>4</v>
      </c>
      <c r="G47" s="3" t="s">
        <v>5</v>
      </c>
      <c r="H47" s="3" t="s">
        <v>6</v>
      </c>
      <c r="I47" s="3" t="s">
        <v>7</v>
      </c>
      <c r="J47" s="3" t="s">
        <v>100</v>
      </c>
      <c r="K47" s="3" t="s">
        <v>101</v>
      </c>
      <c r="L47" s="2" t="s">
        <v>8</v>
      </c>
      <c r="M47" s="2" t="s">
        <v>9</v>
      </c>
      <c r="N47" s="3" t="s">
        <v>103</v>
      </c>
      <c r="O47" s="3" t="s">
        <v>104</v>
      </c>
    </row>
    <row r="48" spans="1:15" ht="18" customHeight="1">
      <c r="B48" s="4">
        <v>1</v>
      </c>
      <c r="C48" s="58" t="s">
        <v>16</v>
      </c>
      <c r="D48" s="57" t="s">
        <v>17</v>
      </c>
      <c r="E48" s="57" t="s">
        <v>56</v>
      </c>
      <c r="F48" s="5">
        <v>29092</v>
      </c>
      <c r="G48" s="5">
        <v>35970</v>
      </c>
      <c r="H48" s="60">
        <f>DATEDIF(F48,$D$45,"Y")</f>
        <v>45</v>
      </c>
      <c r="I48" s="60">
        <f>DATEDIF(G48,$D$45,"Y")</f>
        <v>27</v>
      </c>
      <c r="J48" s="60">
        <f>DATEDIF(G48,$D$45,"YM")</f>
        <v>1</v>
      </c>
      <c r="K48" s="60">
        <f>DATEDIF(G48,$D$45,"MD")</f>
        <v>24</v>
      </c>
      <c r="L48" s="59">
        <v>0.39261574074074074</v>
      </c>
      <c r="M48" s="59">
        <v>0.79148148148148145</v>
      </c>
      <c r="N48" s="7">
        <f>M48-L48</f>
        <v>0.39886574074074072</v>
      </c>
      <c r="O48" s="7">
        <f>MROUND(N48,"1:00")</f>
        <v>0.41666666666666663</v>
      </c>
    </row>
    <row r="49" spans="2:15" ht="18" customHeight="1">
      <c r="B49" s="4">
        <v>2</v>
      </c>
      <c r="C49" s="58" t="s">
        <v>18</v>
      </c>
      <c r="D49" s="57" t="s">
        <v>19</v>
      </c>
      <c r="E49" s="57" t="s">
        <v>57</v>
      </c>
      <c r="F49" s="5">
        <v>36535</v>
      </c>
      <c r="G49" s="5">
        <v>45429</v>
      </c>
      <c r="H49" s="60">
        <f t="shared" ref="H49:H67" si="0">DATEDIF(F49,$D$45,"Y")</f>
        <v>25</v>
      </c>
      <c r="I49" s="60">
        <f t="shared" ref="I49:I67" si="1">DATEDIF(G49,$D$45,"Y")</f>
        <v>1</v>
      </c>
      <c r="J49" s="60">
        <f t="shared" ref="J49:J67" si="2">DATEDIF(G49,$D$45,"YM")</f>
        <v>3</v>
      </c>
      <c r="K49" s="60">
        <f t="shared" ref="K49:K67" si="3">DATEDIF(G49,$D$45,"MD")</f>
        <v>0</v>
      </c>
      <c r="L49" s="59">
        <v>0.37457175925925923</v>
      </c>
      <c r="M49" s="59">
        <v>0.71932870370370372</v>
      </c>
      <c r="N49" s="7">
        <f t="shared" ref="N49:N67" si="4">M49-L49</f>
        <v>0.34475694444444449</v>
      </c>
      <c r="O49" s="7">
        <f t="shared" ref="O49:O67" si="5">MROUND(N49,"1:00")</f>
        <v>0.33333333333333331</v>
      </c>
    </row>
    <row r="50" spans="2:15" ht="18" customHeight="1">
      <c r="B50" s="4">
        <v>3</v>
      </c>
      <c r="C50" s="58" t="s">
        <v>20</v>
      </c>
      <c r="D50" s="57" t="s">
        <v>21</v>
      </c>
      <c r="E50" s="57" t="s">
        <v>58</v>
      </c>
      <c r="F50" s="5">
        <v>28555</v>
      </c>
      <c r="G50" s="5">
        <v>38239</v>
      </c>
      <c r="H50" s="60">
        <f t="shared" si="0"/>
        <v>47</v>
      </c>
      <c r="I50" s="60">
        <f t="shared" si="1"/>
        <v>20</v>
      </c>
      <c r="J50" s="60">
        <f t="shared" si="2"/>
        <v>11</v>
      </c>
      <c r="K50" s="60">
        <f t="shared" si="3"/>
        <v>8</v>
      </c>
      <c r="L50" s="59">
        <v>0.36206018518518518</v>
      </c>
      <c r="M50" s="59">
        <v>0.69539351851851849</v>
      </c>
      <c r="N50" s="7">
        <f t="shared" si="4"/>
        <v>0.33333333333333331</v>
      </c>
      <c r="O50" s="7">
        <f t="shared" si="5"/>
        <v>0.33333333333333331</v>
      </c>
    </row>
    <row r="51" spans="2:15" ht="18" customHeight="1">
      <c r="B51" s="4">
        <v>4</v>
      </c>
      <c r="C51" s="58" t="s">
        <v>22</v>
      </c>
      <c r="D51" s="57" t="s">
        <v>23</v>
      </c>
      <c r="E51" s="57" t="s">
        <v>57</v>
      </c>
      <c r="F51" s="5">
        <v>27551</v>
      </c>
      <c r="G51" s="5">
        <v>38464</v>
      </c>
      <c r="H51" s="60">
        <f t="shared" si="0"/>
        <v>50</v>
      </c>
      <c r="I51" s="60">
        <f t="shared" si="1"/>
        <v>20</v>
      </c>
      <c r="J51" s="60">
        <f t="shared" si="2"/>
        <v>3</v>
      </c>
      <c r="K51" s="60">
        <f t="shared" si="3"/>
        <v>26</v>
      </c>
      <c r="L51" s="59">
        <v>0.3094675925925926</v>
      </c>
      <c r="M51" s="59">
        <v>0.76178240740740744</v>
      </c>
      <c r="N51" s="7">
        <f t="shared" si="4"/>
        <v>0.45231481481481484</v>
      </c>
      <c r="O51" s="7">
        <f t="shared" si="5"/>
        <v>0.45833333333333331</v>
      </c>
    </row>
    <row r="52" spans="2:15" ht="18" customHeight="1">
      <c r="B52" s="4">
        <v>5</v>
      </c>
      <c r="C52" s="58" t="s">
        <v>24</v>
      </c>
      <c r="D52" s="57" t="s">
        <v>25</v>
      </c>
      <c r="E52" s="57" t="s">
        <v>57</v>
      </c>
      <c r="F52" s="5">
        <v>26177</v>
      </c>
      <c r="G52" s="5">
        <v>33340</v>
      </c>
      <c r="H52" s="60">
        <f t="shared" si="0"/>
        <v>53</v>
      </c>
      <c r="I52" s="60">
        <f t="shared" si="1"/>
        <v>34</v>
      </c>
      <c r="J52" s="60">
        <f t="shared" si="2"/>
        <v>4</v>
      </c>
      <c r="K52" s="60">
        <f t="shared" si="3"/>
        <v>5</v>
      </c>
      <c r="L52" s="59">
        <v>0.37892361111111111</v>
      </c>
      <c r="M52" s="59">
        <v>0.77350694444444434</v>
      </c>
      <c r="N52" s="7">
        <f t="shared" si="4"/>
        <v>0.39458333333333323</v>
      </c>
      <c r="O52" s="7">
        <f t="shared" si="5"/>
        <v>0.375</v>
      </c>
    </row>
    <row r="53" spans="2:15" ht="18" customHeight="1">
      <c r="B53" s="4">
        <v>6</v>
      </c>
      <c r="C53" s="58" t="s">
        <v>26</v>
      </c>
      <c r="D53" s="57" t="s">
        <v>27</v>
      </c>
      <c r="E53" s="57" t="s">
        <v>58</v>
      </c>
      <c r="F53" s="5">
        <v>36187</v>
      </c>
      <c r="G53" s="5">
        <v>43875</v>
      </c>
      <c r="H53" s="60">
        <f t="shared" si="0"/>
        <v>26</v>
      </c>
      <c r="I53" s="60">
        <f t="shared" si="1"/>
        <v>5</v>
      </c>
      <c r="J53" s="60">
        <f t="shared" si="2"/>
        <v>6</v>
      </c>
      <c r="K53" s="60">
        <f t="shared" si="3"/>
        <v>3</v>
      </c>
      <c r="L53" s="59">
        <v>0.36125000000000002</v>
      </c>
      <c r="M53" s="59">
        <v>0.69458333333333333</v>
      </c>
      <c r="N53" s="7">
        <f t="shared" si="4"/>
        <v>0.33333333333333331</v>
      </c>
      <c r="O53" s="7">
        <f t="shared" si="5"/>
        <v>0.33333333333333331</v>
      </c>
    </row>
    <row r="54" spans="2:15" ht="18" customHeight="1">
      <c r="B54" s="4">
        <v>7</v>
      </c>
      <c r="C54" s="58" t="s">
        <v>28</v>
      </c>
      <c r="D54" s="57" t="s">
        <v>29</v>
      </c>
      <c r="E54" s="57" t="s">
        <v>56</v>
      </c>
      <c r="F54" s="5">
        <v>34976</v>
      </c>
      <c r="G54" s="5">
        <v>41975</v>
      </c>
      <c r="H54" s="60">
        <f t="shared" si="0"/>
        <v>29</v>
      </c>
      <c r="I54" s="60">
        <f t="shared" si="1"/>
        <v>10</v>
      </c>
      <c r="J54" s="60">
        <f t="shared" si="2"/>
        <v>8</v>
      </c>
      <c r="K54" s="60">
        <f t="shared" si="3"/>
        <v>15</v>
      </c>
      <c r="L54" s="59">
        <v>0.37379629629629635</v>
      </c>
      <c r="M54" s="59">
        <v>0.70712962962962966</v>
      </c>
      <c r="N54" s="7">
        <f t="shared" si="4"/>
        <v>0.33333333333333331</v>
      </c>
      <c r="O54" s="7">
        <f t="shared" si="5"/>
        <v>0.33333333333333331</v>
      </c>
    </row>
    <row r="55" spans="2:15" ht="18" customHeight="1">
      <c r="B55" s="4">
        <v>8</v>
      </c>
      <c r="C55" s="58" t="s">
        <v>30</v>
      </c>
      <c r="D55" s="57" t="s">
        <v>31</v>
      </c>
      <c r="E55" s="57" t="s">
        <v>58</v>
      </c>
      <c r="F55" s="5">
        <v>36472</v>
      </c>
      <c r="G55" s="5">
        <v>45152</v>
      </c>
      <c r="H55" s="60">
        <f t="shared" si="0"/>
        <v>25</v>
      </c>
      <c r="I55" s="60">
        <f t="shared" si="1"/>
        <v>2</v>
      </c>
      <c r="J55" s="60">
        <f t="shared" si="2"/>
        <v>0</v>
      </c>
      <c r="K55" s="60">
        <f t="shared" si="3"/>
        <v>3</v>
      </c>
      <c r="L55" s="59">
        <v>0.39804398148148151</v>
      </c>
      <c r="M55" s="59">
        <v>0.73137731481481483</v>
      </c>
      <c r="N55" s="7">
        <f t="shared" si="4"/>
        <v>0.33333333333333331</v>
      </c>
      <c r="O55" s="7">
        <f t="shared" si="5"/>
        <v>0.33333333333333331</v>
      </c>
    </row>
    <row r="56" spans="2:15" ht="18" customHeight="1">
      <c r="B56" s="4">
        <v>9</v>
      </c>
      <c r="C56" s="58" t="s">
        <v>32</v>
      </c>
      <c r="D56" s="57" t="s">
        <v>33</v>
      </c>
      <c r="E56" s="57" t="s">
        <v>56</v>
      </c>
      <c r="F56" s="5">
        <v>24458</v>
      </c>
      <c r="G56" s="5">
        <v>34837</v>
      </c>
      <c r="H56" s="60">
        <f t="shared" si="0"/>
        <v>58</v>
      </c>
      <c r="I56" s="60">
        <f t="shared" si="1"/>
        <v>30</v>
      </c>
      <c r="J56" s="60">
        <f t="shared" si="2"/>
        <v>2</v>
      </c>
      <c r="K56" s="60">
        <f t="shared" si="3"/>
        <v>30</v>
      </c>
      <c r="L56" s="59">
        <v>0.39285879629629633</v>
      </c>
      <c r="M56" s="59">
        <v>0.78831018518518514</v>
      </c>
      <c r="N56" s="7">
        <f t="shared" si="4"/>
        <v>0.39545138888888881</v>
      </c>
      <c r="O56" s="7">
        <f t="shared" si="5"/>
        <v>0.375</v>
      </c>
    </row>
    <row r="57" spans="2:15" ht="18" customHeight="1">
      <c r="B57" s="4">
        <v>10</v>
      </c>
      <c r="C57" s="58" t="s">
        <v>34</v>
      </c>
      <c r="D57" s="57" t="s">
        <v>35</v>
      </c>
      <c r="E57" s="57" t="s">
        <v>56</v>
      </c>
      <c r="F57" s="5">
        <v>23840</v>
      </c>
      <c r="G57" s="5">
        <v>30702</v>
      </c>
      <c r="H57" s="60">
        <f t="shared" si="0"/>
        <v>60</v>
      </c>
      <c r="I57" s="60">
        <f t="shared" si="1"/>
        <v>41</v>
      </c>
      <c r="J57" s="60">
        <f t="shared" si="2"/>
        <v>6</v>
      </c>
      <c r="K57" s="60">
        <f t="shared" si="3"/>
        <v>27</v>
      </c>
      <c r="L57" s="59">
        <v>0.4107986111111111</v>
      </c>
      <c r="M57" s="59">
        <v>0.74413194444444442</v>
      </c>
      <c r="N57" s="7">
        <f t="shared" si="4"/>
        <v>0.33333333333333331</v>
      </c>
      <c r="O57" s="7">
        <f t="shared" si="5"/>
        <v>0.33333333333333331</v>
      </c>
    </row>
    <row r="58" spans="2:15" ht="18" customHeight="1">
      <c r="B58" s="4">
        <v>11</v>
      </c>
      <c r="C58" s="58" t="s">
        <v>36</v>
      </c>
      <c r="D58" s="57" t="s">
        <v>37</v>
      </c>
      <c r="E58" s="57" t="s">
        <v>57</v>
      </c>
      <c r="F58" s="5">
        <v>36610</v>
      </c>
      <c r="G58" s="5">
        <v>45729</v>
      </c>
      <c r="H58" s="60">
        <f t="shared" si="0"/>
        <v>25</v>
      </c>
      <c r="I58" s="60">
        <f t="shared" si="1"/>
        <v>0</v>
      </c>
      <c r="J58" s="60">
        <f t="shared" si="2"/>
        <v>5</v>
      </c>
      <c r="K58" s="60">
        <f t="shared" si="3"/>
        <v>4</v>
      </c>
      <c r="L58" s="59">
        <v>0.36091435185185183</v>
      </c>
      <c r="M58" s="59">
        <v>0.78273148148148142</v>
      </c>
      <c r="N58" s="7">
        <f t="shared" si="4"/>
        <v>0.42181712962962958</v>
      </c>
      <c r="O58" s="7">
        <f t="shared" si="5"/>
        <v>0.41666666666666663</v>
      </c>
    </row>
    <row r="59" spans="2:15" ht="18" customHeight="1">
      <c r="B59" s="4">
        <v>12</v>
      </c>
      <c r="C59" s="58" t="s">
        <v>38</v>
      </c>
      <c r="D59" s="57" t="s">
        <v>39</v>
      </c>
      <c r="E59" s="57" t="s">
        <v>56</v>
      </c>
      <c r="F59" s="5">
        <v>34278</v>
      </c>
      <c r="G59" s="5">
        <v>41462</v>
      </c>
      <c r="H59" s="60">
        <f t="shared" si="0"/>
        <v>31</v>
      </c>
      <c r="I59" s="60">
        <f t="shared" si="1"/>
        <v>12</v>
      </c>
      <c r="J59" s="60">
        <f t="shared" si="2"/>
        <v>1</v>
      </c>
      <c r="K59" s="60">
        <f t="shared" si="3"/>
        <v>10</v>
      </c>
      <c r="L59" s="59">
        <v>0.34413194444444445</v>
      </c>
      <c r="M59" s="59">
        <v>0.77375000000000005</v>
      </c>
      <c r="N59" s="7">
        <f t="shared" si="4"/>
        <v>0.4296180555555556</v>
      </c>
      <c r="O59" s="7">
        <f t="shared" si="5"/>
        <v>0.41666666666666663</v>
      </c>
    </row>
    <row r="60" spans="2:15" ht="18" customHeight="1">
      <c r="B60" s="4">
        <v>13</v>
      </c>
      <c r="C60" s="58" t="s">
        <v>40</v>
      </c>
      <c r="D60" s="57" t="s">
        <v>41</v>
      </c>
      <c r="E60" s="57" t="s">
        <v>58</v>
      </c>
      <c r="F60" s="5">
        <v>32013</v>
      </c>
      <c r="G60" s="5">
        <v>41828</v>
      </c>
      <c r="H60" s="60">
        <f t="shared" si="0"/>
        <v>37</v>
      </c>
      <c r="I60" s="60">
        <f t="shared" si="1"/>
        <v>11</v>
      </c>
      <c r="J60" s="60">
        <f t="shared" si="2"/>
        <v>1</v>
      </c>
      <c r="K60" s="60">
        <f t="shared" si="3"/>
        <v>9</v>
      </c>
      <c r="L60" s="59">
        <v>0.33252314814814815</v>
      </c>
      <c r="M60" s="59">
        <v>0.73049768518518521</v>
      </c>
      <c r="N60" s="7">
        <f t="shared" si="4"/>
        <v>0.39797453703703706</v>
      </c>
      <c r="O60" s="7">
        <f t="shared" si="5"/>
        <v>0.41666666666666663</v>
      </c>
    </row>
    <row r="61" spans="2:15" ht="18" customHeight="1">
      <c r="B61" s="4">
        <v>14</v>
      </c>
      <c r="C61" s="58" t="s">
        <v>42</v>
      </c>
      <c r="D61" s="57" t="s">
        <v>43</v>
      </c>
      <c r="E61" s="57" t="s">
        <v>58</v>
      </c>
      <c r="F61" s="5">
        <v>29665</v>
      </c>
      <c r="G61" s="5">
        <v>37566</v>
      </c>
      <c r="H61" s="60">
        <f t="shared" si="0"/>
        <v>44</v>
      </c>
      <c r="I61" s="60">
        <f t="shared" si="1"/>
        <v>22</v>
      </c>
      <c r="J61" s="60">
        <f t="shared" si="2"/>
        <v>9</v>
      </c>
      <c r="K61" s="60">
        <f t="shared" si="3"/>
        <v>11</v>
      </c>
      <c r="L61" s="59">
        <v>0.39327546296296295</v>
      </c>
      <c r="M61" s="59">
        <v>0.7481944444444445</v>
      </c>
      <c r="N61" s="7">
        <f t="shared" si="4"/>
        <v>0.35491898148148154</v>
      </c>
      <c r="O61" s="7">
        <f t="shared" si="5"/>
        <v>0.375</v>
      </c>
    </row>
    <row r="62" spans="2:15" ht="18" customHeight="1">
      <c r="B62" s="4">
        <v>15</v>
      </c>
      <c r="C62" s="58" t="s">
        <v>44</v>
      </c>
      <c r="D62" s="57" t="s">
        <v>45</v>
      </c>
      <c r="E62" s="57" t="s">
        <v>58</v>
      </c>
      <c r="F62" s="5">
        <v>27488</v>
      </c>
      <c r="G62" s="5">
        <v>35878</v>
      </c>
      <c r="H62" s="60">
        <f t="shared" si="0"/>
        <v>50</v>
      </c>
      <c r="I62" s="60">
        <f t="shared" si="1"/>
        <v>27</v>
      </c>
      <c r="J62" s="60">
        <f t="shared" si="2"/>
        <v>4</v>
      </c>
      <c r="K62" s="60">
        <f t="shared" si="3"/>
        <v>24</v>
      </c>
      <c r="L62" s="59">
        <v>0.33656250000000004</v>
      </c>
      <c r="M62" s="59">
        <v>0.68958333333333333</v>
      </c>
      <c r="N62" s="7">
        <f t="shared" si="4"/>
        <v>0.35302083333333328</v>
      </c>
      <c r="O62" s="7">
        <f t="shared" si="5"/>
        <v>0.33333333333333331</v>
      </c>
    </row>
    <row r="63" spans="2:15" ht="18" customHeight="1">
      <c r="B63" s="4">
        <v>16</v>
      </c>
      <c r="C63" s="58" t="s">
        <v>46</v>
      </c>
      <c r="D63" s="57" t="s">
        <v>47</v>
      </c>
      <c r="E63" s="57" t="s">
        <v>56</v>
      </c>
      <c r="F63" s="5">
        <v>35312</v>
      </c>
      <c r="G63" s="5">
        <v>45190</v>
      </c>
      <c r="H63" s="60">
        <f t="shared" si="0"/>
        <v>28</v>
      </c>
      <c r="I63" s="60">
        <f t="shared" si="1"/>
        <v>1</v>
      </c>
      <c r="J63" s="60">
        <f t="shared" si="2"/>
        <v>10</v>
      </c>
      <c r="K63" s="60">
        <f t="shared" si="3"/>
        <v>27</v>
      </c>
      <c r="L63" s="59">
        <v>0.35015046296296298</v>
      </c>
      <c r="M63" s="59">
        <v>0.69021990740740735</v>
      </c>
      <c r="N63" s="7">
        <f t="shared" si="4"/>
        <v>0.34006944444444437</v>
      </c>
      <c r="O63" s="7">
        <f t="shared" si="5"/>
        <v>0.33333333333333331</v>
      </c>
    </row>
    <row r="64" spans="2:15" ht="18" customHeight="1">
      <c r="B64" s="4">
        <v>17</v>
      </c>
      <c r="C64" s="58" t="s">
        <v>48</v>
      </c>
      <c r="D64" s="57" t="s">
        <v>49</v>
      </c>
      <c r="E64" s="57" t="s">
        <v>57</v>
      </c>
      <c r="F64" s="5">
        <v>24202</v>
      </c>
      <c r="G64" s="5">
        <v>34106</v>
      </c>
      <c r="H64" s="60">
        <f t="shared" si="0"/>
        <v>59</v>
      </c>
      <c r="I64" s="60">
        <f t="shared" si="1"/>
        <v>32</v>
      </c>
      <c r="J64" s="60">
        <f t="shared" si="2"/>
        <v>3</v>
      </c>
      <c r="K64" s="60">
        <f t="shared" si="3"/>
        <v>0</v>
      </c>
      <c r="L64" s="59">
        <v>0.37962962962962959</v>
      </c>
      <c r="M64" s="59">
        <v>0.73363425925925929</v>
      </c>
      <c r="N64" s="7">
        <f t="shared" si="4"/>
        <v>0.3540046296296297</v>
      </c>
      <c r="O64" s="7">
        <f t="shared" si="5"/>
        <v>0.33333333333333331</v>
      </c>
    </row>
    <row r="65" spans="2:15" ht="18" customHeight="1">
      <c r="B65" s="4">
        <v>18</v>
      </c>
      <c r="C65" s="58" t="s">
        <v>50</v>
      </c>
      <c r="D65" s="57" t="s">
        <v>51</v>
      </c>
      <c r="E65" s="57" t="s">
        <v>57</v>
      </c>
      <c r="F65" s="5">
        <v>26619</v>
      </c>
      <c r="G65" s="5">
        <v>36325</v>
      </c>
      <c r="H65" s="60">
        <f t="shared" si="0"/>
        <v>52</v>
      </c>
      <c r="I65" s="60">
        <f t="shared" si="1"/>
        <v>26</v>
      </c>
      <c r="J65" s="60">
        <f t="shared" si="2"/>
        <v>2</v>
      </c>
      <c r="K65" s="60">
        <f t="shared" si="3"/>
        <v>3</v>
      </c>
      <c r="L65" s="59">
        <v>0.40760416666666671</v>
      </c>
      <c r="M65" s="59">
        <v>0.74093750000000003</v>
      </c>
      <c r="N65" s="7">
        <f t="shared" si="4"/>
        <v>0.33333333333333331</v>
      </c>
      <c r="O65" s="7">
        <f t="shared" si="5"/>
        <v>0.33333333333333331</v>
      </c>
    </row>
    <row r="66" spans="2:15" ht="18" customHeight="1">
      <c r="B66" s="4">
        <v>19</v>
      </c>
      <c r="C66" s="58" t="s">
        <v>52</v>
      </c>
      <c r="D66" s="57" t="s">
        <v>53</v>
      </c>
      <c r="E66" s="57" t="s">
        <v>56</v>
      </c>
      <c r="F66" s="5">
        <v>37009</v>
      </c>
      <c r="G66" s="5">
        <v>44575</v>
      </c>
      <c r="H66" s="60">
        <f t="shared" si="0"/>
        <v>24</v>
      </c>
      <c r="I66" s="60">
        <f t="shared" si="1"/>
        <v>3</v>
      </c>
      <c r="J66" s="60">
        <f t="shared" si="2"/>
        <v>7</v>
      </c>
      <c r="K66" s="60">
        <f t="shared" si="3"/>
        <v>3</v>
      </c>
      <c r="L66" s="59">
        <v>0.31649305555555557</v>
      </c>
      <c r="M66" s="59">
        <v>0.70929398148148148</v>
      </c>
      <c r="N66" s="7">
        <f t="shared" si="4"/>
        <v>0.39280092592592591</v>
      </c>
      <c r="O66" s="7">
        <f t="shared" si="5"/>
        <v>0.375</v>
      </c>
    </row>
    <row r="67" spans="2:15" ht="18" customHeight="1">
      <c r="B67" s="4">
        <v>20</v>
      </c>
      <c r="C67" s="58" t="s">
        <v>54</v>
      </c>
      <c r="D67" s="57" t="s">
        <v>55</v>
      </c>
      <c r="E67" s="57" t="s">
        <v>57</v>
      </c>
      <c r="F67" s="5">
        <v>36790</v>
      </c>
      <c r="G67" s="5">
        <v>44992</v>
      </c>
      <c r="H67" s="60">
        <f t="shared" si="0"/>
        <v>24</v>
      </c>
      <c r="I67" s="60">
        <f t="shared" si="1"/>
        <v>2</v>
      </c>
      <c r="J67" s="60">
        <f t="shared" si="2"/>
        <v>5</v>
      </c>
      <c r="K67" s="60">
        <f t="shared" si="3"/>
        <v>10</v>
      </c>
      <c r="L67" s="59">
        <v>0.33103009259259258</v>
      </c>
      <c r="M67" s="59">
        <v>0.76408564814814817</v>
      </c>
      <c r="N67" s="7">
        <f t="shared" si="4"/>
        <v>0.43305555555555558</v>
      </c>
      <c r="O67" s="7">
        <f t="shared" si="5"/>
        <v>0.41666666666666663</v>
      </c>
    </row>
    <row r="70" spans="2:15" ht="15.75" thickBot="1"/>
    <row r="71" spans="2:15" ht="16.5" thickBot="1">
      <c r="C71" s="12"/>
      <c r="D71" s="39" t="s">
        <v>113</v>
      </c>
      <c r="E71" s="37">
        <v>7</v>
      </c>
      <c r="F71" s="37">
        <v>8</v>
      </c>
      <c r="G71" s="37">
        <v>9</v>
      </c>
      <c r="H71" s="37">
        <v>10</v>
      </c>
      <c r="I71" s="37">
        <v>11</v>
      </c>
      <c r="J71" s="37">
        <v>12</v>
      </c>
      <c r="K71" s="37">
        <v>13</v>
      </c>
      <c r="L71" s="37">
        <v>14</v>
      </c>
      <c r="M71" s="37">
        <v>15</v>
      </c>
    </row>
    <row r="72" spans="2:15" ht="45">
      <c r="B72" s="2" t="s">
        <v>0</v>
      </c>
      <c r="C72" s="3" t="s">
        <v>10</v>
      </c>
      <c r="D72" s="3" t="s">
        <v>11</v>
      </c>
      <c r="E72" s="3" t="s">
        <v>12</v>
      </c>
      <c r="F72" s="3" t="s">
        <v>13</v>
      </c>
      <c r="G72" s="3" t="s">
        <v>59</v>
      </c>
      <c r="H72" s="3" t="s">
        <v>14</v>
      </c>
      <c r="I72" s="3" t="s">
        <v>70</v>
      </c>
      <c r="J72" s="3" t="s">
        <v>15</v>
      </c>
      <c r="K72" s="3" t="s">
        <v>62</v>
      </c>
      <c r="L72" s="3" t="s">
        <v>60</v>
      </c>
      <c r="M72" s="3" t="s">
        <v>61</v>
      </c>
    </row>
    <row r="73" spans="2:15" ht="18" customHeight="1">
      <c r="B73" s="4">
        <v>1</v>
      </c>
      <c r="C73" s="5">
        <v>45664</v>
      </c>
      <c r="D73" s="4">
        <v>86</v>
      </c>
      <c r="E73" s="9" t="str">
        <f>TEXT(C73,"[$-421]dddd")</f>
        <v>Selasa</v>
      </c>
      <c r="F73" s="60">
        <f>WEEKNUM(C73)</f>
        <v>2</v>
      </c>
      <c r="G73" s="60">
        <f>WEEKNUM(C73)-WEEKNUM(EOMONTH(C73,-1)+1)+1</f>
        <v>2</v>
      </c>
      <c r="H73" s="8">
        <f>WORKDAY.INTL(C73,D73,11)</f>
        <v>45764</v>
      </c>
      <c r="I73" s="8">
        <f>WORKDAY.INTL(EOMONTH(H73,0)+26,-1,11)</f>
        <v>45801</v>
      </c>
      <c r="J73" s="6" t="str">
        <f>IF(H73&lt;$D$45,"Selesai",IF(C73&gt;$D$45,"Akan Datang","Sedang Berjalan"))</f>
        <v>Selesai</v>
      </c>
      <c r="K73" s="8">
        <f>EOMONTH(C73,0)+1</f>
        <v>45689</v>
      </c>
      <c r="L73" s="8">
        <f>EDATE(C73,3)</f>
        <v>45754</v>
      </c>
      <c r="M73" s="8">
        <f>EOMONTH(C73,6)</f>
        <v>45869</v>
      </c>
    </row>
    <row r="74" spans="2:15" ht="18" customHeight="1">
      <c r="B74" s="4">
        <v>2</v>
      </c>
      <c r="C74" s="5">
        <v>45870</v>
      </c>
      <c r="D74" s="4">
        <v>65</v>
      </c>
      <c r="E74" s="9" t="str">
        <f t="shared" ref="E74:E92" si="6">TEXT(C74,"[$-421]dddd")</f>
        <v>Jumat</v>
      </c>
      <c r="F74" s="60">
        <f t="shared" ref="F74:F92" si="7">WEEKNUM(C74)</f>
        <v>31</v>
      </c>
      <c r="G74" s="60">
        <f t="shared" ref="G74:G92" si="8">WEEKNUM(C74)-WEEKNUM(EOMONTH(C74,-1)+1)+1</f>
        <v>1</v>
      </c>
      <c r="H74" s="8">
        <f t="shared" ref="H74:H92" si="9">WORKDAY.INTL(C74,D74,11)</f>
        <v>45946</v>
      </c>
      <c r="I74" s="8">
        <f t="shared" ref="I74:I92" si="10">WORKDAY.INTL(EOMONTH(H74,0)+26,-1,11)</f>
        <v>45986</v>
      </c>
      <c r="J74" s="6" t="str">
        <f t="shared" ref="J74:J92" si="11">IF(H74&lt;$D$45,"Selesai",IF(C74&gt;$D$45,"Akan Datang","Sedang Berjalan"))</f>
        <v>Sedang Berjalan</v>
      </c>
      <c r="K74" s="8">
        <f t="shared" ref="K74:K92" si="12">EOMONTH(C74,0)+1</f>
        <v>45901</v>
      </c>
      <c r="L74" s="8">
        <f t="shared" ref="L74:L92" si="13">EDATE(C74,3)</f>
        <v>45962</v>
      </c>
      <c r="M74" s="8">
        <f t="shared" ref="M74:M92" si="14">EOMONTH(C74,6)</f>
        <v>46081</v>
      </c>
    </row>
    <row r="75" spans="2:15" ht="18" customHeight="1">
      <c r="B75" s="4">
        <v>3</v>
      </c>
      <c r="C75" s="5">
        <v>46365</v>
      </c>
      <c r="D75" s="4">
        <v>51</v>
      </c>
      <c r="E75" s="9" t="str">
        <f t="shared" si="6"/>
        <v>Rabu</v>
      </c>
      <c r="F75" s="60">
        <f t="shared" si="7"/>
        <v>50</v>
      </c>
      <c r="G75" s="60">
        <f t="shared" si="8"/>
        <v>2</v>
      </c>
      <c r="H75" s="8">
        <f t="shared" si="9"/>
        <v>46424</v>
      </c>
      <c r="I75" s="8">
        <f t="shared" si="10"/>
        <v>46471</v>
      </c>
      <c r="J75" s="6" t="str">
        <f t="shared" si="11"/>
        <v>Akan Datang</v>
      </c>
      <c r="K75" s="8">
        <f t="shared" si="12"/>
        <v>46388</v>
      </c>
      <c r="L75" s="8">
        <f t="shared" si="13"/>
        <v>46455</v>
      </c>
      <c r="M75" s="8">
        <f t="shared" si="14"/>
        <v>46568</v>
      </c>
    </row>
    <row r="76" spans="2:15" ht="18" customHeight="1">
      <c r="B76" s="4">
        <v>4</v>
      </c>
      <c r="C76" s="5">
        <v>45709</v>
      </c>
      <c r="D76" s="4">
        <v>34</v>
      </c>
      <c r="E76" s="9" t="str">
        <f t="shared" si="6"/>
        <v>Jumat</v>
      </c>
      <c r="F76" s="60">
        <f t="shared" si="7"/>
        <v>8</v>
      </c>
      <c r="G76" s="60">
        <f t="shared" si="8"/>
        <v>4</v>
      </c>
      <c r="H76" s="8">
        <f t="shared" si="9"/>
        <v>45749</v>
      </c>
      <c r="I76" s="8">
        <f t="shared" si="10"/>
        <v>45801</v>
      </c>
      <c r="J76" s="6" t="str">
        <f t="shared" si="11"/>
        <v>Selesai</v>
      </c>
      <c r="K76" s="8">
        <f t="shared" si="12"/>
        <v>45717</v>
      </c>
      <c r="L76" s="8">
        <f t="shared" si="13"/>
        <v>45798</v>
      </c>
      <c r="M76" s="8">
        <f t="shared" si="14"/>
        <v>45900</v>
      </c>
    </row>
    <row r="77" spans="2:15" ht="18" customHeight="1">
      <c r="B77" s="4">
        <v>5</v>
      </c>
      <c r="C77" s="5">
        <v>46013</v>
      </c>
      <c r="D77" s="4">
        <v>16</v>
      </c>
      <c r="E77" s="9" t="str">
        <f t="shared" si="6"/>
        <v>Senin</v>
      </c>
      <c r="F77" s="60">
        <f t="shared" si="7"/>
        <v>52</v>
      </c>
      <c r="G77" s="60">
        <f t="shared" si="8"/>
        <v>4</v>
      </c>
      <c r="H77" s="8">
        <f t="shared" si="9"/>
        <v>46031</v>
      </c>
      <c r="I77" s="8">
        <f t="shared" si="10"/>
        <v>46078</v>
      </c>
      <c r="J77" s="6" t="str">
        <f t="shared" si="11"/>
        <v>Akan Datang</v>
      </c>
      <c r="K77" s="8">
        <f t="shared" si="12"/>
        <v>46023</v>
      </c>
      <c r="L77" s="8">
        <f t="shared" si="13"/>
        <v>46103</v>
      </c>
      <c r="M77" s="8">
        <f t="shared" si="14"/>
        <v>46203</v>
      </c>
    </row>
    <row r="78" spans="2:15" ht="18" customHeight="1">
      <c r="B78" s="4">
        <v>6</v>
      </c>
      <c r="C78" s="5">
        <v>45863</v>
      </c>
      <c r="D78" s="4">
        <v>32</v>
      </c>
      <c r="E78" s="9" t="str">
        <f t="shared" si="6"/>
        <v>Jumat</v>
      </c>
      <c r="F78" s="60">
        <f t="shared" si="7"/>
        <v>30</v>
      </c>
      <c r="G78" s="60">
        <f t="shared" si="8"/>
        <v>4</v>
      </c>
      <c r="H78" s="8">
        <f t="shared" si="9"/>
        <v>45901</v>
      </c>
      <c r="I78" s="8">
        <f t="shared" si="10"/>
        <v>45955</v>
      </c>
      <c r="J78" s="6" t="str">
        <f t="shared" si="11"/>
        <v>Sedang Berjalan</v>
      </c>
      <c r="K78" s="8">
        <f t="shared" si="12"/>
        <v>45870</v>
      </c>
      <c r="L78" s="8">
        <f t="shared" si="13"/>
        <v>45955</v>
      </c>
      <c r="M78" s="8">
        <f t="shared" si="14"/>
        <v>46053</v>
      </c>
    </row>
    <row r="79" spans="2:15" ht="18" customHeight="1">
      <c r="B79" s="4">
        <v>7</v>
      </c>
      <c r="C79" s="5">
        <v>46080</v>
      </c>
      <c r="D79" s="4">
        <v>62</v>
      </c>
      <c r="E79" s="9" t="str">
        <f t="shared" si="6"/>
        <v>Jumat</v>
      </c>
      <c r="F79" s="60">
        <f t="shared" si="7"/>
        <v>9</v>
      </c>
      <c r="G79" s="60">
        <f t="shared" si="8"/>
        <v>4</v>
      </c>
      <c r="H79" s="8">
        <f t="shared" si="9"/>
        <v>46153</v>
      </c>
      <c r="I79" s="8">
        <f t="shared" si="10"/>
        <v>46198</v>
      </c>
      <c r="J79" s="6" t="str">
        <f t="shared" si="11"/>
        <v>Akan Datang</v>
      </c>
      <c r="K79" s="8">
        <f t="shared" si="12"/>
        <v>46082</v>
      </c>
      <c r="L79" s="8">
        <f t="shared" si="13"/>
        <v>46169</v>
      </c>
      <c r="M79" s="8">
        <f t="shared" si="14"/>
        <v>46265</v>
      </c>
    </row>
    <row r="80" spans="2:15" ht="18" customHeight="1">
      <c r="B80" s="4">
        <v>8</v>
      </c>
      <c r="C80" s="5">
        <v>46097</v>
      </c>
      <c r="D80" s="4">
        <v>34</v>
      </c>
      <c r="E80" s="9" t="str">
        <f t="shared" si="6"/>
        <v>Senin</v>
      </c>
      <c r="F80" s="60">
        <f t="shared" si="7"/>
        <v>12</v>
      </c>
      <c r="G80" s="60">
        <f t="shared" si="8"/>
        <v>3</v>
      </c>
      <c r="H80" s="8">
        <f t="shared" si="9"/>
        <v>46136</v>
      </c>
      <c r="I80" s="8">
        <f t="shared" si="10"/>
        <v>46167</v>
      </c>
      <c r="J80" s="6" t="str">
        <f t="shared" si="11"/>
        <v>Akan Datang</v>
      </c>
      <c r="K80" s="8">
        <f t="shared" si="12"/>
        <v>46113</v>
      </c>
      <c r="L80" s="8">
        <f t="shared" si="13"/>
        <v>46189</v>
      </c>
      <c r="M80" s="8">
        <f t="shared" si="14"/>
        <v>46295</v>
      </c>
    </row>
    <row r="81" spans="1:14" ht="18" customHeight="1">
      <c r="B81" s="4">
        <v>9</v>
      </c>
      <c r="C81" s="5">
        <v>45805</v>
      </c>
      <c r="D81" s="4">
        <v>40</v>
      </c>
      <c r="E81" s="9" t="str">
        <f t="shared" si="6"/>
        <v>Rabu</v>
      </c>
      <c r="F81" s="60">
        <f t="shared" si="7"/>
        <v>22</v>
      </c>
      <c r="G81" s="60">
        <f t="shared" si="8"/>
        <v>5</v>
      </c>
      <c r="H81" s="8">
        <f t="shared" si="9"/>
        <v>45852</v>
      </c>
      <c r="I81" s="8">
        <f t="shared" si="10"/>
        <v>45894</v>
      </c>
      <c r="J81" s="6" t="str">
        <f t="shared" si="11"/>
        <v>Selesai</v>
      </c>
      <c r="K81" s="8">
        <f t="shared" si="12"/>
        <v>45809</v>
      </c>
      <c r="L81" s="8">
        <f t="shared" si="13"/>
        <v>45897</v>
      </c>
      <c r="M81" s="8">
        <f t="shared" si="14"/>
        <v>45991</v>
      </c>
    </row>
    <row r="82" spans="1:14" ht="18" customHeight="1">
      <c r="B82" s="4">
        <v>10</v>
      </c>
      <c r="C82" s="5">
        <v>46296</v>
      </c>
      <c r="D82" s="4">
        <v>12</v>
      </c>
      <c r="E82" s="9" t="str">
        <f t="shared" si="6"/>
        <v>Kamis</v>
      </c>
      <c r="F82" s="60">
        <f t="shared" si="7"/>
        <v>40</v>
      </c>
      <c r="G82" s="60">
        <f t="shared" si="8"/>
        <v>1</v>
      </c>
      <c r="H82" s="8">
        <f t="shared" si="9"/>
        <v>46310</v>
      </c>
      <c r="I82" s="8">
        <f t="shared" si="10"/>
        <v>46351</v>
      </c>
      <c r="J82" s="6" t="str">
        <f t="shared" si="11"/>
        <v>Akan Datang</v>
      </c>
      <c r="K82" s="8">
        <f t="shared" si="12"/>
        <v>46327</v>
      </c>
      <c r="L82" s="8">
        <f t="shared" si="13"/>
        <v>46388</v>
      </c>
      <c r="M82" s="8">
        <f t="shared" si="14"/>
        <v>46507</v>
      </c>
    </row>
    <row r="83" spans="1:14" ht="18" customHeight="1">
      <c r="B83" s="4">
        <v>11</v>
      </c>
      <c r="C83" s="5">
        <v>45876</v>
      </c>
      <c r="D83" s="4">
        <v>46</v>
      </c>
      <c r="E83" s="9" t="str">
        <f t="shared" si="6"/>
        <v>Kamis</v>
      </c>
      <c r="F83" s="60">
        <f t="shared" si="7"/>
        <v>32</v>
      </c>
      <c r="G83" s="60">
        <f t="shared" si="8"/>
        <v>2</v>
      </c>
      <c r="H83" s="8">
        <f t="shared" si="9"/>
        <v>45930</v>
      </c>
      <c r="I83" s="8">
        <f t="shared" si="10"/>
        <v>45955</v>
      </c>
      <c r="J83" s="6" t="str">
        <f t="shared" si="11"/>
        <v>Sedang Berjalan</v>
      </c>
      <c r="K83" s="8">
        <f t="shared" si="12"/>
        <v>45901</v>
      </c>
      <c r="L83" s="8">
        <f t="shared" si="13"/>
        <v>45968</v>
      </c>
      <c r="M83" s="8">
        <f t="shared" si="14"/>
        <v>46081</v>
      </c>
    </row>
    <row r="84" spans="1:14" ht="18" customHeight="1">
      <c r="B84" s="4">
        <v>12</v>
      </c>
      <c r="C84" s="5">
        <v>46371</v>
      </c>
      <c r="D84" s="4">
        <v>39</v>
      </c>
      <c r="E84" s="9" t="str">
        <f t="shared" si="6"/>
        <v>Selasa</v>
      </c>
      <c r="F84" s="60">
        <f t="shared" si="7"/>
        <v>51</v>
      </c>
      <c r="G84" s="60">
        <f t="shared" si="8"/>
        <v>3</v>
      </c>
      <c r="H84" s="8">
        <f t="shared" si="9"/>
        <v>46416</v>
      </c>
      <c r="I84" s="8">
        <f t="shared" si="10"/>
        <v>46443</v>
      </c>
      <c r="J84" s="6" t="str">
        <f t="shared" si="11"/>
        <v>Akan Datang</v>
      </c>
      <c r="K84" s="8">
        <f t="shared" si="12"/>
        <v>46388</v>
      </c>
      <c r="L84" s="8">
        <f t="shared" si="13"/>
        <v>46461</v>
      </c>
      <c r="M84" s="8">
        <f t="shared" si="14"/>
        <v>46568</v>
      </c>
    </row>
    <row r="85" spans="1:14" ht="18" customHeight="1">
      <c r="B85" s="4">
        <v>13</v>
      </c>
      <c r="C85" s="5">
        <v>46024</v>
      </c>
      <c r="D85" s="4">
        <v>32</v>
      </c>
      <c r="E85" s="9" t="str">
        <f t="shared" si="6"/>
        <v>Jumat</v>
      </c>
      <c r="F85" s="60">
        <f t="shared" si="7"/>
        <v>1</v>
      </c>
      <c r="G85" s="60">
        <f t="shared" si="8"/>
        <v>1</v>
      </c>
      <c r="H85" s="8">
        <f t="shared" si="9"/>
        <v>46062</v>
      </c>
      <c r="I85" s="8">
        <f t="shared" si="10"/>
        <v>46106</v>
      </c>
      <c r="J85" s="6" t="str">
        <f t="shared" si="11"/>
        <v>Akan Datang</v>
      </c>
      <c r="K85" s="8">
        <f t="shared" si="12"/>
        <v>46054</v>
      </c>
      <c r="L85" s="8">
        <f t="shared" si="13"/>
        <v>46114</v>
      </c>
      <c r="M85" s="8">
        <f t="shared" si="14"/>
        <v>46234</v>
      </c>
    </row>
    <row r="86" spans="1:14" ht="18" customHeight="1">
      <c r="B86" s="4">
        <v>14</v>
      </c>
      <c r="C86" s="5">
        <v>45775</v>
      </c>
      <c r="D86" s="4">
        <v>35</v>
      </c>
      <c r="E86" s="9" t="str">
        <f t="shared" si="6"/>
        <v>Senin</v>
      </c>
      <c r="F86" s="60">
        <f t="shared" si="7"/>
        <v>18</v>
      </c>
      <c r="G86" s="60">
        <f t="shared" si="8"/>
        <v>5</v>
      </c>
      <c r="H86" s="8">
        <f t="shared" si="9"/>
        <v>45815</v>
      </c>
      <c r="I86" s="8">
        <f t="shared" si="10"/>
        <v>45863</v>
      </c>
      <c r="J86" s="6" t="str">
        <f t="shared" si="11"/>
        <v>Selesai</v>
      </c>
      <c r="K86" s="8">
        <f t="shared" si="12"/>
        <v>45778</v>
      </c>
      <c r="L86" s="8">
        <f t="shared" si="13"/>
        <v>45866</v>
      </c>
      <c r="M86" s="8">
        <f t="shared" si="14"/>
        <v>45961</v>
      </c>
    </row>
    <row r="87" spans="1:14" ht="18" customHeight="1">
      <c r="B87" s="4">
        <v>15</v>
      </c>
      <c r="C87" s="5">
        <v>46296</v>
      </c>
      <c r="D87" s="4">
        <v>76</v>
      </c>
      <c r="E87" s="9" t="str">
        <f t="shared" si="6"/>
        <v>Kamis</v>
      </c>
      <c r="F87" s="60">
        <f t="shared" si="7"/>
        <v>40</v>
      </c>
      <c r="G87" s="60">
        <f t="shared" si="8"/>
        <v>1</v>
      </c>
      <c r="H87" s="8">
        <f t="shared" si="9"/>
        <v>46385</v>
      </c>
      <c r="I87" s="8">
        <f t="shared" si="10"/>
        <v>46412</v>
      </c>
      <c r="J87" s="6" t="str">
        <f t="shared" si="11"/>
        <v>Akan Datang</v>
      </c>
      <c r="K87" s="8">
        <f t="shared" si="12"/>
        <v>46327</v>
      </c>
      <c r="L87" s="8">
        <f t="shared" si="13"/>
        <v>46388</v>
      </c>
      <c r="M87" s="8">
        <f t="shared" si="14"/>
        <v>46507</v>
      </c>
    </row>
    <row r="88" spans="1:14" ht="18" customHeight="1">
      <c r="B88" s="4">
        <v>16</v>
      </c>
      <c r="C88" s="5">
        <v>46303</v>
      </c>
      <c r="D88" s="4">
        <v>57</v>
      </c>
      <c r="E88" s="9" t="str">
        <f t="shared" si="6"/>
        <v>Kamis</v>
      </c>
      <c r="F88" s="60">
        <f t="shared" si="7"/>
        <v>41</v>
      </c>
      <c r="G88" s="60">
        <f t="shared" si="8"/>
        <v>2</v>
      </c>
      <c r="H88" s="8">
        <f t="shared" si="9"/>
        <v>46370</v>
      </c>
      <c r="I88" s="8">
        <f t="shared" si="10"/>
        <v>46412</v>
      </c>
      <c r="J88" s="6" t="str">
        <f t="shared" si="11"/>
        <v>Akan Datang</v>
      </c>
      <c r="K88" s="8">
        <f t="shared" si="12"/>
        <v>46327</v>
      </c>
      <c r="L88" s="8">
        <f t="shared" si="13"/>
        <v>46395</v>
      </c>
      <c r="M88" s="8">
        <f t="shared" si="14"/>
        <v>46507</v>
      </c>
    </row>
    <row r="89" spans="1:14" ht="18" customHeight="1">
      <c r="B89" s="4">
        <v>17</v>
      </c>
      <c r="C89" s="5">
        <v>46262</v>
      </c>
      <c r="D89" s="4">
        <v>50</v>
      </c>
      <c r="E89" s="9" t="str">
        <f t="shared" si="6"/>
        <v>Jumat</v>
      </c>
      <c r="F89" s="60">
        <f t="shared" si="7"/>
        <v>35</v>
      </c>
      <c r="G89" s="60">
        <f t="shared" si="8"/>
        <v>5</v>
      </c>
      <c r="H89" s="8">
        <f t="shared" si="9"/>
        <v>46321</v>
      </c>
      <c r="I89" s="8">
        <f t="shared" si="10"/>
        <v>46351</v>
      </c>
      <c r="J89" s="6" t="str">
        <f t="shared" si="11"/>
        <v>Akan Datang</v>
      </c>
      <c r="K89" s="8">
        <f t="shared" si="12"/>
        <v>46266</v>
      </c>
      <c r="L89" s="8">
        <f t="shared" si="13"/>
        <v>46354</v>
      </c>
      <c r="M89" s="8">
        <f t="shared" si="14"/>
        <v>46446</v>
      </c>
    </row>
    <row r="90" spans="1:14" ht="18" customHeight="1">
      <c r="B90" s="4">
        <v>18</v>
      </c>
      <c r="C90" s="5">
        <v>46307</v>
      </c>
      <c r="D90" s="4">
        <v>76</v>
      </c>
      <c r="E90" s="9" t="str">
        <f t="shared" si="6"/>
        <v>Senin</v>
      </c>
      <c r="F90" s="60">
        <f t="shared" si="7"/>
        <v>42</v>
      </c>
      <c r="G90" s="60">
        <f t="shared" si="8"/>
        <v>3</v>
      </c>
      <c r="H90" s="8">
        <f t="shared" si="9"/>
        <v>46395</v>
      </c>
      <c r="I90" s="8">
        <f t="shared" si="10"/>
        <v>46443</v>
      </c>
      <c r="J90" s="6" t="str">
        <f t="shared" si="11"/>
        <v>Akan Datang</v>
      </c>
      <c r="K90" s="8">
        <f t="shared" si="12"/>
        <v>46327</v>
      </c>
      <c r="L90" s="8">
        <f t="shared" si="13"/>
        <v>46399</v>
      </c>
      <c r="M90" s="8">
        <f t="shared" si="14"/>
        <v>46507</v>
      </c>
    </row>
    <row r="91" spans="1:14" ht="18" customHeight="1">
      <c r="B91" s="4">
        <v>19</v>
      </c>
      <c r="C91" s="5">
        <v>45663</v>
      </c>
      <c r="D91" s="4">
        <v>38</v>
      </c>
      <c r="E91" s="9" t="str">
        <f t="shared" si="6"/>
        <v>Senin</v>
      </c>
      <c r="F91" s="60">
        <f t="shared" si="7"/>
        <v>2</v>
      </c>
      <c r="G91" s="60">
        <f t="shared" si="8"/>
        <v>2</v>
      </c>
      <c r="H91" s="8">
        <f t="shared" si="9"/>
        <v>45707</v>
      </c>
      <c r="I91" s="8">
        <f t="shared" si="10"/>
        <v>45741</v>
      </c>
      <c r="J91" s="6" t="str">
        <f t="shared" si="11"/>
        <v>Selesai</v>
      </c>
      <c r="K91" s="8">
        <f t="shared" si="12"/>
        <v>45689</v>
      </c>
      <c r="L91" s="8">
        <f t="shared" si="13"/>
        <v>45753</v>
      </c>
      <c r="M91" s="8">
        <f t="shared" si="14"/>
        <v>45869</v>
      </c>
    </row>
    <row r="92" spans="1:14" ht="18" customHeight="1">
      <c r="B92" s="4">
        <v>20</v>
      </c>
      <c r="C92" s="5">
        <v>45737</v>
      </c>
      <c r="D92" s="4">
        <v>68</v>
      </c>
      <c r="E92" s="9" t="str">
        <f t="shared" si="6"/>
        <v>Jumat</v>
      </c>
      <c r="F92" s="60">
        <f t="shared" si="7"/>
        <v>12</v>
      </c>
      <c r="G92" s="60">
        <f t="shared" si="8"/>
        <v>4</v>
      </c>
      <c r="H92" s="8">
        <f t="shared" si="9"/>
        <v>45817</v>
      </c>
      <c r="I92" s="8">
        <f t="shared" si="10"/>
        <v>45863</v>
      </c>
      <c r="J92" s="6" t="str">
        <f t="shared" si="11"/>
        <v>Selesai</v>
      </c>
      <c r="K92" s="8">
        <f t="shared" si="12"/>
        <v>45748</v>
      </c>
      <c r="L92" s="8">
        <f t="shared" si="13"/>
        <v>45829</v>
      </c>
      <c r="M92" s="8">
        <f t="shared" si="14"/>
        <v>45930</v>
      </c>
    </row>
    <row r="96" spans="1:14">
      <c r="A96" s="63" t="s">
        <v>127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</row>
  </sheetData>
  <mergeCells count="5">
    <mergeCell ref="A96:N96"/>
    <mergeCell ref="A18:B18"/>
    <mergeCell ref="E18:F18"/>
    <mergeCell ref="A20:M20"/>
    <mergeCell ref="A40:M40"/>
  </mergeCells>
  <dataValidations count="15">
    <dataValidation allowBlank="1" showInputMessage="1" showErrorMessage="1" promptTitle="Soal 1" prompt="Isi kolom USIA KARYAWAN (Tahun) berdasarkan data dari kolom TANGGAL LAHIR sampai hari ini_x000d__x000a__x000d__x000a_hari ini = D45" sqref="H46" xr:uid="{8FE526EF-51FE-4A60-AA62-B278FB014371}"/>
    <dataValidation allowBlank="1" showInputMessage="1" showErrorMessage="1" promptTitle="Soal 2" prompt="Isi kolom LAMA KERJA (Tahun) berdasarkan data dari kolom TANGGAL MASUK sampai hari ini" sqref="I46" xr:uid="{66D59470-195D-4E95-982B-AF2FC7013C97}"/>
    <dataValidation allowBlank="1" showInputMessage="1" showErrorMessage="1" promptTitle="Soal 3" prompt="Isi kolom LAMA KERJA (Sisa Bulan) berdasarkan data dari kolom TANGGAL MASUK sampai hari ini, sisa dari tahun" sqref="J46" xr:uid="{C967EE00-6633-4336-B2E1-2D7C87E06BC9}"/>
    <dataValidation allowBlank="1" showInputMessage="1" showErrorMessage="1" promptTitle="Soal 4" prompt="Isi kolom LAMA KERJA (Sisa Hari) berdasarkan data dari kolom TANGGAL MASUK sampai hari ini, sisa dari bulan" sqref="K46" xr:uid="{641632E1-9BCF-4B54-9A9E-032B74AF7A95}"/>
    <dataValidation allowBlank="1" showInputMessage="1" showErrorMessage="1" promptTitle="Soal 5" prompt="Isi Kolom TOTAL DURASI KERJA (normal) berdasarkan data dari kolom JAM PULANG dikurangi dengan kolom JAM MASUK" sqref="N46" xr:uid="{889DF44E-56A4-441C-AD1B-F5C67FE280BB}"/>
    <dataValidation allowBlank="1" showInputMessage="1" showErrorMessage="1" promptTitle="Soal 6" prompt="Isi Kolom TOTAL DURASI KERJA (Pembulatan) berdasarkan data dari kolom JAM PULANG dikurangi dengan kolom JAM MASUK_x000d__x000a__x000d__x000a_lihat Intruksi diatas untuk lebih jelas" sqref="O46" xr:uid="{C8C30411-87F7-426F-8EBF-5693A20EA8FB}"/>
    <dataValidation allowBlank="1" showInputMessage="1" showErrorMessage="1" promptTitle="Soal 7" prompt="Isi kolom HARI MULAI PROYEK mengacu data dari kolom TANGGAL MULAI PROYEK (dengan hasil berupa hari dalam bahasa Indonesia)" sqref="E71" xr:uid="{11C46F21-157B-4870-8BC5-0C33534F3669}"/>
    <dataValidation allowBlank="1" showInputMessage="1" showErrorMessage="1" promptTitle="Soal 8" prompt="Isi kolom NOMOR MINGGU PROYEK mengacu data dari kolom TANGGAL MULAI PROYEK (dengan hasil index minggu dalam tahun)" sqref="F71" xr:uid="{8EF44E73-9D5F-43E1-A1A3-5915CFD1FAFA}"/>
    <dataValidation allowBlank="1" showInputMessage="1" showErrorMessage="1" promptTitle="Soal 9" prompt="Isi kolom NOMOR MINGGU PROYEK (Bulan Berjalan) mengacu data dari kolom TANGGAL MULAI PROYEK (dengan hasil index minggu dalam bulan tersebut)" sqref="G71" xr:uid="{FE652345-DE1E-4FF2-A90F-CC343D94ED90}"/>
    <dataValidation allowBlank="1" showInputMessage="1" showErrorMessage="1" promptTitle="Soal 10" prompt="Isi Kolom TANGGAL SELESAI PROYEK mengacu data dari kolom TANGGAL MULAI PROYEK dijumlahkan dengan kolom ESTIMASI DURASI PROYEK (Hari Kerja)_x000d__x000a__x000d__x000a_Hari kerja :_x000d__x000a_senin-sabtu, hari minggu libur" sqref="H71" xr:uid="{62D31E82-579B-48AF-9447-F4D3A677073C}"/>
    <dataValidation allowBlank="1" showInputMessage="1" showErrorMessage="1" promptTitle="Soal 11" prompt="TANGGAL INVOICE adalah satu bulan setelah TANGGAL SELESAI PROYEK di tanggal 25 pada hari kerja_x000d__x000a__x000d__x000a_Jika pada tanggal 25 di hari minggu maka Tanggal INVOICE mundur Menjadi Tanggal 24 (Sabtu)" sqref="I71" xr:uid="{C2CDA42F-04ED-4019-8456-9F4C53ECB50E}"/>
    <dataValidation allowBlank="1" showInputMessage="1" showErrorMessage="1" promptTitle="Soal 12" prompt="Isi kolom STATUS PROYEK mengacu data dari kolom TANGGAL SELESAI PROYEK dan TANGGAL MULAI PROYEK_x000d__x000a__x000d__x000a_untuk ketentuan lihat intruksi diatas" sqref="J71" xr:uid="{F4DD7A47-83A5-4FC6-A423-B61D2C1CBF3C}"/>
    <dataValidation allowBlank="1" showInputMessage="1" showErrorMessage="1" promptTitle="Soal 13" prompt="TANGGAL REVIEW PROYEK 1 dilaksanakan pada tanggal 1 (awal bulan) pertama setelah TANGGAL MULAI PROYEK_x000d__x000a__x000d__x000a_Contoh : Tanggal Mulai Proyek 12 Juli 2025 maka Review Proyek 1 di tanggal 1 Agustus 2025" sqref="K71" xr:uid="{BB3C3773-B4C9-483F-B322-511465A4CC11}"/>
    <dataValidation allowBlank="1" showInputMessage="1" showErrorMessage="1" promptTitle="Soal 14" prompt="TANGGAL REVIEW PROYEK 2 dilaksanakan tepat 3 bulan setelah TANGGAL MULAI PROYEK_x000d__x000a__x000d__x000a_Contoh : Tanggal Mulai Proyek 12 Juli 2025 maka Review Proyek 2 di tanggal 12 Oktober 2025" sqref="L71" xr:uid="{68271AE0-7470-49AC-97C4-3C106CA609F9}"/>
    <dataValidation allowBlank="1" showInputMessage="1" showErrorMessage="1" promptTitle="Soal 15" prompt="TANGGAL REVIEW PROYEK 3 dilaksanakan pada bulan ke 6 di akhir bulan setelah TANGGAL MULAI PROYEK_x000d__x000a__x000d__x000a_Contoh : Tanggal Mulai Proyek 12 Juli 2025 maka Review Proyek 3 di tanggal 31 Januari 2026" sqref="M71" xr:uid="{4F4108B9-C1B4-4951-B445-A2E4114039B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6E63-9D37-4234-BB0E-4D52F8F9F548}">
  <sheetPr codeName="Sheet3"/>
  <dimension ref="B1:P32"/>
  <sheetViews>
    <sheetView showGridLines="0" workbookViewId="0">
      <selection activeCell="O19" sqref="O19"/>
    </sheetView>
  </sheetViews>
  <sheetFormatPr defaultColWidth="8.85546875" defaultRowHeight="15"/>
  <cols>
    <col min="1" max="1" width="5.7109375" style="16" customWidth="1"/>
    <col min="2" max="2" width="10" style="16" customWidth="1"/>
    <col min="3" max="6" width="8.85546875" style="16"/>
    <col min="7" max="8" width="4.28515625" style="16" customWidth="1"/>
    <col min="9" max="9" width="8.85546875" style="16"/>
    <col min="10" max="10" width="10.42578125" style="16" customWidth="1"/>
    <col min="11" max="11" width="9.28515625" style="16" customWidth="1"/>
    <col min="12" max="13" width="8.85546875" style="16"/>
    <col min="14" max="14" width="26.42578125" style="16" customWidth="1"/>
    <col min="15" max="16384" width="8.85546875" style="16"/>
  </cols>
  <sheetData>
    <row r="1" spans="7:16">
      <c r="H1" s="15"/>
      <c r="I1" s="15"/>
      <c r="J1" s="15"/>
      <c r="K1" s="15"/>
      <c r="L1" s="15"/>
      <c r="M1" s="15"/>
      <c r="N1" s="15"/>
      <c r="O1" s="15"/>
      <c r="P1" s="15"/>
    </row>
    <row r="2" spans="7:16">
      <c r="H2" s="15"/>
      <c r="I2" s="15"/>
      <c r="J2" s="15"/>
      <c r="K2" s="15"/>
      <c r="L2" s="15"/>
      <c r="M2" s="15"/>
      <c r="N2" s="15"/>
      <c r="O2" s="15"/>
      <c r="P2" s="15"/>
    </row>
    <row r="3" spans="7:16">
      <c r="G3" s="40"/>
      <c r="H3" s="41"/>
      <c r="I3" s="15"/>
      <c r="J3" s="15"/>
      <c r="K3" s="15"/>
      <c r="L3" s="15"/>
      <c r="M3" s="15"/>
      <c r="N3" s="15"/>
      <c r="O3" s="15"/>
      <c r="P3" s="15"/>
    </row>
    <row r="4" spans="7:16">
      <c r="G4" s="40"/>
      <c r="H4" s="41"/>
      <c r="I4" s="15"/>
      <c r="J4" s="15"/>
      <c r="K4" s="15"/>
      <c r="L4" s="15"/>
      <c r="M4" s="15"/>
      <c r="N4" s="15"/>
      <c r="O4" s="15"/>
      <c r="P4" s="15"/>
    </row>
    <row r="5" spans="7:16">
      <c r="G5" s="40"/>
      <c r="H5" s="41"/>
      <c r="I5" s="15"/>
      <c r="J5" s="15"/>
      <c r="K5" s="15"/>
      <c r="L5" s="15"/>
      <c r="M5" s="15"/>
      <c r="N5" s="15"/>
      <c r="O5" s="15"/>
      <c r="P5" s="15"/>
    </row>
    <row r="6" spans="7:16">
      <c r="G6" s="40"/>
      <c r="H6" s="41"/>
      <c r="I6" s="15" t="s">
        <v>85</v>
      </c>
      <c r="J6" s="15"/>
      <c r="K6" s="15"/>
      <c r="L6" s="15"/>
      <c r="M6" s="15"/>
      <c r="N6" s="15"/>
      <c r="O6" s="15"/>
      <c r="P6" s="15"/>
    </row>
    <row r="7" spans="7:16">
      <c r="G7" s="40"/>
      <c r="H7" s="41"/>
      <c r="I7" s="15" t="s">
        <v>86</v>
      </c>
      <c r="J7" s="15"/>
      <c r="K7" s="15"/>
      <c r="L7" s="15"/>
      <c r="M7" s="15"/>
      <c r="N7" s="15"/>
      <c r="O7" s="15"/>
      <c r="P7" s="15"/>
    </row>
    <row r="8" spans="7:16">
      <c r="G8" s="40"/>
      <c r="H8" s="41"/>
      <c r="I8" s="15"/>
      <c r="J8" s="15"/>
      <c r="K8" s="15"/>
      <c r="L8" s="15"/>
      <c r="M8" s="15"/>
      <c r="N8" s="15"/>
      <c r="O8" s="15"/>
      <c r="P8" s="15"/>
    </row>
    <row r="9" spans="7:16">
      <c r="G9" s="40"/>
      <c r="H9" s="41"/>
      <c r="I9" s="15"/>
      <c r="J9" s="15"/>
      <c r="K9" s="15"/>
      <c r="L9" s="15"/>
      <c r="M9" s="15"/>
      <c r="N9" s="15"/>
      <c r="O9" s="15"/>
      <c r="P9" s="15"/>
    </row>
    <row r="10" spans="7:16">
      <c r="G10" s="40"/>
      <c r="H10" s="41"/>
      <c r="I10" s="15" t="s">
        <v>87</v>
      </c>
      <c r="J10" s="15"/>
      <c r="K10" s="15"/>
      <c r="L10" s="15"/>
      <c r="M10" s="15"/>
      <c r="N10" s="15"/>
      <c r="O10" s="15"/>
      <c r="P10" s="15"/>
    </row>
    <row r="11" spans="7:16">
      <c r="G11" s="40"/>
      <c r="H11" s="41"/>
      <c r="I11" s="15"/>
      <c r="J11" s="15"/>
      <c r="K11" s="15"/>
      <c r="L11" s="15"/>
      <c r="M11" s="15"/>
      <c r="N11" s="15"/>
      <c r="O11" s="15"/>
      <c r="P11" s="15"/>
    </row>
    <row r="12" spans="7:16">
      <c r="G12" s="40"/>
      <c r="H12" s="41"/>
      <c r="I12" s="42"/>
      <c r="J12" s="70" t="s">
        <v>88</v>
      </c>
      <c r="K12" s="70"/>
      <c r="L12" s="69" t="s">
        <v>89</v>
      </c>
      <c r="M12" s="69"/>
      <c r="N12" s="15"/>
      <c r="O12" s="15"/>
      <c r="P12" s="15"/>
    </row>
    <row r="13" spans="7:16">
      <c r="G13" s="40"/>
      <c r="H13" s="41"/>
      <c r="I13" s="42"/>
      <c r="J13" s="70" t="s">
        <v>90</v>
      </c>
      <c r="K13" s="70"/>
      <c r="L13" s="43" t="s">
        <v>91</v>
      </c>
      <c r="M13" s="43"/>
      <c r="N13" s="15"/>
      <c r="O13" s="15"/>
      <c r="P13" s="15"/>
    </row>
    <row r="14" spans="7:16">
      <c r="G14" s="40"/>
      <c r="H14" s="41"/>
      <c r="I14" s="42"/>
      <c r="J14" s="70" t="s">
        <v>92</v>
      </c>
      <c r="K14" s="70"/>
      <c r="L14" s="43" t="s">
        <v>93</v>
      </c>
      <c r="M14" s="44"/>
      <c r="N14" s="15"/>
      <c r="O14" s="15"/>
      <c r="P14" s="15"/>
    </row>
    <row r="15" spans="7:16">
      <c r="G15" s="40"/>
      <c r="H15" s="41"/>
      <c r="I15" s="42"/>
      <c r="J15" s="70" t="s">
        <v>94</v>
      </c>
      <c r="K15" s="70"/>
      <c r="L15" s="43" t="s">
        <v>95</v>
      </c>
      <c r="M15" s="44"/>
      <c r="N15" s="15"/>
      <c r="O15" s="15"/>
      <c r="P15" s="15"/>
    </row>
    <row r="16" spans="7:16">
      <c r="G16" s="40"/>
      <c r="H16" s="41"/>
      <c r="I16" s="42"/>
      <c r="J16" s="70" t="s">
        <v>96</v>
      </c>
      <c r="K16" s="70"/>
      <c r="L16" s="43" t="s">
        <v>97</v>
      </c>
      <c r="M16" s="44"/>
      <c r="N16" s="15"/>
      <c r="O16" s="15"/>
      <c r="P16" s="15"/>
    </row>
    <row r="17" spans="2:16" ht="54.6" customHeight="1">
      <c r="B17" s="71" t="s">
        <v>117</v>
      </c>
      <c r="C17" s="71"/>
      <c r="D17" s="71"/>
      <c r="E17" s="71"/>
      <c r="F17" s="72"/>
      <c r="G17" s="45"/>
      <c r="H17" s="41"/>
      <c r="I17" s="15" t="s">
        <v>98</v>
      </c>
      <c r="J17" s="15"/>
      <c r="K17" s="15"/>
      <c r="L17" s="15"/>
      <c r="M17" s="15"/>
      <c r="N17" s="15"/>
      <c r="O17" s="15"/>
      <c r="P17" s="15"/>
    </row>
    <row r="18" spans="2:16" ht="54.6" customHeight="1">
      <c r="B18" s="73" t="s">
        <v>118</v>
      </c>
      <c r="C18" s="73"/>
      <c r="D18" s="73"/>
      <c r="E18" s="73"/>
      <c r="F18" s="74"/>
      <c r="G18" s="46"/>
      <c r="H18" s="41"/>
      <c r="I18" s="47" t="s">
        <v>99</v>
      </c>
      <c r="J18" s="15"/>
      <c r="K18" s="15"/>
      <c r="L18" s="15"/>
      <c r="M18" s="15"/>
      <c r="N18" s="15"/>
      <c r="O18" s="15"/>
      <c r="P18" s="15"/>
    </row>
    <row r="19" spans="2:16">
      <c r="B19" s="48" t="s">
        <v>119</v>
      </c>
      <c r="H19" s="15"/>
      <c r="J19" s="15"/>
      <c r="K19" s="15"/>
      <c r="L19" s="15"/>
      <c r="M19" s="15"/>
      <c r="N19" s="15"/>
      <c r="O19" s="15"/>
      <c r="P19" s="15"/>
    </row>
    <row r="20" spans="2:16">
      <c r="B20" s="49" t="s">
        <v>120</v>
      </c>
      <c r="C20" s="50" t="s">
        <v>121</v>
      </c>
      <c r="H20" s="15"/>
      <c r="J20" s="15"/>
      <c r="K20" s="15"/>
      <c r="L20" s="15"/>
      <c r="M20" s="15"/>
      <c r="N20" s="15"/>
      <c r="O20" s="15"/>
      <c r="P20" s="15"/>
    </row>
    <row r="21" spans="2:16">
      <c r="B21" s="51" t="s">
        <v>122</v>
      </c>
      <c r="C21" s="50" t="s">
        <v>123</v>
      </c>
      <c r="H21" s="15"/>
      <c r="I21" s="15"/>
      <c r="J21" s="15"/>
      <c r="K21" s="15"/>
      <c r="L21" s="15"/>
      <c r="M21" s="15"/>
      <c r="N21" s="15"/>
      <c r="O21" s="15"/>
      <c r="P21" s="15"/>
    </row>
    <row r="22" spans="2:16">
      <c r="H22" s="15"/>
      <c r="I22" s="15"/>
      <c r="J22" s="15"/>
      <c r="K22" s="15"/>
      <c r="L22" s="15"/>
      <c r="M22" s="15"/>
      <c r="N22" s="15"/>
      <c r="O22" s="15"/>
      <c r="P22" s="15"/>
    </row>
    <row r="23" spans="2:16">
      <c r="N23" s="15"/>
      <c r="O23" s="15"/>
      <c r="P23" s="15"/>
    </row>
    <row r="24" spans="2:16">
      <c r="N24" s="15"/>
      <c r="O24" s="15"/>
      <c r="P24" s="15"/>
    </row>
    <row r="25" spans="2:16">
      <c r="B25" s="75"/>
      <c r="C25" s="63"/>
      <c r="D25" s="63"/>
      <c r="E25" s="63"/>
      <c r="F25" s="63"/>
      <c r="G25" s="63"/>
      <c r="H25" s="63"/>
      <c r="I25" s="63"/>
      <c r="N25" s="15"/>
      <c r="O25" s="15"/>
      <c r="P25" s="15"/>
    </row>
    <row r="26" spans="2:16">
      <c r="B26" s="52"/>
      <c r="C26" s="53"/>
      <c r="D26" s="52"/>
      <c r="E26" s="52"/>
      <c r="F26" s="52"/>
      <c r="G26" s="52"/>
      <c r="H26" s="52"/>
      <c r="I26" s="52"/>
    </row>
    <row r="27" spans="2:16">
      <c r="B27" s="52"/>
      <c r="C27" s="52"/>
      <c r="D27" s="54" t="s">
        <v>124</v>
      </c>
      <c r="E27" s="52"/>
      <c r="F27" s="52"/>
      <c r="G27" s="52"/>
      <c r="H27" s="52"/>
      <c r="I27" s="52"/>
    </row>
    <row r="28" spans="2:16">
      <c r="B28" s="52"/>
      <c r="C28" s="52"/>
      <c r="D28" s="55" t="s">
        <v>125</v>
      </c>
      <c r="E28" s="52"/>
      <c r="F28" s="52"/>
      <c r="G28" s="52"/>
      <c r="H28" s="52"/>
      <c r="I28" s="52"/>
    </row>
    <row r="29" spans="2:16">
      <c r="B29" s="52"/>
      <c r="C29" s="52"/>
      <c r="D29" s="56" t="s">
        <v>126</v>
      </c>
      <c r="E29" s="52"/>
      <c r="F29" s="52"/>
      <c r="G29" s="52"/>
      <c r="H29" s="52"/>
      <c r="I29" s="52"/>
    </row>
    <row r="30" spans="2:16">
      <c r="B30" s="52"/>
      <c r="C30" s="52"/>
      <c r="D30" s="52"/>
      <c r="E30" s="52"/>
      <c r="F30" s="52"/>
      <c r="G30" s="52"/>
      <c r="H30" s="52"/>
      <c r="I30" s="52"/>
    </row>
    <row r="31" spans="2:16">
      <c r="B31" s="52"/>
      <c r="C31" s="52"/>
      <c r="D31" s="52"/>
      <c r="E31" s="52"/>
      <c r="F31" s="52"/>
      <c r="G31" s="52"/>
      <c r="H31" s="52"/>
      <c r="I31" s="52"/>
    </row>
    <row r="32" spans="2:16">
      <c r="B32" s="75"/>
      <c r="C32" s="63"/>
      <c r="D32" s="63"/>
      <c r="E32" s="63"/>
      <c r="F32" s="63"/>
      <c r="G32" s="63"/>
      <c r="H32" s="63"/>
      <c r="I32" s="63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38FD361A-8EDD-4562-918B-3618DF0FC2C1}"/>
    <hyperlink ref="C21" r:id="rId2" xr:uid="{F910063C-0955-4131-89A3-F36D708BA918}"/>
    <hyperlink ref="C20" r:id="rId3" xr:uid="{5EFA699A-C2A6-4C37-BBBC-21EB0D6E5B56}"/>
    <hyperlink ref="D29" r:id="rId4" xr:uid="{F40D6F5B-3F19-4301-A800-0FD5F2DD77B6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C469-C965-4BB2-AB4C-9626976F4291}">
  <sheetPr codeName="Sheet2"/>
  <dimension ref="A1:Q90"/>
  <sheetViews>
    <sheetView topLeftCell="A46" workbookViewId="0">
      <selection activeCell="R44" sqref="R44"/>
    </sheetView>
  </sheetViews>
  <sheetFormatPr defaultRowHeight="15"/>
  <cols>
    <col min="2" max="2" width="11.7109375" customWidth="1"/>
    <col min="3" max="3" width="9.7109375" customWidth="1"/>
    <col min="7" max="8" width="10.28515625" customWidth="1"/>
    <col min="9" max="9" width="10.5703125" customWidth="1"/>
    <col min="10" max="10" width="9.28515625" customWidth="1"/>
    <col min="11" max="11" width="9.7109375" customWidth="1"/>
    <col min="12" max="12" width="9.85546875" customWidth="1"/>
    <col min="13" max="13" width="11.5703125" customWidth="1"/>
    <col min="14" max="14" width="18.42578125" customWidth="1"/>
    <col min="15" max="15" width="10.5703125" customWidth="1"/>
    <col min="16" max="16" width="12.7109375" customWidth="1"/>
    <col min="17" max="17" width="12.85546875" customWidth="1"/>
    <col min="20" max="20" width="26.28515625" customWidth="1"/>
  </cols>
  <sheetData>
    <row r="1" spans="1:17">
      <c r="A1" t="s">
        <v>69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>
      <c r="A2" t="s">
        <v>102</v>
      </c>
      <c r="B2">
        <v>1</v>
      </c>
      <c r="C2">
        <f>'XL-Test'!H48</f>
        <v>45</v>
      </c>
      <c r="D2">
        <f>'XL-Test'!I48</f>
        <v>27</v>
      </c>
      <c r="E2">
        <f>'XL-Test'!J48</f>
        <v>1</v>
      </c>
      <c r="F2">
        <f>'XL-Test'!K48</f>
        <v>24</v>
      </c>
      <c r="G2" s="14">
        <f>'XL-Test'!N48</f>
        <v>0.39886574074074072</v>
      </c>
      <c r="H2" s="14">
        <f>'XL-Test'!O48</f>
        <v>0.41666666666666663</v>
      </c>
      <c r="I2" s="14" t="str">
        <f>'XL-Test'!E73</f>
        <v>Selasa</v>
      </c>
      <c r="J2">
        <f>'XL-Test'!F73</f>
        <v>2</v>
      </c>
      <c r="K2">
        <f>'XL-Test'!G73</f>
        <v>2</v>
      </c>
      <c r="L2">
        <f>'XL-Test'!H73</f>
        <v>45764</v>
      </c>
      <c r="M2">
        <f>'XL-Test'!I73</f>
        <v>45801</v>
      </c>
      <c r="N2" s="14" t="str">
        <f>'XL-Test'!J73</f>
        <v>Selesai</v>
      </c>
      <c r="O2">
        <f>'XL-Test'!K73</f>
        <v>45689</v>
      </c>
      <c r="P2">
        <f>'XL-Test'!L73</f>
        <v>45754</v>
      </c>
      <c r="Q2">
        <f>'XL-Test'!M73</f>
        <v>45869</v>
      </c>
    </row>
    <row r="3" spans="1:17">
      <c r="B3">
        <v>2</v>
      </c>
      <c r="C3">
        <f>'XL-Test'!H49</f>
        <v>25</v>
      </c>
      <c r="D3">
        <f>'XL-Test'!I49</f>
        <v>1</v>
      </c>
      <c r="E3">
        <f>'XL-Test'!J49</f>
        <v>3</v>
      </c>
      <c r="F3">
        <f>'XL-Test'!K49</f>
        <v>0</v>
      </c>
      <c r="G3" s="14">
        <f>'XL-Test'!N49</f>
        <v>0.34475694444444449</v>
      </c>
      <c r="H3" s="14">
        <f>'XL-Test'!O49</f>
        <v>0.33333333333333331</v>
      </c>
      <c r="I3" s="14" t="str">
        <f>'XL-Test'!E74</f>
        <v>Jumat</v>
      </c>
      <c r="J3">
        <f>'XL-Test'!F74</f>
        <v>31</v>
      </c>
      <c r="K3">
        <f>'XL-Test'!G74</f>
        <v>1</v>
      </c>
      <c r="L3">
        <f>'XL-Test'!H74</f>
        <v>45946</v>
      </c>
      <c r="M3">
        <f>'XL-Test'!I74</f>
        <v>45986</v>
      </c>
      <c r="N3" s="14" t="str">
        <f>'XL-Test'!J74</f>
        <v>Sedang Berjalan</v>
      </c>
      <c r="O3">
        <f>'XL-Test'!K74</f>
        <v>45901</v>
      </c>
      <c r="P3">
        <f>'XL-Test'!L74</f>
        <v>45962</v>
      </c>
      <c r="Q3">
        <f>'XL-Test'!M74</f>
        <v>46081</v>
      </c>
    </row>
    <row r="4" spans="1:17">
      <c r="B4">
        <v>3</v>
      </c>
      <c r="C4">
        <f>'XL-Test'!H50</f>
        <v>47</v>
      </c>
      <c r="D4">
        <f>'XL-Test'!I50</f>
        <v>20</v>
      </c>
      <c r="E4">
        <f>'XL-Test'!J50</f>
        <v>11</v>
      </c>
      <c r="F4">
        <f>'XL-Test'!K50</f>
        <v>8</v>
      </c>
      <c r="G4" s="14">
        <f>'XL-Test'!N50</f>
        <v>0.33333333333333331</v>
      </c>
      <c r="H4" s="14">
        <f>'XL-Test'!O50</f>
        <v>0.33333333333333331</v>
      </c>
      <c r="I4" s="14" t="str">
        <f>'XL-Test'!E75</f>
        <v>Rabu</v>
      </c>
      <c r="J4">
        <f>'XL-Test'!F75</f>
        <v>50</v>
      </c>
      <c r="K4">
        <f>'XL-Test'!G75</f>
        <v>2</v>
      </c>
      <c r="L4">
        <f>'XL-Test'!H75</f>
        <v>46424</v>
      </c>
      <c r="M4">
        <f>'XL-Test'!I75</f>
        <v>46471</v>
      </c>
      <c r="N4" s="14" t="str">
        <f>'XL-Test'!J75</f>
        <v>Akan Datang</v>
      </c>
      <c r="O4">
        <f>'XL-Test'!K75</f>
        <v>46388</v>
      </c>
      <c r="P4">
        <f>'XL-Test'!L75</f>
        <v>46455</v>
      </c>
      <c r="Q4">
        <f>'XL-Test'!M75</f>
        <v>46568</v>
      </c>
    </row>
    <row r="5" spans="1:17">
      <c r="B5">
        <v>4</v>
      </c>
      <c r="C5">
        <f>'XL-Test'!H51</f>
        <v>50</v>
      </c>
      <c r="D5">
        <f>'XL-Test'!I51</f>
        <v>20</v>
      </c>
      <c r="E5">
        <f>'XL-Test'!J51</f>
        <v>3</v>
      </c>
      <c r="F5">
        <f>'XL-Test'!K51</f>
        <v>26</v>
      </c>
      <c r="G5" s="14">
        <f>'XL-Test'!N51</f>
        <v>0.45231481481481484</v>
      </c>
      <c r="H5" s="14">
        <f>'XL-Test'!O51</f>
        <v>0.45833333333333331</v>
      </c>
      <c r="I5" s="14" t="str">
        <f>'XL-Test'!E76</f>
        <v>Jumat</v>
      </c>
      <c r="J5">
        <f>'XL-Test'!F76</f>
        <v>8</v>
      </c>
      <c r="K5">
        <f>'XL-Test'!G76</f>
        <v>4</v>
      </c>
      <c r="L5">
        <f>'XL-Test'!H76</f>
        <v>45749</v>
      </c>
      <c r="M5">
        <f>'XL-Test'!I76</f>
        <v>45801</v>
      </c>
      <c r="N5" s="14" t="str">
        <f>'XL-Test'!J76</f>
        <v>Selesai</v>
      </c>
      <c r="O5">
        <f>'XL-Test'!K76</f>
        <v>45717</v>
      </c>
      <c r="P5">
        <f>'XL-Test'!L76</f>
        <v>45798</v>
      </c>
      <c r="Q5">
        <f>'XL-Test'!M76</f>
        <v>45900</v>
      </c>
    </row>
    <row r="6" spans="1:17">
      <c r="B6">
        <v>5</v>
      </c>
      <c r="C6">
        <f>'XL-Test'!H52</f>
        <v>53</v>
      </c>
      <c r="D6">
        <f>'XL-Test'!I52</f>
        <v>34</v>
      </c>
      <c r="E6">
        <f>'XL-Test'!J52</f>
        <v>4</v>
      </c>
      <c r="F6">
        <f>'XL-Test'!K52</f>
        <v>5</v>
      </c>
      <c r="G6" s="14">
        <f>'XL-Test'!N52</f>
        <v>0.39458333333333323</v>
      </c>
      <c r="H6" s="14">
        <f>'XL-Test'!O52</f>
        <v>0.375</v>
      </c>
      <c r="I6" s="14" t="str">
        <f>'XL-Test'!E77</f>
        <v>Senin</v>
      </c>
      <c r="J6">
        <f>'XL-Test'!F77</f>
        <v>52</v>
      </c>
      <c r="K6">
        <f>'XL-Test'!G77</f>
        <v>4</v>
      </c>
      <c r="L6">
        <f>'XL-Test'!H77</f>
        <v>46031</v>
      </c>
      <c r="M6">
        <f>'XL-Test'!I77</f>
        <v>46078</v>
      </c>
      <c r="N6" s="14" t="str">
        <f>'XL-Test'!J77</f>
        <v>Akan Datang</v>
      </c>
      <c r="O6">
        <f>'XL-Test'!K77</f>
        <v>46023</v>
      </c>
      <c r="P6">
        <f>'XL-Test'!L77</f>
        <v>46103</v>
      </c>
      <c r="Q6">
        <f>'XL-Test'!M77</f>
        <v>46203</v>
      </c>
    </row>
    <row r="7" spans="1:17">
      <c r="B7">
        <v>6</v>
      </c>
      <c r="C7">
        <f>'XL-Test'!H53</f>
        <v>26</v>
      </c>
      <c r="D7">
        <f>'XL-Test'!I53</f>
        <v>5</v>
      </c>
      <c r="E7">
        <f>'XL-Test'!J53</f>
        <v>6</v>
      </c>
      <c r="F7">
        <f>'XL-Test'!K53</f>
        <v>3</v>
      </c>
      <c r="G7" s="14">
        <f>'XL-Test'!N53</f>
        <v>0.33333333333333331</v>
      </c>
      <c r="H7" s="14">
        <f>'XL-Test'!O53</f>
        <v>0.33333333333333331</v>
      </c>
      <c r="I7" s="14" t="str">
        <f>'XL-Test'!E78</f>
        <v>Jumat</v>
      </c>
      <c r="J7">
        <f>'XL-Test'!F78</f>
        <v>30</v>
      </c>
      <c r="K7">
        <f>'XL-Test'!G78</f>
        <v>4</v>
      </c>
      <c r="L7">
        <f>'XL-Test'!H78</f>
        <v>45901</v>
      </c>
      <c r="M7">
        <f>'XL-Test'!I78</f>
        <v>45955</v>
      </c>
      <c r="N7" s="14" t="str">
        <f>'XL-Test'!J78</f>
        <v>Sedang Berjalan</v>
      </c>
      <c r="O7">
        <f>'XL-Test'!K78</f>
        <v>45870</v>
      </c>
      <c r="P7">
        <f>'XL-Test'!L78</f>
        <v>45955</v>
      </c>
      <c r="Q7">
        <f>'XL-Test'!M78</f>
        <v>46053</v>
      </c>
    </row>
    <row r="8" spans="1:17">
      <c r="B8">
        <v>7</v>
      </c>
      <c r="C8">
        <f>'XL-Test'!H54</f>
        <v>29</v>
      </c>
      <c r="D8">
        <f>'XL-Test'!I54</f>
        <v>10</v>
      </c>
      <c r="E8">
        <f>'XL-Test'!J54</f>
        <v>8</v>
      </c>
      <c r="F8">
        <f>'XL-Test'!K54</f>
        <v>15</v>
      </c>
      <c r="G8" s="14">
        <f>'XL-Test'!N54</f>
        <v>0.33333333333333331</v>
      </c>
      <c r="H8" s="14">
        <f>'XL-Test'!O54</f>
        <v>0.33333333333333331</v>
      </c>
      <c r="I8" s="14" t="str">
        <f>'XL-Test'!E79</f>
        <v>Jumat</v>
      </c>
      <c r="J8">
        <f>'XL-Test'!F79</f>
        <v>9</v>
      </c>
      <c r="K8">
        <f>'XL-Test'!G79</f>
        <v>4</v>
      </c>
      <c r="L8">
        <f>'XL-Test'!H79</f>
        <v>46153</v>
      </c>
      <c r="M8">
        <f>'XL-Test'!I79</f>
        <v>46198</v>
      </c>
      <c r="N8" s="14" t="str">
        <f>'XL-Test'!J79</f>
        <v>Akan Datang</v>
      </c>
      <c r="O8">
        <f>'XL-Test'!K79</f>
        <v>46082</v>
      </c>
      <c r="P8">
        <f>'XL-Test'!L79</f>
        <v>46169</v>
      </c>
      <c r="Q8">
        <f>'XL-Test'!M79</f>
        <v>46265</v>
      </c>
    </row>
    <row r="9" spans="1:17">
      <c r="B9">
        <v>8</v>
      </c>
      <c r="C9">
        <f>'XL-Test'!H55</f>
        <v>25</v>
      </c>
      <c r="D9">
        <f>'XL-Test'!I55</f>
        <v>2</v>
      </c>
      <c r="E9">
        <f>'XL-Test'!J55</f>
        <v>0</v>
      </c>
      <c r="F9">
        <f>'XL-Test'!K55</f>
        <v>3</v>
      </c>
      <c r="G9" s="14">
        <f>'XL-Test'!N55</f>
        <v>0.33333333333333331</v>
      </c>
      <c r="H9" s="14">
        <f>'XL-Test'!O55</f>
        <v>0.33333333333333331</v>
      </c>
      <c r="I9" s="14" t="str">
        <f>'XL-Test'!E80</f>
        <v>Senin</v>
      </c>
      <c r="J9">
        <f>'XL-Test'!F80</f>
        <v>12</v>
      </c>
      <c r="K9">
        <f>'XL-Test'!G80</f>
        <v>3</v>
      </c>
      <c r="L9">
        <f>'XL-Test'!H80</f>
        <v>46136</v>
      </c>
      <c r="M9">
        <f>'XL-Test'!I80</f>
        <v>46167</v>
      </c>
      <c r="N9" s="14" t="str">
        <f>'XL-Test'!J80</f>
        <v>Akan Datang</v>
      </c>
      <c r="O9">
        <f>'XL-Test'!K80</f>
        <v>46113</v>
      </c>
      <c r="P9">
        <f>'XL-Test'!L80</f>
        <v>46189</v>
      </c>
      <c r="Q9">
        <f>'XL-Test'!M80</f>
        <v>46295</v>
      </c>
    </row>
    <row r="10" spans="1:17">
      <c r="B10">
        <v>9</v>
      </c>
      <c r="C10">
        <f>'XL-Test'!H56</f>
        <v>58</v>
      </c>
      <c r="D10">
        <f>'XL-Test'!I56</f>
        <v>30</v>
      </c>
      <c r="E10">
        <f>'XL-Test'!J56</f>
        <v>2</v>
      </c>
      <c r="F10">
        <f>'XL-Test'!K56</f>
        <v>30</v>
      </c>
      <c r="G10" s="14">
        <f>'XL-Test'!N56</f>
        <v>0.39545138888888881</v>
      </c>
      <c r="H10" s="14">
        <f>'XL-Test'!O56</f>
        <v>0.375</v>
      </c>
      <c r="I10" s="14" t="str">
        <f>'XL-Test'!E81</f>
        <v>Rabu</v>
      </c>
      <c r="J10">
        <f>'XL-Test'!F81</f>
        <v>22</v>
      </c>
      <c r="K10">
        <f>'XL-Test'!G81</f>
        <v>5</v>
      </c>
      <c r="L10">
        <f>'XL-Test'!H81</f>
        <v>45852</v>
      </c>
      <c r="M10">
        <f>'XL-Test'!I81</f>
        <v>45894</v>
      </c>
      <c r="N10" s="14" t="str">
        <f>'XL-Test'!J81</f>
        <v>Selesai</v>
      </c>
      <c r="O10">
        <f>'XL-Test'!K81</f>
        <v>45809</v>
      </c>
      <c r="P10">
        <f>'XL-Test'!L81</f>
        <v>45897</v>
      </c>
      <c r="Q10">
        <f>'XL-Test'!M81</f>
        <v>45991</v>
      </c>
    </row>
    <row r="11" spans="1:17">
      <c r="B11">
        <v>10</v>
      </c>
      <c r="C11">
        <f>'XL-Test'!H57</f>
        <v>60</v>
      </c>
      <c r="D11">
        <f>'XL-Test'!I57</f>
        <v>41</v>
      </c>
      <c r="E11">
        <f>'XL-Test'!J57</f>
        <v>6</v>
      </c>
      <c r="F11">
        <f>'XL-Test'!K57</f>
        <v>27</v>
      </c>
      <c r="G11" s="14">
        <f>'XL-Test'!N57</f>
        <v>0.33333333333333331</v>
      </c>
      <c r="H11" s="14">
        <f>'XL-Test'!O57</f>
        <v>0.33333333333333331</v>
      </c>
      <c r="I11" s="14" t="str">
        <f>'XL-Test'!E82</f>
        <v>Kamis</v>
      </c>
      <c r="J11">
        <f>'XL-Test'!F82</f>
        <v>40</v>
      </c>
      <c r="K11">
        <f>'XL-Test'!G82</f>
        <v>1</v>
      </c>
      <c r="L11">
        <f>'XL-Test'!H82</f>
        <v>46310</v>
      </c>
      <c r="M11">
        <f>'XL-Test'!I82</f>
        <v>46351</v>
      </c>
      <c r="N11" s="14" t="str">
        <f>'XL-Test'!J82</f>
        <v>Akan Datang</v>
      </c>
      <c r="O11">
        <f>'XL-Test'!K82</f>
        <v>46327</v>
      </c>
      <c r="P11">
        <f>'XL-Test'!L82</f>
        <v>46388</v>
      </c>
      <c r="Q11">
        <f>'XL-Test'!M82</f>
        <v>46507</v>
      </c>
    </row>
    <row r="12" spans="1:17">
      <c r="B12">
        <v>11</v>
      </c>
      <c r="C12">
        <f>'XL-Test'!H58</f>
        <v>25</v>
      </c>
      <c r="D12">
        <f>'XL-Test'!I58</f>
        <v>0</v>
      </c>
      <c r="E12">
        <f>'XL-Test'!J58</f>
        <v>5</v>
      </c>
      <c r="F12">
        <f>'XL-Test'!K58</f>
        <v>4</v>
      </c>
      <c r="G12" s="14">
        <f>'XL-Test'!N58</f>
        <v>0.42181712962962958</v>
      </c>
      <c r="H12" s="14">
        <f>'XL-Test'!O58</f>
        <v>0.41666666666666663</v>
      </c>
      <c r="I12" s="14" t="str">
        <f>'XL-Test'!E83</f>
        <v>Kamis</v>
      </c>
      <c r="J12">
        <f>'XL-Test'!F83</f>
        <v>32</v>
      </c>
      <c r="K12">
        <f>'XL-Test'!G83</f>
        <v>2</v>
      </c>
      <c r="L12">
        <f>'XL-Test'!H83</f>
        <v>45930</v>
      </c>
      <c r="M12">
        <f>'XL-Test'!I83</f>
        <v>45955</v>
      </c>
      <c r="N12" s="14" t="str">
        <f>'XL-Test'!J83</f>
        <v>Sedang Berjalan</v>
      </c>
      <c r="O12">
        <f>'XL-Test'!K83</f>
        <v>45901</v>
      </c>
      <c r="P12">
        <f>'XL-Test'!L83</f>
        <v>45968</v>
      </c>
      <c r="Q12">
        <f>'XL-Test'!M83</f>
        <v>46081</v>
      </c>
    </row>
    <row r="13" spans="1:17">
      <c r="B13">
        <v>12</v>
      </c>
      <c r="C13">
        <f>'XL-Test'!H59</f>
        <v>31</v>
      </c>
      <c r="D13">
        <f>'XL-Test'!I59</f>
        <v>12</v>
      </c>
      <c r="E13">
        <f>'XL-Test'!J59</f>
        <v>1</v>
      </c>
      <c r="F13">
        <f>'XL-Test'!K59</f>
        <v>10</v>
      </c>
      <c r="G13" s="14">
        <f>'XL-Test'!N59</f>
        <v>0.4296180555555556</v>
      </c>
      <c r="H13" s="14">
        <f>'XL-Test'!O59</f>
        <v>0.41666666666666663</v>
      </c>
      <c r="I13" s="14" t="str">
        <f>'XL-Test'!E84</f>
        <v>Selasa</v>
      </c>
      <c r="J13">
        <f>'XL-Test'!F84</f>
        <v>51</v>
      </c>
      <c r="K13">
        <f>'XL-Test'!G84</f>
        <v>3</v>
      </c>
      <c r="L13">
        <f>'XL-Test'!H84</f>
        <v>46416</v>
      </c>
      <c r="M13">
        <f>'XL-Test'!I84</f>
        <v>46443</v>
      </c>
      <c r="N13" s="14" t="str">
        <f>'XL-Test'!J84</f>
        <v>Akan Datang</v>
      </c>
      <c r="O13">
        <f>'XL-Test'!K84</f>
        <v>46388</v>
      </c>
      <c r="P13">
        <f>'XL-Test'!L84</f>
        <v>46461</v>
      </c>
      <c r="Q13">
        <f>'XL-Test'!M84</f>
        <v>46568</v>
      </c>
    </row>
    <row r="14" spans="1:17">
      <c r="B14">
        <v>13</v>
      </c>
      <c r="C14">
        <f>'XL-Test'!H60</f>
        <v>37</v>
      </c>
      <c r="D14">
        <f>'XL-Test'!I60</f>
        <v>11</v>
      </c>
      <c r="E14">
        <f>'XL-Test'!J60</f>
        <v>1</v>
      </c>
      <c r="F14">
        <f>'XL-Test'!K60</f>
        <v>9</v>
      </c>
      <c r="G14" s="14">
        <f>'XL-Test'!N60</f>
        <v>0.39797453703703706</v>
      </c>
      <c r="H14" s="14">
        <f>'XL-Test'!O60</f>
        <v>0.41666666666666663</v>
      </c>
      <c r="I14" s="14" t="str">
        <f>'XL-Test'!E85</f>
        <v>Jumat</v>
      </c>
      <c r="J14">
        <f>'XL-Test'!F85</f>
        <v>1</v>
      </c>
      <c r="K14">
        <f>'XL-Test'!G85</f>
        <v>1</v>
      </c>
      <c r="L14">
        <f>'XL-Test'!H85</f>
        <v>46062</v>
      </c>
      <c r="M14">
        <f>'XL-Test'!I85</f>
        <v>46106</v>
      </c>
      <c r="N14" s="14" t="str">
        <f>'XL-Test'!J85</f>
        <v>Akan Datang</v>
      </c>
      <c r="O14">
        <f>'XL-Test'!K85</f>
        <v>46054</v>
      </c>
      <c r="P14">
        <f>'XL-Test'!L85</f>
        <v>46114</v>
      </c>
      <c r="Q14">
        <f>'XL-Test'!M85</f>
        <v>46234</v>
      </c>
    </row>
    <row r="15" spans="1:17">
      <c r="B15">
        <v>14</v>
      </c>
      <c r="C15">
        <f>'XL-Test'!H61</f>
        <v>44</v>
      </c>
      <c r="D15">
        <f>'XL-Test'!I61</f>
        <v>22</v>
      </c>
      <c r="E15">
        <f>'XL-Test'!J61</f>
        <v>9</v>
      </c>
      <c r="F15">
        <f>'XL-Test'!K61</f>
        <v>11</v>
      </c>
      <c r="G15" s="14">
        <f>'XL-Test'!N61</f>
        <v>0.35491898148148154</v>
      </c>
      <c r="H15" s="14">
        <f>'XL-Test'!O61</f>
        <v>0.375</v>
      </c>
      <c r="I15" s="14" t="str">
        <f>'XL-Test'!E86</f>
        <v>Senin</v>
      </c>
      <c r="J15">
        <f>'XL-Test'!F86</f>
        <v>18</v>
      </c>
      <c r="K15">
        <f>'XL-Test'!G86</f>
        <v>5</v>
      </c>
      <c r="L15">
        <f>'XL-Test'!H86</f>
        <v>45815</v>
      </c>
      <c r="M15">
        <f>'XL-Test'!I86</f>
        <v>45863</v>
      </c>
      <c r="N15" s="14" t="str">
        <f>'XL-Test'!J86</f>
        <v>Selesai</v>
      </c>
      <c r="O15">
        <f>'XL-Test'!K86</f>
        <v>45778</v>
      </c>
      <c r="P15">
        <f>'XL-Test'!L86</f>
        <v>45866</v>
      </c>
      <c r="Q15">
        <f>'XL-Test'!M86</f>
        <v>45961</v>
      </c>
    </row>
    <row r="16" spans="1:17">
      <c r="B16">
        <v>15</v>
      </c>
      <c r="C16">
        <f>'XL-Test'!H62</f>
        <v>50</v>
      </c>
      <c r="D16">
        <f>'XL-Test'!I62</f>
        <v>27</v>
      </c>
      <c r="E16">
        <f>'XL-Test'!J62</f>
        <v>4</v>
      </c>
      <c r="F16">
        <f>'XL-Test'!K62</f>
        <v>24</v>
      </c>
      <c r="G16" s="14">
        <f>'XL-Test'!N62</f>
        <v>0.35302083333333328</v>
      </c>
      <c r="H16" s="14">
        <f>'XL-Test'!O62</f>
        <v>0.33333333333333331</v>
      </c>
      <c r="I16" s="14" t="str">
        <f>'XL-Test'!E87</f>
        <v>Kamis</v>
      </c>
      <c r="J16">
        <f>'XL-Test'!F87</f>
        <v>40</v>
      </c>
      <c r="K16">
        <f>'XL-Test'!G87</f>
        <v>1</v>
      </c>
      <c r="L16">
        <f>'XL-Test'!H87</f>
        <v>46385</v>
      </c>
      <c r="M16">
        <f>'XL-Test'!I87</f>
        <v>46412</v>
      </c>
      <c r="N16" s="14" t="str">
        <f>'XL-Test'!J87</f>
        <v>Akan Datang</v>
      </c>
      <c r="O16">
        <f>'XL-Test'!K87</f>
        <v>46327</v>
      </c>
      <c r="P16">
        <f>'XL-Test'!L87</f>
        <v>46388</v>
      </c>
      <c r="Q16">
        <f>'XL-Test'!M87</f>
        <v>46507</v>
      </c>
    </row>
    <row r="17" spans="2:17">
      <c r="B17">
        <v>16</v>
      </c>
      <c r="C17">
        <f>'XL-Test'!H63</f>
        <v>28</v>
      </c>
      <c r="D17">
        <f>'XL-Test'!I63</f>
        <v>1</v>
      </c>
      <c r="E17">
        <f>'XL-Test'!J63</f>
        <v>10</v>
      </c>
      <c r="F17">
        <f>'XL-Test'!K63</f>
        <v>27</v>
      </c>
      <c r="G17" s="14">
        <f>'XL-Test'!N63</f>
        <v>0.34006944444444437</v>
      </c>
      <c r="H17" s="14">
        <f>'XL-Test'!O63</f>
        <v>0.33333333333333331</v>
      </c>
      <c r="I17" s="14" t="str">
        <f>'XL-Test'!E88</f>
        <v>Kamis</v>
      </c>
      <c r="J17">
        <f>'XL-Test'!F88</f>
        <v>41</v>
      </c>
      <c r="K17">
        <f>'XL-Test'!G88</f>
        <v>2</v>
      </c>
      <c r="L17">
        <f>'XL-Test'!H88</f>
        <v>46370</v>
      </c>
      <c r="M17">
        <f>'XL-Test'!I88</f>
        <v>46412</v>
      </c>
      <c r="N17" s="14" t="str">
        <f>'XL-Test'!J88</f>
        <v>Akan Datang</v>
      </c>
      <c r="O17">
        <f>'XL-Test'!K88</f>
        <v>46327</v>
      </c>
      <c r="P17">
        <f>'XL-Test'!L88</f>
        <v>46395</v>
      </c>
      <c r="Q17">
        <f>'XL-Test'!M88</f>
        <v>46507</v>
      </c>
    </row>
    <row r="18" spans="2:17">
      <c r="B18">
        <v>17</v>
      </c>
      <c r="C18">
        <f>'XL-Test'!H64</f>
        <v>59</v>
      </c>
      <c r="D18">
        <f>'XL-Test'!I64</f>
        <v>32</v>
      </c>
      <c r="E18">
        <f>'XL-Test'!J64</f>
        <v>3</v>
      </c>
      <c r="F18">
        <f>'XL-Test'!K64</f>
        <v>0</v>
      </c>
      <c r="G18" s="14">
        <f>'XL-Test'!N64</f>
        <v>0.3540046296296297</v>
      </c>
      <c r="H18" s="14">
        <f>'XL-Test'!O64</f>
        <v>0.33333333333333331</v>
      </c>
      <c r="I18" s="14" t="str">
        <f>'XL-Test'!E89</f>
        <v>Jumat</v>
      </c>
      <c r="J18">
        <f>'XL-Test'!F89</f>
        <v>35</v>
      </c>
      <c r="K18">
        <f>'XL-Test'!G89</f>
        <v>5</v>
      </c>
      <c r="L18">
        <f>'XL-Test'!H89</f>
        <v>46321</v>
      </c>
      <c r="M18">
        <f>'XL-Test'!I89</f>
        <v>46351</v>
      </c>
      <c r="N18" s="14" t="str">
        <f>'XL-Test'!J89</f>
        <v>Akan Datang</v>
      </c>
      <c r="O18">
        <f>'XL-Test'!K89</f>
        <v>46266</v>
      </c>
      <c r="P18">
        <f>'XL-Test'!L89</f>
        <v>46354</v>
      </c>
      <c r="Q18">
        <f>'XL-Test'!M89</f>
        <v>46446</v>
      </c>
    </row>
    <row r="19" spans="2:17">
      <c r="B19">
        <v>18</v>
      </c>
      <c r="C19">
        <f>'XL-Test'!H65</f>
        <v>52</v>
      </c>
      <c r="D19">
        <f>'XL-Test'!I65</f>
        <v>26</v>
      </c>
      <c r="E19">
        <f>'XL-Test'!J65</f>
        <v>2</v>
      </c>
      <c r="F19">
        <f>'XL-Test'!K65</f>
        <v>3</v>
      </c>
      <c r="G19" s="14">
        <f>'XL-Test'!N65</f>
        <v>0.33333333333333331</v>
      </c>
      <c r="H19" s="14">
        <f>'XL-Test'!O65</f>
        <v>0.33333333333333331</v>
      </c>
      <c r="I19" s="14" t="str">
        <f>'XL-Test'!E90</f>
        <v>Senin</v>
      </c>
      <c r="J19">
        <f>'XL-Test'!F90</f>
        <v>42</v>
      </c>
      <c r="K19">
        <f>'XL-Test'!G90</f>
        <v>3</v>
      </c>
      <c r="L19">
        <f>'XL-Test'!H90</f>
        <v>46395</v>
      </c>
      <c r="M19">
        <f>'XL-Test'!I90</f>
        <v>46443</v>
      </c>
      <c r="N19" s="14" t="str">
        <f>'XL-Test'!J90</f>
        <v>Akan Datang</v>
      </c>
      <c r="O19">
        <f>'XL-Test'!K90</f>
        <v>46327</v>
      </c>
      <c r="P19">
        <f>'XL-Test'!L90</f>
        <v>46399</v>
      </c>
      <c r="Q19">
        <f>'XL-Test'!M90</f>
        <v>46507</v>
      </c>
    </row>
    <row r="20" spans="2:17">
      <c r="B20">
        <v>19</v>
      </c>
      <c r="C20">
        <f>'XL-Test'!H66</f>
        <v>24</v>
      </c>
      <c r="D20">
        <f>'XL-Test'!I66</f>
        <v>3</v>
      </c>
      <c r="E20">
        <f>'XL-Test'!J66</f>
        <v>7</v>
      </c>
      <c r="F20">
        <f>'XL-Test'!K66</f>
        <v>3</v>
      </c>
      <c r="G20" s="14">
        <f>'XL-Test'!N66</f>
        <v>0.39280092592592591</v>
      </c>
      <c r="H20" s="14">
        <f>'XL-Test'!O66</f>
        <v>0.375</v>
      </c>
      <c r="I20" s="14" t="str">
        <f>'XL-Test'!E91</f>
        <v>Senin</v>
      </c>
      <c r="J20">
        <f>'XL-Test'!F91</f>
        <v>2</v>
      </c>
      <c r="K20">
        <f>'XL-Test'!G91</f>
        <v>2</v>
      </c>
      <c r="L20">
        <f>'XL-Test'!H91</f>
        <v>45707</v>
      </c>
      <c r="M20">
        <f>'XL-Test'!I91</f>
        <v>45741</v>
      </c>
      <c r="N20" s="14" t="str">
        <f>'XL-Test'!J91</f>
        <v>Selesai</v>
      </c>
      <c r="O20">
        <f>'XL-Test'!K91</f>
        <v>45689</v>
      </c>
      <c r="P20">
        <f>'XL-Test'!L91</f>
        <v>45753</v>
      </c>
      <c r="Q20">
        <f>'XL-Test'!M91</f>
        <v>45869</v>
      </c>
    </row>
    <row r="21" spans="2:17">
      <c r="B21">
        <v>20</v>
      </c>
      <c r="C21">
        <f>'XL-Test'!H67</f>
        <v>24</v>
      </c>
      <c r="D21">
        <f>'XL-Test'!I67</f>
        <v>2</v>
      </c>
      <c r="E21">
        <f>'XL-Test'!J67</f>
        <v>5</v>
      </c>
      <c r="F21">
        <f>'XL-Test'!K67</f>
        <v>10</v>
      </c>
      <c r="G21" s="14">
        <f>'XL-Test'!N67</f>
        <v>0.43305555555555558</v>
      </c>
      <c r="H21" s="14">
        <f>'XL-Test'!O67</f>
        <v>0.41666666666666663</v>
      </c>
      <c r="I21" s="14" t="str">
        <f>'XL-Test'!E92</f>
        <v>Jumat</v>
      </c>
      <c r="J21">
        <f>'XL-Test'!F92</f>
        <v>12</v>
      </c>
      <c r="K21">
        <f>'XL-Test'!G92</f>
        <v>4</v>
      </c>
      <c r="L21">
        <f>'XL-Test'!H92</f>
        <v>45817</v>
      </c>
      <c r="M21">
        <f>'XL-Test'!I92</f>
        <v>45863</v>
      </c>
      <c r="N21" s="14" t="str">
        <f>'XL-Test'!J92</f>
        <v>Selesai</v>
      </c>
      <c r="O21">
        <f>'XL-Test'!K92</f>
        <v>45748</v>
      </c>
      <c r="P21">
        <f>'XL-Test'!L92</f>
        <v>45829</v>
      </c>
      <c r="Q21">
        <f>'XL-Test'!M92</f>
        <v>45930</v>
      </c>
    </row>
    <row r="22" spans="2:17">
      <c r="G22" s="14"/>
      <c r="H22" s="14"/>
      <c r="I22" s="14"/>
      <c r="N22" s="14"/>
    </row>
    <row r="23" spans="2:17">
      <c r="B23" t="s">
        <v>71</v>
      </c>
      <c r="C23">
        <f>SUM(C2:C21)+C3+C6+C9+C12+C16+C19+C21</f>
        <v>1046</v>
      </c>
      <c r="D23">
        <f t="shared" ref="D23:H23" si="0">SUM(D2:D21)+D3+D6+D9+D12+D16+D19+D21</f>
        <v>418</v>
      </c>
      <c r="E23">
        <f t="shared" si="0"/>
        <v>114</v>
      </c>
      <c r="F23">
        <f t="shared" si="0"/>
        <v>291</v>
      </c>
      <c r="G23">
        <f t="shared" si="0"/>
        <v>10.077152777777776</v>
      </c>
      <c r="H23">
        <f t="shared" si="0"/>
        <v>9.9166666666666661</v>
      </c>
      <c r="I23">
        <f>CODE(LEFT(I2))+CODE(LEFT(I3))+CODE(LEFT(I4))+CODE(LEFT(I5))+CODE(LEFT(I6))+CODE(LEFT(I7))+CODE(LEFT(I8))+CODE(LEFT(I9))+CODE(LEFT(I10))+CODE(LEFT(I11))+CODE(LEFT(I12))+CODE(LEFT(I13))+CODE(LEFT(I14))+CODE(LEFT(I15))+CODE(LEFT(I16))+CODE(LEFT(I17))+CODE(LEFT(I18))+CODE(LEFT(I19))+CODE(LEFT(I20))+CODE(LEFT(I21))+
CODE(RIGHT(I2))+CODE(RIGHT(I3))+CODE(RIGHT(I4))+CODE(RIGHT(I5))+CODE(RIGHT(I6))+CODE(RIGHT(I7))+CODE(RIGHT(I8))+CODE(RIGHT(I9))+CODE(RIGHT(I10))+CODE(RIGHT(I11))+CODE(RIGHT(I12))+CODE(RIGHT(I13))+CODE(RIGHT(I14))+CODE(RIGHT(I15))+CODE(RIGHT(I16))+CODE(RIGHT(I17))+CODE(RIGHT(I18))+CODE(RIGHT(I19))+CODE(RIGHT(I20))+CODE(RIGHT(I21))+CODE(MID(I3,4,1))+CODE(MID(I5,4,1))+CODE(MID(I3,4,1))+CODE(MID(I21,4,1))+CODE(MID(I13,4,1))</f>
        <v>4298</v>
      </c>
      <c r="J23">
        <f>SUM(J2:J21)+J3+J6+J9+J12+J16+J19+J21</f>
        <v>751</v>
      </c>
      <c r="K23">
        <f>SUM(K2:K21)+K3+K6+K9+K12+K16+K19+K21</f>
        <v>76</v>
      </c>
      <c r="L23">
        <f>SUM(L2:L21)+L3+L6+L9+L12+L16+L19+L21</f>
        <v>1244124</v>
      </c>
      <c r="M23">
        <f>SUM(M2:M21)+M3+M6+M9+M12+M16+M19+M21</f>
        <v>1245195</v>
      </c>
      <c r="N23">
        <f>CODE(LEFT(N2))+CODE(LEFT(N3))+CODE(LEFT(N4))+CODE(LEFT(N5))+CODE(LEFT(N6))+CODE(LEFT(N7))+CODE(LEFT(N8))+CODE(LEFT(N9))+CODE(LEFT(N10))+CODE(LEFT(N11))+CODE(LEFT(N12))+CODE(LEFT(N13))+CODE(LEFT(N14))+CODE(LEFT(N15))+CODE(LEFT(N16))+CODE(LEFT(N17))+CODE(LEFT(N18))+CODE(LEFT(N19))+CODE(LEFT(N20))+CODE(LEFT(N21))+
CODE(RIGHT(N2))+CODE(RIGHT(N3))+CODE(RIGHT(N4))+CODE(RIGHT(N5))+CODE(RIGHT(N6))+CODE(RIGHT(N7))+CODE(RIGHT(N8))+CODE(RIGHT(N9))+CODE(RIGHT(N10))+CODE(RIGHT(N11))+CODE(RIGHT(N12))+CODE(RIGHT(N13))+CODE(RIGHT(N14))+CODE(RIGHT(N15))+CODE(RIGHT(N16))+CODE(RIGHT(N17))+CODE(RIGHT(N18))+CODE(RIGHT(N19))+CODE(RIGHT(N20))+CODE(RIGHT(N21))+CODE(MID(N3,4,1))+CODE(MID(N5,4,1))+CODE(MID(N3,4,1))+CODE(MID(N21,4,1))+CODE(MID(N13,4,1))</f>
        <v>4061</v>
      </c>
      <c r="O23">
        <f>SUM(O2:O21)+O3+O6+O9+O12+O16+O19+O21</f>
        <v>1243064</v>
      </c>
      <c r="P23">
        <f>SUM(P2:P21)+P3+P6+P9+P12+P16+P19+P21</f>
        <v>1245035</v>
      </c>
      <c r="Q23">
        <f>SUM(Q2:Q21)+Q3+Q6+Q9+Q12+Q16+Q19+Q21</f>
        <v>1247946</v>
      </c>
    </row>
    <row r="24" spans="2:17">
      <c r="B24" t="s">
        <v>77</v>
      </c>
      <c r="C24">
        <v>7923</v>
      </c>
      <c r="D24">
        <v>3272</v>
      </c>
      <c r="E24">
        <v>4937</v>
      </c>
      <c r="F24">
        <v>8725</v>
      </c>
      <c r="G24">
        <v>8115</v>
      </c>
      <c r="H24">
        <v>8614</v>
      </c>
      <c r="I24">
        <v>2951</v>
      </c>
      <c r="J24">
        <v>6949</v>
      </c>
      <c r="K24">
        <v>8517</v>
      </c>
      <c r="L24">
        <v>3419</v>
      </c>
      <c r="M24">
        <v>7646</v>
      </c>
      <c r="N24">
        <v>4352</v>
      </c>
      <c r="O24">
        <v>8066</v>
      </c>
      <c r="P24">
        <v>4154</v>
      </c>
      <c r="Q24">
        <v>9148</v>
      </c>
    </row>
    <row r="25" spans="2:17">
      <c r="B25" t="s">
        <v>75</v>
      </c>
      <c r="C25" t="b">
        <f ca="1">AND(ISNUMBER(FIND("(",C40)),ISNUMBER(FIND("D",C40)))</f>
        <v>1</v>
      </c>
      <c r="D25" t="b">
        <f ca="1">AND(ISNUMBER(FIND("(",D40)),ISNUMBER(FIND("D",D40)))</f>
        <v>1</v>
      </c>
      <c r="E25" t="b">
        <f ca="1">AND(ISNUMBER(FIND("(",E40)),ISNUMBER(FIND("D",E40)))</f>
        <v>1</v>
      </c>
      <c r="F25" t="b">
        <f ca="1">AND(ISNUMBER(FIND("(",F40)),ISNUMBER(FIND("D",F40)))</f>
        <v>1</v>
      </c>
      <c r="G25" t="b">
        <f ca="1">AND(ISNUMBER(FIND("-",G40)),ISNUMBER(FIND("=",G40)))</f>
        <v>1</v>
      </c>
      <c r="H25" t="b">
        <f t="shared" ref="H25:Q25" ca="1" si="1">AND(ISNUMBER(FIND("(",H40)),ISNUMBER(FIND("=",H40)))</f>
        <v>1</v>
      </c>
      <c r="I25" t="b">
        <f t="shared" ca="1" si="1"/>
        <v>1</v>
      </c>
      <c r="J25" t="b">
        <f t="shared" ca="1" si="1"/>
        <v>1</v>
      </c>
      <c r="K25" t="b">
        <f t="shared" ca="1" si="1"/>
        <v>1</v>
      </c>
      <c r="L25" t="b">
        <f t="shared" ca="1" si="1"/>
        <v>1</v>
      </c>
      <c r="M25" t="b">
        <f t="shared" ca="1" si="1"/>
        <v>1</v>
      </c>
      <c r="N25" t="b">
        <f t="shared" ca="1" si="1"/>
        <v>1</v>
      </c>
      <c r="O25" t="b">
        <f t="shared" ca="1" si="1"/>
        <v>1</v>
      </c>
      <c r="P25" t="b">
        <f t="shared" ca="1" si="1"/>
        <v>1</v>
      </c>
      <c r="Q25" t="b">
        <f t="shared" ca="1" si="1"/>
        <v>1</v>
      </c>
    </row>
    <row r="26" spans="2:17">
      <c r="B26" t="s">
        <v>76</v>
      </c>
      <c r="C26" t="b">
        <f>NOT(OR(C2="",C2=0))</f>
        <v>1</v>
      </c>
      <c r="D26" t="b">
        <f t="shared" ref="D26:Q26" si="2">NOT(OR(D2="",D2=0))</f>
        <v>1</v>
      </c>
      <c r="E26" t="b">
        <f t="shared" si="2"/>
        <v>1</v>
      </c>
      <c r="F26" t="b">
        <f t="shared" si="2"/>
        <v>1</v>
      </c>
      <c r="G26" t="b">
        <f t="shared" si="2"/>
        <v>1</v>
      </c>
      <c r="H26" t="b">
        <f t="shared" si="2"/>
        <v>1</v>
      </c>
      <c r="I26" t="b">
        <f t="shared" si="2"/>
        <v>1</v>
      </c>
      <c r="J26" t="b">
        <f t="shared" si="2"/>
        <v>1</v>
      </c>
      <c r="K26" t="b">
        <f t="shared" si="2"/>
        <v>1</v>
      </c>
      <c r="L26" t="b">
        <f t="shared" si="2"/>
        <v>1</v>
      </c>
      <c r="M26" t="b">
        <f t="shared" si="2"/>
        <v>1</v>
      </c>
      <c r="N26" t="b">
        <f t="shared" si="2"/>
        <v>1</v>
      </c>
      <c r="O26" t="b">
        <f t="shared" si="2"/>
        <v>1</v>
      </c>
      <c r="P26" t="b">
        <f t="shared" si="2"/>
        <v>1</v>
      </c>
      <c r="Q26" t="b">
        <f t="shared" si="2"/>
        <v>1</v>
      </c>
    </row>
    <row r="27" spans="2:17">
      <c r="B27" t="s">
        <v>82</v>
      </c>
      <c r="C27" t="b">
        <f ca="1">C90</f>
        <v>1</v>
      </c>
      <c r="D27" t="b">
        <f t="shared" ref="D27:Q27" ca="1" si="3">D90</f>
        <v>1</v>
      </c>
      <c r="E27" t="b">
        <f t="shared" ca="1" si="3"/>
        <v>1</v>
      </c>
      <c r="F27" t="b">
        <f t="shared" ca="1" si="3"/>
        <v>1</v>
      </c>
      <c r="G27" t="b">
        <f t="shared" ca="1" si="3"/>
        <v>1</v>
      </c>
      <c r="H27" t="b">
        <f t="shared" ca="1" si="3"/>
        <v>1</v>
      </c>
      <c r="I27" t="b">
        <f t="shared" ca="1" si="3"/>
        <v>1</v>
      </c>
      <c r="J27" t="b">
        <f t="shared" ca="1" si="3"/>
        <v>1</v>
      </c>
      <c r="K27" t="b">
        <f t="shared" ca="1" si="3"/>
        <v>1</v>
      </c>
      <c r="L27" t="b">
        <f t="shared" ca="1" si="3"/>
        <v>1</v>
      </c>
      <c r="M27" t="b">
        <f t="shared" ca="1" si="3"/>
        <v>1</v>
      </c>
      <c r="N27" t="b">
        <f t="shared" ca="1" si="3"/>
        <v>1</v>
      </c>
      <c r="O27" t="b">
        <f t="shared" ca="1" si="3"/>
        <v>1</v>
      </c>
      <c r="P27" t="b">
        <f t="shared" ca="1" si="3"/>
        <v>1</v>
      </c>
      <c r="Q27" t="b">
        <f t="shared" ca="1" si="3"/>
        <v>1</v>
      </c>
    </row>
    <row r="28" spans="2:17">
      <c r="B28" t="s">
        <v>72</v>
      </c>
      <c r="C28" t="str">
        <f ca="1">IFERROR(DEC2HEX(IF(AND(C25:C27),C23,C24)),"eee")</f>
        <v>416</v>
      </c>
      <c r="D28" t="str">
        <f t="shared" ref="D28:Q28" ca="1" si="4">IFERROR(DEC2HEX(IF(AND(D25:D27),D23,D24)),"eee")</f>
        <v>1A2</v>
      </c>
      <c r="E28" t="str">
        <f t="shared" ca="1" si="4"/>
        <v>72</v>
      </c>
      <c r="F28" t="str">
        <f t="shared" ca="1" si="4"/>
        <v>123</v>
      </c>
      <c r="G28" t="str">
        <f t="shared" ca="1" si="4"/>
        <v>A</v>
      </c>
      <c r="H28" t="str">
        <f t="shared" ca="1" si="4"/>
        <v>9</v>
      </c>
      <c r="I28" t="str">
        <f t="shared" ca="1" si="4"/>
        <v>10CA</v>
      </c>
      <c r="J28" t="str">
        <f t="shared" ca="1" si="4"/>
        <v>2EF</v>
      </c>
      <c r="K28" t="str">
        <f t="shared" ca="1" si="4"/>
        <v>4C</v>
      </c>
      <c r="L28" t="str">
        <f t="shared" ca="1" si="4"/>
        <v>12FBDC</v>
      </c>
      <c r="M28" t="str">
        <f t="shared" ca="1" si="4"/>
        <v>13000B</v>
      </c>
      <c r="N28" t="str">
        <f t="shared" ca="1" si="4"/>
        <v>FDD</v>
      </c>
      <c r="O28" t="str">
        <f t="shared" ca="1" si="4"/>
        <v>12F7B8</v>
      </c>
      <c r="P28" t="str">
        <f t="shared" ca="1" si="4"/>
        <v>12FF6B</v>
      </c>
      <c r="Q28" t="str">
        <f t="shared" ca="1" si="4"/>
        <v>130ACA</v>
      </c>
    </row>
    <row r="30" spans="2:17">
      <c r="B30" t="b">
        <v>1</v>
      </c>
      <c r="C30" t="str">
        <f>DEC2HEX(LEFT(C24,2)+COLUMN())</f>
        <v>52</v>
      </c>
      <c r="D30" t="str">
        <f t="shared" ref="D30:Q30" si="5">DEC2HEX(LEFT(D24,2)+COLUMN())</f>
        <v>24</v>
      </c>
      <c r="E30" t="str">
        <f t="shared" si="5"/>
        <v>36</v>
      </c>
      <c r="F30" t="str">
        <f t="shared" si="5"/>
        <v>5D</v>
      </c>
      <c r="G30" t="str">
        <f t="shared" si="5"/>
        <v>58</v>
      </c>
      <c r="H30" t="str">
        <f t="shared" si="5"/>
        <v>5E</v>
      </c>
      <c r="I30" t="str">
        <f t="shared" si="5"/>
        <v>26</v>
      </c>
      <c r="J30" t="str">
        <f t="shared" si="5"/>
        <v>4F</v>
      </c>
      <c r="K30" t="str">
        <f t="shared" si="5"/>
        <v>60</v>
      </c>
      <c r="L30" t="str">
        <f t="shared" si="5"/>
        <v>2E</v>
      </c>
      <c r="M30" t="str">
        <f t="shared" si="5"/>
        <v>59</v>
      </c>
      <c r="N30" t="str">
        <f t="shared" si="5"/>
        <v>39</v>
      </c>
      <c r="O30" t="str">
        <f t="shared" si="5"/>
        <v>5F</v>
      </c>
      <c r="P30" t="str">
        <f t="shared" si="5"/>
        <v>39</v>
      </c>
      <c r="Q30" t="str">
        <f t="shared" si="5"/>
        <v>6C</v>
      </c>
    </row>
    <row r="31" spans="2:17">
      <c r="B31" t="b">
        <v>0</v>
      </c>
      <c r="C31" t="str">
        <f>DEC2HEX(RIGHT(C24,2)+COLUMN())</f>
        <v>1A</v>
      </c>
      <c r="D31" t="str">
        <f t="shared" ref="D31:Q31" si="6">DEC2HEX(RIGHT(D24,2)+COLUMN())</f>
        <v>4C</v>
      </c>
      <c r="E31" t="str">
        <f t="shared" si="6"/>
        <v>2A</v>
      </c>
      <c r="F31" t="str">
        <f t="shared" si="6"/>
        <v>1F</v>
      </c>
      <c r="G31" t="str">
        <f t="shared" si="6"/>
        <v>16</v>
      </c>
      <c r="H31" t="str">
        <f t="shared" si="6"/>
        <v>16</v>
      </c>
      <c r="I31" t="str">
        <f t="shared" si="6"/>
        <v>3C</v>
      </c>
      <c r="J31" t="str">
        <f t="shared" si="6"/>
        <v>3B</v>
      </c>
      <c r="K31" t="str">
        <f t="shared" si="6"/>
        <v>1C</v>
      </c>
      <c r="L31" t="str">
        <f t="shared" si="6"/>
        <v>1F</v>
      </c>
      <c r="M31" t="str">
        <f t="shared" si="6"/>
        <v>3B</v>
      </c>
      <c r="N31" t="str">
        <f t="shared" si="6"/>
        <v>42</v>
      </c>
      <c r="O31" t="str">
        <f t="shared" si="6"/>
        <v>51</v>
      </c>
      <c r="P31" t="str">
        <f t="shared" si="6"/>
        <v>46</v>
      </c>
      <c r="Q31" t="str">
        <f t="shared" si="6"/>
        <v>41</v>
      </c>
    </row>
    <row r="33" spans="2:17">
      <c r="B33" t="s">
        <v>74</v>
      </c>
      <c r="C33" t="b">
        <f ca="1">AND(ISNUMBER(FIND("DIF",C40)),ISNUMBER(FIND("Y",C40)))</f>
        <v>1</v>
      </c>
      <c r="D33" t="b">
        <f t="shared" ref="D33" ca="1" si="7">AND(ISNUMBER(FIND("DIF",D40)),ISNUMBER(FIND("Y",D40)))</f>
        <v>1</v>
      </c>
      <c r="E33" t="b">
        <f ca="1">AND(ISNUMBER(FIND("DIF",E40)),ISNUMBER(FIND("YM",E40)))</f>
        <v>1</v>
      </c>
      <c r="F33" t="b">
        <f ca="1">AND(ISNUMBER(FIND("DIF",F40)),ISNUMBER(FIND("MD",F40)))</f>
        <v>1</v>
      </c>
      <c r="G33" t="b">
        <f ca="1">ISNUMBER(FIND("-",G40))</f>
        <v>1</v>
      </c>
      <c r="H33" t="b">
        <f ca="1">ISNUMBER(FIND("MRO",H40))</f>
        <v>1</v>
      </c>
      <c r="I33" t="b">
        <f ca="1">ISNUMBER(FIND("EXT",I40))</f>
        <v>1</v>
      </c>
      <c r="J33" t="b">
        <f ca="1">ISNUMBER(FIND("KNUM",J40))</f>
        <v>1</v>
      </c>
      <c r="K33" t="b">
        <f ca="1">AND(ISNUMBER(FIND("KNUM",K40)),ISNUMBER(FIND("OMO",K40)))</f>
        <v>1</v>
      </c>
      <c r="L33" t="b">
        <f ca="1">ISNUMBER(FIND("RKDA",L40))</f>
        <v>1</v>
      </c>
      <c r="M33" t="b">
        <f ca="1">AND(ISNUMBER(FIND("RKDA",M40)),ISNUMBER(FIND("OMO",M40)))</f>
        <v>1</v>
      </c>
      <c r="N33" t="b">
        <f ca="1">OR(ISNUMBER(FIND("IF",N40)),ISNUMBER(FIND("SWI",N40)))</f>
        <v>1</v>
      </c>
      <c r="O33" t="b">
        <f ca="1">ISNUMBER(FIND("OMO",O40))</f>
        <v>1</v>
      </c>
      <c r="P33" t="b">
        <f ca="1">ISNUMBER(FIND("EDA",P40))</f>
        <v>1</v>
      </c>
      <c r="Q33" t="b">
        <f ca="1">ISNUMBER(FIND("OMO",Q40))</f>
        <v>1</v>
      </c>
    </row>
    <row r="34" spans="2:17">
      <c r="B34" t="s">
        <v>83</v>
      </c>
      <c r="C34" t="b">
        <f ca="1">C61</f>
        <v>1</v>
      </c>
      <c r="D34" t="b">
        <f t="shared" ref="D34:Q34" ca="1" si="8">D61</f>
        <v>1</v>
      </c>
      <c r="E34" t="b">
        <f t="shared" ca="1" si="8"/>
        <v>1</v>
      </c>
      <c r="F34" t="b">
        <f t="shared" ca="1" si="8"/>
        <v>1</v>
      </c>
      <c r="G34" t="b">
        <f t="shared" ca="1" si="8"/>
        <v>1</v>
      </c>
      <c r="H34" t="b">
        <f t="shared" ca="1" si="8"/>
        <v>1</v>
      </c>
      <c r="I34" t="b">
        <f t="shared" ca="1" si="8"/>
        <v>1</v>
      </c>
      <c r="J34" t="b">
        <f t="shared" ca="1" si="8"/>
        <v>1</v>
      </c>
      <c r="K34" t="b">
        <f t="shared" ca="1" si="8"/>
        <v>1</v>
      </c>
      <c r="L34" t="b">
        <f t="shared" ca="1" si="8"/>
        <v>1</v>
      </c>
      <c r="M34" t="b">
        <f t="shared" ca="1" si="8"/>
        <v>1</v>
      </c>
      <c r="N34" t="b">
        <f t="shared" ca="1" si="8"/>
        <v>1</v>
      </c>
      <c r="O34" t="b">
        <f t="shared" ca="1" si="8"/>
        <v>1</v>
      </c>
      <c r="P34" t="b">
        <f t="shared" ca="1" si="8"/>
        <v>1</v>
      </c>
      <c r="Q34" t="b">
        <f t="shared" ca="1" si="8"/>
        <v>1</v>
      </c>
    </row>
    <row r="35" spans="2:17">
      <c r="B35" t="s">
        <v>84</v>
      </c>
      <c r="C35" t="str">
        <f ca="1">IF(AND(C33,C34),C30,C31)&amp;"-"&amp;C28&amp;";"</f>
        <v>52-416;</v>
      </c>
      <c r="D35" t="str">
        <f t="shared" ref="D35:P35" ca="1" si="9">IF(AND(D33,D34),D30,D31)&amp;"-"&amp;D28&amp;";"</f>
        <v>24-1A2;</v>
      </c>
      <c r="E35" t="str">
        <f t="shared" ca="1" si="9"/>
        <v>36-72;</v>
      </c>
      <c r="F35" t="str">
        <f t="shared" ca="1" si="9"/>
        <v>5D-123;</v>
      </c>
      <c r="G35" t="str">
        <f t="shared" ca="1" si="9"/>
        <v>58-A;</v>
      </c>
      <c r="H35" t="str">
        <f t="shared" ca="1" si="9"/>
        <v>5E-9;</v>
      </c>
      <c r="I35" t="str">
        <f t="shared" ca="1" si="9"/>
        <v>26-10CA;</v>
      </c>
      <c r="J35" t="str">
        <f t="shared" ca="1" si="9"/>
        <v>4F-2EF;</v>
      </c>
      <c r="K35" t="str">
        <f t="shared" ca="1" si="9"/>
        <v>60-4C;</v>
      </c>
      <c r="L35" t="str">
        <f t="shared" ca="1" si="9"/>
        <v>2E-12FBDC;</v>
      </c>
      <c r="M35" t="str">
        <f t="shared" ca="1" si="9"/>
        <v>59-13000B;</v>
      </c>
      <c r="N35" t="str">
        <f t="shared" ca="1" si="9"/>
        <v>39-FDD;</v>
      </c>
      <c r="O35" t="str">
        <f t="shared" ca="1" si="9"/>
        <v>5F-12F7B8;</v>
      </c>
      <c r="P35" t="str">
        <f t="shared" ca="1" si="9"/>
        <v>39-12FF6B;</v>
      </c>
      <c r="Q35" t="str">
        <f ca="1">IF(AND(Q33,Q34),Q30,Q31)&amp;"-"&amp;Q28</f>
        <v>6C-130ACA</v>
      </c>
    </row>
    <row r="37" spans="2:17">
      <c r="C37" t="str">
        <f ca="1">A2&amp;"|"&amp;C35&amp;D35&amp;E35&amp;F35&amp;G35&amp;H35&amp;I35&amp;J35&amp;K35&amp;L35&amp;M35&amp;N35&amp;O35&amp;P35&amp;Q35</f>
        <v>MH2|52-416;24-1A2;36-72;5D-123;58-A;5E-9;26-10CA;4F-2EF;60-4C;2E-12FBDC;59-13000B;39-FDD;5F-12F7B8;39-12FF6B;6C-130ACA</v>
      </c>
    </row>
    <row r="40" spans="2:17">
      <c r="C40" t="str">
        <f ca="1">SUBSTITUTE(C41,"$","")</f>
        <v>=DATEDIF(F48;D45;"Y")</v>
      </c>
      <c r="D40" t="str">
        <f t="shared" ref="D40:Q40" ca="1" si="10">SUBSTITUTE(D41,"$","")</f>
        <v>=DATEDIF(G48;D45;"Y")</v>
      </c>
      <c r="E40" t="str">
        <f t="shared" ca="1" si="10"/>
        <v>=DATEDIF(G48;D45;"YM")</v>
      </c>
      <c r="F40" t="str">
        <f t="shared" ca="1" si="10"/>
        <v>=DATEDIF(G48;D45;"MD")</v>
      </c>
      <c r="G40" t="str">
        <f t="shared" ca="1" si="10"/>
        <v>=M48-L48</v>
      </c>
      <c r="H40" t="str">
        <f t="shared" ca="1" si="10"/>
        <v>=MROUND(N48;"1:00")</v>
      </c>
      <c r="I40" t="str">
        <f t="shared" ca="1" si="10"/>
        <v>=TEXT(C73;"[-421]dddd")</v>
      </c>
      <c r="J40" t="str">
        <f t="shared" ca="1" si="10"/>
        <v>=WEEKNUM(C73)</v>
      </c>
      <c r="K40" t="str">
        <f t="shared" ca="1" si="10"/>
        <v>=WEEKNUM(C73)-WEEKNUM(EOMONTH(C73;-1)+1)+1</v>
      </c>
      <c r="L40" t="str">
        <f t="shared" ca="1" si="10"/>
        <v>=WORKDAY.INTL(C73;D73;11)</v>
      </c>
      <c r="M40" t="str">
        <f t="shared" ca="1" si="10"/>
        <v>=WORKDAY.INTL(EOMONTH(H73;0)+26;-1;11)</v>
      </c>
      <c r="N40" t="str">
        <f t="shared" ca="1" si="10"/>
        <v>=IF(H73&lt;D45;"Selesai";IF(C73&gt;D45;"Akan Datang";"Sedang Berjalan"))</v>
      </c>
      <c r="O40" t="str">
        <f t="shared" ca="1" si="10"/>
        <v>=EOMONTH(C73;0)+1</v>
      </c>
      <c r="P40" t="str">
        <f t="shared" ca="1" si="10"/>
        <v>=EDATE(C73;3)</v>
      </c>
      <c r="Q40" t="str">
        <f t="shared" ca="1" si="10"/>
        <v>=EOMONTH(C73;6)</v>
      </c>
    </row>
    <row r="41" spans="2:17">
      <c r="C41" t="str" cm="1">
        <f t="array" aca="1" ref="C41" ca="1">_xlfn.FORMULATEXT(INDIRECT(MID(_xlfn.FORMULATEXT(C2),2,300)))</f>
        <v>=DATEDIF(F48;$D$45;"Y")</v>
      </c>
      <c r="D41" t="str" cm="1">
        <f t="array" aca="1" ref="D41" ca="1">_xlfn.FORMULATEXT(INDIRECT(MID(_xlfn.FORMULATEXT(D2),2,300)))</f>
        <v>=DATEDIF(G48;$D$45;"Y")</v>
      </c>
      <c r="E41" t="str" cm="1">
        <f t="array" aca="1" ref="E41" ca="1">_xlfn.FORMULATEXT(INDIRECT(MID(_xlfn.FORMULATEXT(E2),2,300)))</f>
        <v>=DATEDIF(G48;$D$45;"YM")</v>
      </c>
      <c r="F41" t="str" cm="1">
        <f t="array" aca="1" ref="F41" ca="1">_xlfn.FORMULATEXT(INDIRECT(MID(_xlfn.FORMULATEXT(F2),2,300)))</f>
        <v>=DATEDIF(G48;$D$45;"MD")</v>
      </c>
      <c r="G41" t="str" cm="1">
        <f t="array" aca="1" ref="G41" ca="1">_xlfn.FORMULATEXT(INDIRECT(MID(_xlfn.FORMULATEXT(G2),2,300)))</f>
        <v>=M48-L48</v>
      </c>
      <c r="H41" t="str" cm="1">
        <f t="array" aca="1" ref="H41" ca="1">_xlfn.FORMULATEXT(INDIRECT(MID(_xlfn.FORMULATEXT(H2),2,300)))</f>
        <v>=MROUND(N48;"1:00")</v>
      </c>
      <c r="I41" t="str" cm="1">
        <f t="array" aca="1" ref="I41" ca="1">_xlfn.FORMULATEXT(INDIRECT(MID(_xlfn.FORMULATEXT(I2),2,300)))</f>
        <v>=TEXT(C73;"[$-421]dddd")</v>
      </c>
      <c r="J41" t="str" cm="1">
        <f t="array" aca="1" ref="J41" ca="1">_xlfn.FORMULATEXT(INDIRECT(MID(_xlfn.FORMULATEXT(J2),2,300)))</f>
        <v>=WEEKNUM(C73)</v>
      </c>
      <c r="K41" t="str" cm="1">
        <f t="array" aca="1" ref="K41" ca="1">_xlfn.FORMULATEXT(INDIRECT(MID(_xlfn.FORMULATEXT(K2),2,300)))</f>
        <v>=WEEKNUM(C73)-WEEKNUM(EOMONTH(C73;-1)+1)+1</v>
      </c>
      <c r="L41" t="str" cm="1">
        <f t="array" aca="1" ref="L41" ca="1">_xlfn.FORMULATEXT(INDIRECT(MID(_xlfn.FORMULATEXT(L2),2,300)))</f>
        <v>=WORKDAY.INTL(C73;D73;11)</v>
      </c>
      <c r="M41" t="str" cm="1">
        <f t="array" aca="1" ref="M41" ca="1">_xlfn.FORMULATEXT(INDIRECT(MID(_xlfn.FORMULATEXT(M2),2,300)))</f>
        <v>=WORKDAY.INTL(EOMONTH(H73;0)+26;-1;11)</v>
      </c>
      <c r="N41" t="str" cm="1">
        <f t="array" aca="1" ref="N41" ca="1">_xlfn.FORMULATEXT(INDIRECT(MID(_xlfn.FORMULATEXT(N2),2,300)))</f>
        <v>=IF(H73&lt;$D$45;"Selesai";IF(C73&gt;$D$45;"Akan Datang";"Sedang Berjalan"))</v>
      </c>
      <c r="O41" t="str" cm="1">
        <f t="array" aca="1" ref="O41" ca="1">_xlfn.FORMULATEXT(INDIRECT(MID(_xlfn.FORMULATEXT(O2),2,300)))</f>
        <v>=EOMONTH(C73;0)+1</v>
      </c>
      <c r="P41" t="str" cm="1">
        <f t="array" aca="1" ref="P41" ca="1">_xlfn.FORMULATEXT(INDIRECT(MID(_xlfn.FORMULATEXT(P2),2,300)))</f>
        <v>=EDATE(C73;3)</v>
      </c>
      <c r="Q41" t="str" cm="1">
        <f t="array" aca="1" ref="Q41" ca="1">_xlfn.FORMULATEXT(INDIRECT(MID(_xlfn.FORMULATEXT(Q2),2,300)))</f>
        <v>=EOMONTH(C73;6)</v>
      </c>
    </row>
    <row r="43" spans="2:17">
      <c r="D43" t="str">
        <f ca="1">D41</f>
        <v>=DATEDIF(G48;$D$45;"Y")</v>
      </c>
      <c r="K43" t="str">
        <f ca="1">K41</f>
        <v>=WEEKNUM(C73)-WEEKNUM(EOMONTH(C73;-1)+1)+1</v>
      </c>
    </row>
    <row r="45" spans="2:17">
      <c r="E45" t="str">
        <f ca="1">E41</f>
        <v>=DATEDIF(G48;$D$45;"YM")</v>
      </c>
      <c r="L45" t="str">
        <f ca="1">L41</f>
        <v>=WORKDAY.INTL(C73;D73;11)</v>
      </c>
    </row>
    <row r="46" spans="2:17">
      <c r="C46" t="str">
        <f ca="1">C41</f>
        <v>=DATEDIF(F48;$D$45;"Y")</v>
      </c>
    </row>
    <row r="47" spans="2:17">
      <c r="F47" t="str">
        <f ca="1">F41</f>
        <v>=DATEDIF(G48;$D$45;"MD")</v>
      </c>
      <c r="M47" t="str">
        <f ca="1">M41</f>
        <v>=WORKDAY.INTL(EOMONTH(H73;0)+26;-1;11)</v>
      </c>
    </row>
    <row r="49" spans="1:17">
      <c r="G49" t="str">
        <f ca="1">G41</f>
        <v>=M48-L48</v>
      </c>
      <c r="N49" t="str">
        <f ca="1">N41</f>
        <v>=IF(H73&lt;$D$45;"Selesai";IF(C73&gt;$D$45;"Akan Datang";"Sedang Berjalan"))</v>
      </c>
    </row>
    <row r="51" spans="1:17">
      <c r="H51" t="str">
        <f ca="1">H41</f>
        <v>=MROUND(N48;"1:00")</v>
      </c>
      <c r="O51" t="str">
        <f ca="1">O41</f>
        <v>=EOMONTH(C73;0)+1</v>
      </c>
    </row>
    <row r="53" spans="1:17">
      <c r="I53" t="str">
        <f ca="1">I41</f>
        <v>=TEXT(C73;"[$-421]dddd")</v>
      </c>
      <c r="P53" t="str">
        <f ca="1">P41</f>
        <v>=EDATE(C73;3)</v>
      </c>
    </row>
    <row r="55" spans="1:17">
      <c r="J55" t="str">
        <f ca="1">J41</f>
        <v>=WEEKNUM(C73)</v>
      </c>
      <c r="Q55" t="str">
        <f ca="1">Q41</f>
        <v>=EOMONTH(C73;6)</v>
      </c>
    </row>
    <row r="59" spans="1:17">
      <c r="B59" t="s">
        <v>78</v>
      </c>
      <c r="C59">
        <f ca="1">IFERROR(LEN(C40)-LEN(SUBSTITUTE(C40,"(","")),99)</f>
        <v>1</v>
      </c>
      <c r="D59">
        <f t="shared" ref="D59:Q59" ca="1" si="11">IFERROR(LEN(D40)-LEN(SUBSTITUTE(D40,"(","")),99)</f>
        <v>1</v>
      </c>
      <c r="E59">
        <f t="shared" ca="1" si="11"/>
        <v>1</v>
      </c>
      <c r="F59">
        <f t="shared" ca="1" si="11"/>
        <v>1</v>
      </c>
      <c r="G59">
        <f t="shared" ca="1" si="11"/>
        <v>0</v>
      </c>
      <c r="H59">
        <f t="shared" ca="1" si="11"/>
        <v>1</v>
      </c>
      <c r="I59">
        <f t="shared" ca="1" si="11"/>
        <v>1</v>
      </c>
      <c r="J59">
        <f t="shared" ca="1" si="11"/>
        <v>1</v>
      </c>
      <c r="K59">
        <f t="shared" ca="1" si="11"/>
        <v>3</v>
      </c>
      <c r="L59">
        <f t="shared" ca="1" si="11"/>
        <v>1</v>
      </c>
      <c r="M59">
        <f t="shared" ca="1" si="11"/>
        <v>2</v>
      </c>
      <c r="N59">
        <f t="shared" ca="1" si="11"/>
        <v>2</v>
      </c>
      <c r="O59">
        <f t="shared" ca="1" si="11"/>
        <v>1</v>
      </c>
      <c r="P59">
        <f t="shared" ca="1" si="11"/>
        <v>1</v>
      </c>
      <c r="Q59">
        <f t="shared" ca="1" si="11"/>
        <v>1</v>
      </c>
    </row>
    <row r="60" spans="1:17"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3</v>
      </c>
      <c r="L60">
        <v>1</v>
      </c>
      <c r="M60">
        <v>2</v>
      </c>
      <c r="N60">
        <v>2</v>
      </c>
      <c r="O60">
        <v>1</v>
      </c>
      <c r="P60">
        <v>1</v>
      </c>
      <c r="Q60">
        <v>1</v>
      </c>
    </row>
    <row r="61" spans="1:17">
      <c r="C61" t="b">
        <f ca="1">C59&lt;=C60</f>
        <v>1</v>
      </c>
      <c r="D61" t="b">
        <f t="shared" ref="D61:Q61" ca="1" si="12">D59&lt;=D60</f>
        <v>1</v>
      </c>
      <c r="E61" t="b">
        <f t="shared" ca="1" si="12"/>
        <v>1</v>
      </c>
      <c r="F61" t="b">
        <f t="shared" ca="1" si="12"/>
        <v>1</v>
      </c>
      <c r="G61" t="b">
        <f t="shared" ca="1" si="12"/>
        <v>1</v>
      </c>
      <c r="H61" t="b">
        <f t="shared" ca="1" si="12"/>
        <v>1</v>
      </c>
      <c r="I61" t="b">
        <f t="shared" ca="1" si="12"/>
        <v>1</v>
      </c>
      <c r="J61" t="b">
        <f t="shared" ca="1" si="12"/>
        <v>1</v>
      </c>
      <c r="K61" t="b">
        <f t="shared" ca="1" si="12"/>
        <v>1</v>
      </c>
      <c r="L61" t="b">
        <f t="shared" ca="1" si="12"/>
        <v>1</v>
      </c>
      <c r="M61" t="b">
        <f t="shared" ca="1" si="12"/>
        <v>1</v>
      </c>
      <c r="N61" t="b">
        <f t="shared" ca="1" si="12"/>
        <v>1</v>
      </c>
      <c r="O61" t="b">
        <f t="shared" ca="1" si="12"/>
        <v>1</v>
      </c>
      <c r="P61" t="b">
        <f t="shared" ca="1" si="12"/>
        <v>1</v>
      </c>
      <c r="Q61" t="b">
        <f t="shared" ca="1" si="12"/>
        <v>1</v>
      </c>
    </row>
    <row r="63" spans="1:17">
      <c r="B63" t="s">
        <v>79</v>
      </c>
    </row>
    <row r="64" spans="1:17">
      <c r="A64">
        <v>1</v>
      </c>
      <c r="B64">
        <v>10</v>
      </c>
      <c r="C64">
        <f ca="1">LEN(_xlfn.FORMULATEXT('XL-Test'!H48))</f>
        <v>23</v>
      </c>
      <c r="D64">
        <f ca="1">LEN(_xlfn.FORMULATEXT('XL-Test'!I48))</f>
        <v>23</v>
      </c>
      <c r="E64">
        <f ca="1">LEN(_xlfn.FORMULATEXT('XL-Test'!J48))</f>
        <v>24</v>
      </c>
      <c r="F64">
        <f ca="1">LEN(_xlfn.FORMULATEXT('XL-Test'!K48))</f>
        <v>24</v>
      </c>
      <c r="G64">
        <f ca="1">LEN(_xlfn.FORMULATEXT('XL-Test'!N48))</f>
        <v>8</v>
      </c>
      <c r="H64">
        <f ca="1">LEN(_xlfn.FORMULATEXT('XL-Test'!O48))</f>
        <v>19</v>
      </c>
      <c r="I64">
        <f ca="1">LEN(_xlfn.FORMULATEXT('XL-Test'!E73))</f>
        <v>24</v>
      </c>
      <c r="J64">
        <f ca="1">LEN(_xlfn.FORMULATEXT('XL-Test'!F73))</f>
        <v>13</v>
      </c>
      <c r="K64">
        <f ca="1">LEN(_xlfn.FORMULATEXT('XL-Test'!G73))</f>
        <v>42</v>
      </c>
      <c r="L64">
        <f ca="1">LEN(_xlfn.FORMULATEXT('XL-Test'!H73))</f>
        <v>25</v>
      </c>
      <c r="M64">
        <f ca="1">LEN(_xlfn.FORMULATEXT('XL-Test'!I73))</f>
        <v>38</v>
      </c>
      <c r="N64">
        <f ca="1">LEN(_xlfn.FORMULATEXT('XL-Test'!J73))</f>
        <v>70</v>
      </c>
      <c r="O64">
        <f ca="1">LEN(_xlfn.FORMULATEXT('XL-Test'!K73))</f>
        <v>17</v>
      </c>
      <c r="P64">
        <f ca="1">LEN(_xlfn.FORMULATEXT('XL-Test'!L73))</f>
        <v>13</v>
      </c>
      <c r="Q64">
        <f ca="1">LEN(_xlfn.FORMULATEXT('XL-Test'!M73))</f>
        <v>15</v>
      </c>
    </row>
    <row r="65" spans="1:17">
      <c r="A65">
        <v>2</v>
      </c>
      <c r="B65">
        <v>11</v>
      </c>
      <c r="C65">
        <f ca="1">LEN(_xlfn.FORMULATEXT('XL-Test'!H49))</f>
        <v>23</v>
      </c>
      <c r="D65">
        <f ca="1">LEN(_xlfn.FORMULATEXT('XL-Test'!I49))</f>
        <v>23</v>
      </c>
      <c r="E65">
        <f ca="1">LEN(_xlfn.FORMULATEXT('XL-Test'!J49))</f>
        <v>24</v>
      </c>
      <c r="F65">
        <f ca="1">LEN(_xlfn.FORMULATEXT('XL-Test'!K49))</f>
        <v>24</v>
      </c>
      <c r="G65">
        <f ca="1">LEN(_xlfn.FORMULATEXT('XL-Test'!N49))</f>
        <v>8</v>
      </c>
      <c r="H65">
        <f ca="1">LEN(_xlfn.FORMULATEXT('XL-Test'!O49))</f>
        <v>19</v>
      </c>
      <c r="I65">
        <f ca="1">LEN(_xlfn.FORMULATEXT('XL-Test'!E74))</f>
        <v>24</v>
      </c>
      <c r="J65">
        <f ca="1">LEN(_xlfn.FORMULATEXT('XL-Test'!F74))</f>
        <v>13</v>
      </c>
      <c r="K65">
        <f ca="1">LEN(_xlfn.FORMULATEXT('XL-Test'!G74))</f>
        <v>42</v>
      </c>
      <c r="L65">
        <f ca="1">LEN(_xlfn.FORMULATEXT('XL-Test'!H74))</f>
        <v>25</v>
      </c>
      <c r="M65">
        <f ca="1">LEN(_xlfn.FORMULATEXT('XL-Test'!I74))</f>
        <v>38</v>
      </c>
      <c r="N65">
        <f ca="1">LEN(_xlfn.FORMULATEXT('XL-Test'!J74))</f>
        <v>70</v>
      </c>
      <c r="O65">
        <f ca="1">LEN(_xlfn.FORMULATEXT('XL-Test'!K74))</f>
        <v>17</v>
      </c>
      <c r="P65">
        <f ca="1">LEN(_xlfn.FORMULATEXT('XL-Test'!L74))</f>
        <v>13</v>
      </c>
      <c r="Q65">
        <f ca="1">LEN(_xlfn.FORMULATEXT('XL-Test'!M74))</f>
        <v>15</v>
      </c>
    </row>
    <row r="66" spans="1:17">
      <c r="A66">
        <v>3</v>
      </c>
      <c r="B66">
        <v>12</v>
      </c>
      <c r="C66">
        <f ca="1">LEN(_xlfn.FORMULATEXT('XL-Test'!H50))</f>
        <v>23</v>
      </c>
      <c r="D66">
        <f ca="1">LEN(_xlfn.FORMULATEXT('XL-Test'!I50))</f>
        <v>23</v>
      </c>
      <c r="E66">
        <f ca="1">LEN(_xlfn.FORMULATEXT('XL-Test'!J50))</f>
        <v>24</v>
      </c>
      <c r="F66">
        <f ca="1">LEN(_xlfn.FORMULATEXT('XL-Test'!K50))</f>
        <v>24</v>
      </c>
      <c r="G66">
        <f ca="1">LEN(_xlfn.FORMULATEXT('XL-Test'!N50))</f>
        <v>8</v>
      </c>
      <c r="H66">
        <f ca="1">LEN(_xlfn.FORMULATEXT('XL-Test'!O50))</f>
        <v>19</v>
      </c>
      <c r="I66">
        <f ca="1">LEN(_xlfn.FORMULATEXT('XL-Test'!E75))</f>
        <v>24</v>
      </c>
      <c r="J66">
        <f ca="1">LEN(_xlfn.FORMULATEXT('XL-Test'!F75))</f>
        <v>13</v>
      </c>
      <c r="K66">
        <f ca="1">LEN(_xlfn.FORMULATEXT('XL-Test'!G75))</f>
        <v>42</v>
      </c>
      <c r="L66">
        <f ca="1">LEN(_xlfn.FORMULATEXT('XL-Test'!H75))</f>
        <v>25</v>
      </c>
      <c r="M66">
        <f ca="1">LEN(_xlfn.FORMULATEXT('XL-Test'!I75))</f>
        <v>38</v>
      </c>
      <c r="N66">
        <f ca="1">LEN(_xlfn.FORMULATEXT('XL-Test'!J75))</f>
        <v>70</v>
      </c>
      <c r="O66">
        <f ca="1">LEN(_xlfn.FORMULATEXT('XL-Test'!K75))</f>
        <v>17</v>
      </c>
      <c r="P66">
        <f ca="1">LEN(_xlfn.FORMULATEXT('XL-Test'!L75))</f>
        <v>13</v>
      </c>
      <c r="Q66">
        <f ca="1">LEN(_xlfn.FORMULATEXT('XL-Test'!M75))</f>
        <v>15</v>
      </c>
    </row>
    <row r="67" spans="1:17">
      <c r="A67">
        <v>4</v>
      </c>
      <c r="B67">
        <v>13</v>
      </c>
      <c r="C67">
        <f ca="1">LEN(_xlfn.FORMULATEXT('XL-Test'!H51))</f>
        <v>23</v>
      </c>
      <c r="D67">
        <f ca="1">LEN(_xlfn.FORMULATEXT('XL-Test'!I51))</f>
        <v>23</v>
      </c>
      <c r="E67">
        <f ca="1">LEN(_xlfn.FORMULATEXT('XL-Test'!J51))</f>
        <v>24</v>
      </c>
      <c r="F67">
        <f ca="1">LEN(_xlfn.FORMULATEXT('XL-Test'!K51))</f>
        <v>24</v>
      </c>
      <c r="G67">
        <f ca="1">LEN(_xlfn.FORMULATEXT('XL-Test'!N51))</f>
        <v>8</v>
      </c>
      <c r="H67">
        <f ca="1">LEN(_xlfn.FORMULATEXT('XL-Test'!O51))</f>
        <v>19</v>
      </c>
      <c r="I67">
        <f ca="1">LEN(_xlfn.FORMULATEXT('XL-Test'!E76))</f>
        <v>24</v>
      </c>
      <c r="J67">
        <f ca="1">LEN(_xlfn.FORMULATEXT('XL-Test'!F76))</f>
        <v>13</v>
      </c>
      <c r="K67">
        <f ca="1">LEN(_xlfn.FORMULATEXT('XL-Test'!G76))</f>
        <v>42</v>
      </c>
      <c r="L67">
        <f ca="1">LEN(_xlfn.FORMULATEXT('XL-Test'!H76))</f>
        <v>25</v>
      </c>
      <c r="M67">
        <f ca="1">LEN(_xlfn.FORMULATEXT('XL-Test'!I76))</f>
        <v>38</v>
      </c>
      <c r="N67">
        <f ca="1">LEN(_xlfn.FORMULATEXT('XL-Test'!J76))</f>
        <v>70</v>
      </c>
      <c r="O67">
        <f ca="1">LEN(_xlfn.FORMULATEXT('XL-Test'!K76))</f>
        <v>17</v>
      </c>
      <c r="P67">
        <f ca="1">LEN(_xlfn.FORMULATEXT('XL-Test'!L76))</f>
        <v>13</v>
      </c>
      <c r="Q67">
        <f ca="1">LEN(_xlfn.FORMULATEXT('XL-Test'!M76))</f>
        <v>15</v>
      </c>
    </row>
    <row r="68" spans="1:17">
      <c r="A68">
        <v>5</v>
      </c>
      <c r="B68">
        <v>14</v>
      </c>
      <c r="C68">
        <f ca="1">LEN(_xlfn.FORMULATEXT('XL-Test'!H52))</f>
        <v>23</v>
      </c>
      <c r="D68">
        <f ca="1">LEN(_xlfn.FORMULATEXT('XL-Test'!I52))</f>
        <v>23</v>
      </c>
      <c r="E68">
        <f ca="1">LEN(_xlfn.FORMULATEXT('XL-Test'!J52))</f>
        <v>24</v>
      </c>
      <c r="F68">
        <f ca="1">LEN(_xlfn.FORMULATEXT('XL-Test'!K52))</f>
        <v>24</v>
      </c>
      <c r="G68">
        <f ca="1">LEN(_xlfn.FORMULATEXT('XL-Test'!N52))</f>
        <v>8</v>
      </c>
      <c r="H68">
        <f ca="1">LEN(_xlfn.FORMULATEXT('XL-Test'!O52))</f>
        <v>19</v>
      </c>
      <c r="I68">
        <f ca="1">LEN(_xlfn.FORMULATEXT('XL-Test'!E77))</f>
        <v>24</v>
      </c>
      <c r="J68">
        <f ca="1">LEN(_xlfn.FORMULATEXT('XL-Test'!F77))</f>
        <v>13</v>
      </c>
      <c r="K68">
        <f ca="1">LEN(_xlfn.FORMULATEXT('XL-Test'!G77))</f>
        <v>42</v>
      </c>
      <c r="L68">
        <f ca="1">LEN(_xlfn.FORMULATEXT('XL-Test'!H77))</f>
        <v>25</v>
      </c>
      <c r="M68">
        <f ca="1">LEN(_xlfn.FORMULATEXT('XL-Test'!I77))</f>
        <v>38</v>
      </c>
      <c r="N68">
        <f ca="1">LEN(_xlfn.FORMULATEXT('XL-Test'!J77))</f>
        <v>70</v>
      </c>
      <c r="O68">
        <f ca="1">LEN(_xlfn.FORMULATEXT('XL-Test'!K77))</f>
        <v>17</v>
      </c>
      <c r="P68">
        <f ca="1">LEN(_xlfn.FORMULATEXT('XL-Test'!L77))</f>
        <v>13</v>
      </c>
      <c r="Q68">
        <f ca="1">LEN(_xlfn.FORMULATEXT('XL-Test'!M77))</f>
        <v>15</v>
      </c>
    </row>
    <row r="69" spans="1:17">
      <c r="A69">
        <v>6</v>
      </c>
      <c r="B69">
        <v>15</v>
      </c>
      <c r="C69">
        <f ca="1">LEN(_xlfn.FORMULATEXT('XL-Test'!H53))</f>
        <v>23</v>
      </c>
      <c r="D69">
        <f ca="1">LEN(_xlfn.FORMULATEXT('XL-Test'!I53))</f>
        <v>23</v>
      </c>
      <c r="E69">
        <f ca="1">LEN(_xlfn.FORMULATEXT('XL-Test'!J53))</f>
        <v>24</v>
      </c>
      <c r="F69">
        <f ca="1">LEN(_xlfn.FORMULATEXT('XL-Test'!K53))</f>
        <v>24</v>
      </c>
      <c r="G69">
        <f ca="1">LEN(_xlfn.FORMULATEXT('XL-Test'!N53))</f>
        <v>8</v>
      </c>
      <c r="H69">
        <f ca="1">LEN(_xlfn.FORMULATEXT('XL-Test'!O53))</f>
        <v>19</v>
      </c>
      <c r="I69">
        <f ca="1">LEN(_xlfn.FORMULATEXT('XL-Test'!E78))</f>
        <v>24</v>
      </c>
      <c r="J69">
        <f ca="1">LEN(_xlfn.FORMULATEXT('XL-Test'!F78))</f>
        <v>13</v>
      </c>
      <c r="K69">
        <f ca="1">LEN(_xlfn.FORMULATEXT('XL-Test'!G78))</f>
        <v>42</v>
      </c>
      <c r="L69">
        <f ca="1">LEN(_xlfn.FORMULATEXT('XL-Test'!H78))</f>
        <v>25</v>
      </c>
      <c r="M69">
        <f ca="1">LEN(_xlfn.FORMULATEXT('XL-Test'!I78))</f>
        <v>38</v>
      </c>
      <c r="N69">
        <f ca="1">LEN(_xlfn.FORMULATEXT('XL-Test'!J78))</f>
        <v>70</v>
      </c>
      <c r="O69">
        <f ca="1">LEN(_xlfn.FORMULATEXT('XL-Test'!K78))</f>
        <v>17</v>
      </c>
      <c r="P69">
        <f ca="1">LEN(_xlfn.FORMULATEXT('XL-Test'!L78))</f>
        <v>13</v>
      </c>
      <c r="Q69">
        <f ca="1">LEN(_xlfn.FORMULATEXT('XL-Test'!M78))</f>
        <v>15</v>
      </c>
    </row>
    <row r="70" spans="1:17">
      <c r="A70">
        <v>7</v>
      </c>
      <c r="B70">
        <v>16</v>
      </c>
      <c r="C70">
        <f ca="1">LEN(_xlfn.FORMULATEXT('XL-Test'!H54))</f>
        <v>23</v>
      </c>
      <c r="D70">
        <f ca="1">LEN(_xlfn.FORMULATEXT('XL-Test'!I54))</f>
        <v>23</v>
      </c>
      <c r="E70">
        <f ca="1">LEN(_xlfn.FORMULATEXT('XL-Test'!J54))</f>
        <v>24</v>
      </c>
      <c r="F70">
        <f ca="1">LEN(_xlfn.FORMULATEXT('XL-Test'!K54))</f>
        <v>24</v>
      </c>
      <c r="G70">
        <f ca="1">LEN(_xlfn.FORMULATEXT('XL-Test'!N54))</f>
        <v>8</v>
      </c>
      <c r="H70">
        <f ca="1">LEN(_xlfn.FORMULATEXT('XL-Test'!O54))</f>
        <v>19</v>
      </c>
      <c r="I70">
        <f ca="1">LEN(_xlfn.FORMULATEXT('XL-Test'!E79))</f>
        <v>24</v>
      </c>
      <c r="J70">
        <f ca="1">LEN(_xlfn.FORMULATEXT('XL-Test'!F79))</f>
        <v>13</v>
      </c>
      <c r="K70">
        <f ca="1">LEN(_xlfn.FORMULATEXT('XL-Test'!G79))</f>
        <v>42</v>
      </c>
      <c r="L70">
        <f ca="1">LEN(_xlfn.FORMULATEXT('XL-Test'!H79))</f>
        <v>25</v>
      </c>
      <c r="M70">
        <f ca="1">LEN(_xlfn.FORMULATEXT('XL-Test'!I79))</f>
        <v>38</v>
      </c>
      <c r="N70">
        <f ca="1">LEN(_xlfn.FORMULATEXT('XL-Test'!J79))</f>
        <v>70</v>
      </c>
      <c r="O70">
        <f ca="1">LEN(_xlfn.FORMULATEXT('XL-Test'!K79))</f>
        <v>17</v>
      </c>
      <c r="P70">
        <f ca="1">LEN(_xlfn.FORMULATEXT('XL-Test'!L79))</f>
        <v>13</v>
      </c>
      <c r="Q70">
        <f ca="1">LEN(_xlfn.FORMULATEXT('XL-Test'!M79))</f>
        <v>15</v>
      </c>
    </row>
    <row r="71" spans="1:17">
      <c r="A71">
        <v>8</v>
      </c>
      <c r="B71">
        <v>17</v>
      </c>
      <c r="C71">
        <f ca="1">LEN(_xlfn.FORMULATEXT('XL-Test'!H55))</f>
        <v>23</v>
      </c>
      <c r="D71">
        <f ca="1">LEN(_xlfn.FORMULATEXT('XL-Test'!I55))</f>
        <v>23</v>
      </c>
      <c r="E71">
        <f ca="1">LEN(_xlfn.FORMULATEXT('XL-Test'!J55))</f>
        <v>24</v>
      </c>
      <c r="F71">
        <f ca="1">LEN(_xlfn.FORMULATEXT('XL-Test'!K55))</f>
        <v>24</v>
      </c>
      <c r="G71">
        <f ca="1">LEN(_xlfn.FORMULATEXT('XL-Test'!N55))</f>
        <v>8</v>
      </c>
      <c r="H71">
        <f ca="1">LEN(_xlfn.FORMULATEXT('XL-Test'!O55))</f>
        <v>19</v>
      </c>
      <c r="I71">
        <f ca="1">LEN(_xlfn.FORMULATEXT('XL-Test'!E80))</f>
        <v>24</v>
      </c>
      <c r="J71">
        <f ca="1">LEN(_xlfn.FORMULATEXT('XL-Test'!F80))</f>
        <v>13</v>
      </c>
      <c r="K71">
        <f ca="1">LEN(_xlfn.FORMULATEXT('XL-Test'!G80))</f>
        <v>42</v>
      </c>
      <c r="L71">
        <f ca="1">LEN(_xlfn.FORMULATEXT('XL-Test'!H80))</f>
        <v>25</v>
      </c>
      <c r="M71">
        <f ca="1">LEN(_xlfn.FORMULATEXT('XL-Test'!I80))</f>
        <v>38</v>
      </c>
      <c r="N71">
        <f ca="1">LEN(_xlfn.FORMULATEXT('XL-Test'!J80))</f>
        <v>70</v>
      </c>
      <c r="O71">
        <f ca="1">LEN(_xlfn.FORMULATEXT('XL-Test'!K80))</f>
        <v>17</v>
      </c>
      <c r="P71">
        <f ca="1">LEN(_xlfn.FORMULATEXT('XL-Test'!L80))</f>
        <v>13</v>
      </c>
      <c r="Q71">
        <f ca="1">LEN(_xlfn.FORMULATEXT('XL-Test'!M80))</f>
        <v>15</v>
      </c>
    </row>
    <row r="72" spans="1:17">
      <c r="A72">
        <v>9</v>
      </c>
      <c r="B72">
        <v>18</v>
      </c>
      <c r="C72">
        <f ca="1">LEN(_xlfn.FORMULATEXT('XL-Test'!H56))</f>
        <v>23</v>
      </c>
      <c r="D72">
        <f ca="1">LEN(_xlfn.FORMULATEXT('XL-Test'!I56))</f>
        <v>23</v>
      </c>
      <c r="E72">
        <f ca="1">LEN(_xlfn.FORMULATEXT('XL-Test'!J56))</f>
        <v>24</v>
      </c>
      <c r="F72">
        <f ca="1">LEN(_xlfn.FORMULATEXT('XL-Test'!K56))</f>
        <v>24</v>
      </c>
      <c r="G72">
        <f ca="1">LEN(_xlfn.FORMULATEXT('XL-Test'!N56))</f>
        <v>8</v>
      </c>
      <c r="H72">
        <f ca="1">LEN(_xlfn.FORMULATEXT('XL-Test'!O56))</f>
        <v>19</v>
      </c>
      <c r="I72">
        <f ca="1">LEN(_xlfn.FORMULATEXT('XL-Test'!E81))</f>
        <v>24</v>
      </c>
      <c r="J72">
        <f ca="1">LEN(_xlfn.FORMULATEXT('XL-Test'!F81))</f>
        <v>13</v>
      </c>
      <c r="K72">
        <f ca="1">LEN(_xlfn.FORMULATEXT('XL-Test'!G81))</f>
        <v>42</v>
      </c>
      <c r="L72">
        <f ca="1">LEN(_xlfn.FORMULATEXT('XL-Test'!H81))</f>
        <v>25</v>
      </c>
      <c r="M72">
        <f ca="1">LEN(_xlfn.FORMULATEXT('XL-Test'!I81))</f>
        <v>38</v>
      </c>
      <c r="N72">
        <f ca="1">LEN(_xlfn.FORMULATEXT('XL-Test'!J81))</f>
        <v>70</v>
      </c>
      <c r="O72">
        <f ca="1">LEN(_xlfn.FORMULATEXT('XL-Test'!K81))</f>
        <v>17</v>
      </c>
      <c r="P72">
        <f ca="1">LEN(_xlfn.FORMULATEXT('XL-Test'!L81))</f>
        <v>13</v>
      </c>
      <c r="Q72">
        <f ca="1">LEN(_xlfn.FORMULATEXT('XL-Test'!M81))</f>
        <v>15</v>
      </c>
    </row>
    <row r="73" spans="1:17">
      <c r="A73">
        <v>10</v>
      </c>
      <c r="B73">
        <v>19</v>
      </c>
      <c r="C73">
        <f ca="1">LEN(_xlfn.FORMULATEXT('XL-Test'!H57))</f>
        <v>23</v>
      </c>
      <c r="D73">
        <f ca="1">LEN(_xlfn.FORMULATEXT('XL-Test'!I57))</f>
        <v>23</v>
      </c>
      <c r="E73">
        <f ca="1">LEN(_xlfn.FORMULATEXT('XL-Test'!J57))</f>
        <v>24</v>
      </c>
      <c r="F73">
        <f ca="1">LEN(_xlfn.FORMULATEXT('XL-Test'!K57))</f>
        <v>24</v>
      </c>
      <c r="G73">
        <f ca="1">LEN(_xlfn.FORMULATEXT('XL-Test'!N57))</f>
        <v>8</v>
      </c>
      <c r="H73">
        <f ca="1">LEN(_xlfn.FORMULATEXT('XL-Test'!O57))</f>
        <v>19</v>
      </c>
      <c r="I73">
        <f ca="1">LEN(_xlfn.FORMULATEXT('XL-Test'!E82))</f>
        <v>24</v>
      </c>
      <c r="J73">
        <f ca="1">LEN(_xlfn.FORMULATEXT('XL-Test'!F82))</f>
        <v>13</v>
      </c>
      <c r="K73">
        <f ca="1">LEN(_xlfn.FORMULATEXT('XL-Test'!G82))</f>
        <v>42</v>
      </c>
      <c r="L73">
        <f ca="1">LEN(_xlfn.FORMULATEXT('XL-Test'!H82))</f>
        <v>25</v>
      </c>
      <c r="M73">
        <f ca="1">LEN(_xlfn.FORMULATEXT('XL-Test'!I82))</f>
        <v>38</v>
      </c>
      <c r="N73">
        <f ca="1">LEN(_xlfn.FORMULATEXT('XL-Test'!J82))</f>
        <v>70</v>
      </c>
      <c r="O73">
        <f ca="1">LEN(_xlfn.FORMULATEXT('XL-Test'!K82))</f>
        <v>17</v>
      </c>
      <c r="P73">
        <f ca="1">LEN(_xlfn.FORMULATEXT('XL-Test'!L82))</f>
        <v>13</v>
      </c>
      <c r="Q73">
        <f ca="1">LEN(_xlfn.FORMULATEXT('XL-Test'!M82))</f>
        <v>15</v>
      </c>
    </row>
    <row r="74" spans="1:17">
      <c r="A74">
        <v>11</v>
      </c>
      <c r="B74">
        <v>20</v>
      </c>
      <c r="C74">
        <f ca="1">LEN(_xlfn.FORMULATEXT('XL-Test'!H58))</f>
        <v>23</v>
      </c>
      <c r="D74">
        <f ca="1">LEN(_xlfn.FORMULATEXT('XL-Test'!I58))</f>
        <v>23</v>
      </c>
      <c r="E74">
        <f ca="1">LEN(_xlfn.FORMULATEXT('XL-Test'!J58))</f>
        <v>24</v>
      </c>
      <c r="F74">
        <f ca="1">LEN(_xlfn.FORMULATEXT('XL-Test'!K58))</f>
        <v>24</v>
      </c>
      <c r="G74">
        <f ca="1">LEN(_xlfn.FORMULATEXT('XL-Test'!N58))</f>
        <v>8</v>
      </c>
      <c r="H74">
        <f ca="1">LEN(_xlfn.FORMULATEXT('XL-Test'!O58))</f>
        <v>19</v>
      </c>
      <c r="I74">
        <f ca="1">LEN(_xlfn.FORMULATEXT('XL-Test'!E83))</f>
        <v>24</v>
      </c>
      <c r="J74">
        <f ca="1">LEN(_xlfn.FORMULATEXT('XL-Test'!F83))</f>
        <v>13</v>
      </c>
      <c r="K74">
        <f ca="1">LEN(_xlfn.FORMULATEXT('XL-Test'!G83))</f>
        <v>42</v>
      </c>
      <c r="L74">
        <f ca="1">LEN(_xlfn.FORMULATEXT('XL-Test'!H83))</f>
        <v>25</v>
      </c>
      <c r="M74">
        <f ca="1">LEN(_xlfn.FORMULATEXT('XL-Test'!I83))</f>
        <v>38</v>
      </c>
      <c r="N74">
        <f ca="1">LEN(_xlfn.FORMULATEXT('XL-Test'!J83))</f>
        <v>70</v>
      </c>
      <c r="O74">
        <f ca="1">LEN(_xlfn.FORMULATEXT('XL-Test'!K83))</f>
        <v>17</v>
      </c>
      <c r="P74">
        <f ca="1">LEN(_xlfn.FORMULATEXT('XL-Test'!L83))</f>
        <v>13</v>
      </c>
      <c r="Q74">
        <f ca="1">LEN(_xlfn.FORMULATEXT('XL-Test'!M83))</f>
        <v>15</v>
      </c>
    </row>
    <row r="75" spans="1:17">
      <c r="A75">
        <v>12</v>
      </c>
      <c r="B75">
        <v>21</v>
      </c>
      <c r="C75">
        <f ca="1">LEN(_xlfn.FORMULATEXT('XL-Test'!H59))</f>
        <v>23</v>
      </c>
      <c r="D75">
        <f ca="1">LEN(_xlfn.FORMULATEXT('XL-Test'!I59))</f>
        <v>23</v>
      </c>
      <c r="E75">
        <f ca="1">LEN(_xlfn.FORMULATEXT('XL-Test'!J59))</f>
        <v>24</v>
      </c>
      <c r="F75">
        <f ca="1">LEN(_xlfn.FORMULATEXT('XL-Test'!K59))</f>
        <v>24</v>
      </c>
      <c r="G75">
        <f ca="1">LEN(_xlfn.FORMULATEXT('XL-Test'!N59))</f>
        <v>8</v>
      </c>
      <c r="H75">
        <f ca="1">LEN(_xlfn.FORMULATEXT('XL-Test'!O59))</f>
        <v>19</v>
      </c>
      <c r="I75">
        <f ca="1">LEN(_xlfn.FORMULATEXT('XL-Test'!E84))</f>
        <v>24</v>
      </c>
      <c r="J75">
        <f ca="1">LEN(_xlfn.FORMULATEXT('XL-Test'!F84))</f>
        <v>13</v>
      </c>
      <c r="K75">
        <f ca="1">LEN(_xlfn.FORMULATEXT('XL-Test'!G84))</f>
        <v>42</v>
      </c>
      <c r="L75">
        <f ca="1">LEN(_xlfn.FORMULATEXT('XL-Test'!H84))</f>
        <v>25</v>
      </c>
      <c r="M75">
        <f ca="1">LEN(_xlfn.FORMULATEXT('XL-Test'!I84))</f>
        <v>38</v>
      </c>
      <c r="N75">
        <f ca="1">LEN(_xlfn.FORMULATEXT('XL-Test'!J84))</f>
        <v>70</v>
      </c>
      <c r="O75">
        <f ca="1">LEN(_xlfn.FORMULATEXT('XL-Test'!K84))</f>
        <v>17</v>
      </c>
      <c r="P75">
        <f ca="1">LEN(_xlfn.FORMULATEXT('XL-Test'!L84))</f>
        <v>13</v>
      </c>
      <c r="Q75">
        <f ca="1">LEN(_xlfn.FORMULATEXT('XL-Test'!M84))</f>
        <v>15</v>
      </c>
    </row>
    <row r="76" spans="1:17">
      <c r="A76">
        <v>13</v>
      </c>
      <c r="B76">
        <v>22</v>
      </c>
      <c r="C76">
        <f ca="1">LEN(_xlfn.FORMULATEXT('XL-Test'!H60))</f>
        <v>23</v>
      </c>
      <c r="D76">
        <f ca="1">LEN(_xlfn.FORMULATEXT('XL-Test'!I60))</f>
        <v>23</v>
      </c>
      <c r="E76">
        <f ca="1">LEN(_xlfn.FORMULATEXT('XL-Test'!J60))</f>
        <v>24</v>
      </c>
      <c r="F76">
        <f ca="1">LEN(_xlfn.FORMULATEXT('XL-Test'!K60))</f>
        <v>24</v>
      </c>
      <c r="G76">
        <f ca="1">LEN(_xlfn.FORMULATEXT('XL-Test'!N60))</f>
        <v>8</v>
      </c>
      <c r="H76">
        <f ca="1">LEN(_xlfn.FORMULATEXT('XL-Test'!O60))</f>
        <v>19</v>
      </c>
      <c r="I76">
        <f ca="1">LEN(_xlfn.FORMULATEXT('XL-Test'!E85))</f>
        <v>24</v>
      </c>
      <c r="J76">
        <f ca="1">LEN(_xlfn.FORMULATEXT('XL-Test'!F85))</f>
        <v>13</v>
      </c>
      <c r="K76">
        <f ca="1">LEN(_xlfn.FORMULATEXT('XL-Test'!G85))</f>
        <v>42</v>
      </c>
      <c r="L76">
        <f ca="1">LEN(_xlfn.FORMULATEXT('XL-Test'!H85))</f>
        <v>25</v>
      </c>
      <c r="M76">
        <f ca="1">LEN(_xlfn.FORMULATEXT('XL-Test'!I85))</f>
        <v>38</v>
      </c>
      <c r="N76">
        <f ca="1">LEN(_xlfn.FORMULATEXT('XL-Test'!J85))</f>
        <v>70</v>
      </c>
      <c r="O76">
        <f ca="1">LEN(_xlfn.FORMULATEXT('XL-Test'!K85))</f>
        <v>17</v>
      </c>
      <c r="P76">
        <f ca="1">LEN(_xlfn.FORMULATEXT('XL-Test'!L85))</f>
        <v>13</v>
      </c>
      <c r="Q76">
        <f ca="1">LEN(_xlfn.FORMULATEXT('XL-Test'!M85))</f>
        <v>15</v>
      </c>
    </row>
    <row r="77" spans="1:17">
      <c r="A77">
        <v>14</v>
      </c>
      <c r="B77">
        <v>23</v>
      </c>
      <c r="C77">
        <f ca="1">LEN(_xlfn.FORMULATEXT('XL-Test'!H61))</f>
        <v>23</v>
      </c>
      <c r="D77">
        <f ca="1">LEN(_xlfn.FORMULATEXT('XL-Test'!I61))</f>
        <v>23</v>
      </c>
      <c r="E77">
        <f ca="1">LEN(_xlfn.FORMULATEXT('XL-Test'!J61))</f>
        <v>24</v>
      </c>
      <c r="F77">
        <f ca="1">LEN(_xlfn.FORMULATEXT('XL-Test'!K61))</f>
        <v>24</v>
      </c>
      <c r="G77">
        <f ca="1">LEN(_xlfn.FORMULATEXT('XL-Test'!N61))</f>
        <v>8</v>
      </c>
      <c r="H77">
        <f ca="1">LEN(_xlfn.FORMULATEXT('XL-Test'!O61))</f>
        <v>19</v>
      </c>
      <c r="I77">
        <f ca="1">LEN(_xlfn.FORMULATEXT('XL-Test'!E86))</f>
        <v>24</v>
      </c>
      <c r="J77">
        <f ca="1">LEN(_xlfn.FORMULATEXT('XL-Test'!F86))</f>
        <v>13</v>
      </c>
      <c r="K77">
        <f ca="1">LEN(_xlfn.FORMULATEXT('XL-Test'!G86))</f>
        <v>42</v>
      </c>
      <c r="L77">
        <f ca="1">LEN(_xlfn.FORMULATEXT('XL-Test'!H86))</f>
        <v>25</v>
      </c>
      <c r="M77">
        <f ca="1">LEN(_xlfn.FORMULATEXT('XL-Test'!I86))</f>
        <v>38</v>
      </c>
      <c r="N77">
        <f ca="1">LEN(_xlfn.FORMULATEXT('XL-Test'!J86))</f>
        <v>70</v>
      </c>
      <c r="O77">
        <f ca="1">LEN(_xlfn.FORMULATEXT('XL-Test'!K86))</f>
        <v>17</v>
      </c>
      <c r="P77">
        <f ca="1">LEN(_xlfn.FORMULATEXT('XL-Test'!L86))</f>
        <v>13</v>
      </c>
      <c r="Q77">
        <f ca="1">LEN(_xlfn.FORMULATEXT('XL-Test'!M86))</f>
        <v>15</v>
      </c>
    </row>
    <row r="78" spans="1:17">
      <c r="A78">
        <v>15</v>
      </c>
      <c r="B78">
        <v>24</v>
      </c>
      <c r="C78">
        <f ca="1">LEN(_xlfn.FORMULATEXT('XL-Test'!H62))</f>
        <v>23</v>
      </c>
      <c r="D78">
        <f ca="1">LEN(_xlfn.FORMULATEXT('XL-Test'!I62))</f>
        <v>23</v>
      </c>
      <c r="E78">
        <f ca="1">LEN(_xlfn.FORMULATEXT('XL-Test'!J62))</f>
        <v>24</v>
      </c>
      <c r="F78">
        <f ca="1">LEN(_xlfn.FORMULATEXT('XL-Test'!K62))</f>
        <v>24</v>
      </c>
      <c r="G78">
        <f ca="1">LEN(_xlfn.FORMULATEXT('XL-Test'!N62))</f>
        <v>8</v>
      </c>
      <c r="H78">
        <f ca="1">LEN(_xlfn.FORMULATEXT('XL-Test'!O62))</f>
        <v>19</v>
      </c>
      <c r="I78">
        <f ca="1">LEN(_xlfn.FORMULATEXT('XL-Test'!E87))</f>
        <v>24</v>
      </c>
      <c r="J78">
        <f ca="1">LEN(_xlfn.FORMULATEXT('XL-Test'!F87))</f>
        <v>13</v>
      </c>
      <c r="K78">
        <f ca="1">LEN(_xlfn.FORMULATEXT('XL-Test'!G87))</f>
        <v>42</v>
      </c>
      <c r="L78">
        <f ca="1">LEN(_xlfn.FORMULATEXT('XL-Test'!H87))</f>
        <v>25</v>
      </c>
      <c r="M78">
        <f ca="1">LEN(_xlfn.FORMULATEXT('XL-Test'!I87))</f>
        <v>38</v>
      </c>
      <c r="N78">
        <f ca="1">LEN(_xlfn.FORMULATEXT('XL-Test'!J87))</f>
        <v>70</v>
      </c>
      <c r="O78">
        <f ca="1">LEN(_xlfn.FORMULATEXT('XL-Test'!K87))</f>
        <v>17</v>
      </c>
      <c r="P78">
        <f ca="1">LEN(_xlfn.FORMULATEXT('XL-Test'!L87))</f>
        <v>13</v>
      </c>
      <c r="Q78">
        <f ca="1">LEN(_xlfn.FORMULATEXT('XL-Test'!M87))</f>
        <v>15</v>
      </c>
    </row>
    <row r="79" spans="1:17">
      <c r="A79">
        <v>16</v>
      </c>
      <c r="B79">
        <v>25</v>
      </c>
      <c r="C79">
        <f ca="1">LEN(_xlfn.FORMULATEXT('XL-Test'!H63))</f>
        <v>23</v>
      </c>
      <c r="D79">
        <f ca="1">LEN(_xlfn.FORMULATEXT('XL-Test'!I63))</f>
        <v>23</v>
      </c>
      <c r="E79">
        <f ca="1">LEN(_xlfn.FORMULATEXT('XL-Test'!J63))</f>
        <v>24</v>
      </c>
      <c r="F79">
        <f ca="1">LEN(_xlfn.FORMULATEXT('XL-Test'!K63))</f>
        <v>24</v>
      </c>
      <c r="G79">
        <f ca="1">LEN(_xlfn.FORMULATEXT('XL-Test'!N63))</f>
        <v>8</v>
      </c>
      <c r="H79">
        <f ca="1">LEN(_xlfn.FORMULATEXT('XL-Test'!O63))</f>
        <v>19</v>
      </c>
      <c r="I79">
        <f ca="1">LEN(_xlfn.FORMULATEXT('XL-Test'!E88))</f>
        <v>24</v>
      </c>
      <c r="J79">
        <f ca="1">LEN(_xlfn.FORMULATEXT('XL-Test'!F88))</f>
        <v>13</v>
      </c>
      <c r="K79">
        <f ca="1">LEN(_xlfn.FORMULATEXT('XL-Test'!G88))</f>
        <v>42</v>
      </c>
      <c r="L79">
        <f ca="1">LEN(_xlfn.FORMULATEXT('XL-Test'!H88))</f>
        <v>25</v>
      </c>
      <c r="M79">
        <f ca="1">LEN(_xlfn.FORMULATEXT('XL-Test'!I88))</f>
        <v>38</v>
      </c>
      <c r="N79">
        <f ca="1">LEN(_xlfn.FORMULATEXT('XL-Test'!J88))</f>
        <v>70</v>
      </c>
      <c r="O79">
        <f ca="1">LEN(_xlfn.FORMULATEXT('XL-Test'!K88))</f>
        <v>17</v>
      </c>
      <c r="P79">
        <f ca="1">LEN(_xlfn.FORMULATEXT('XL-Test'!L88))</f>
        <v>13</v>
      </c>
      <c r="Q79">
        <f ca="1">LEN(_xlfn.FORMULATEXT('XL-Test'!M88))</f>
        <v>15</v>
      </c>
    </row>
    <row r="80" spans="1:17">
      <c r="A80">
        <v>17</v>
      </c>
      <c r="B80">
        <v>26</v>
      </c>
      <c r="C80">
        <f ca="1">LEN(_xlfn.FORMULATEXT('XL-Test'!H64))</f>
        <v>23</v>
      </c>
      <c r="D80">
        <f ca="1">LEN(_xlfn.FORMULATEXT('XL-Test'!I64))</f>
        <v>23</v>
      </c>
      <c r="E80">
        <f ca="1">LEN(_xlfn.FORMULATEXT('XL-Test'!J64))</f>
        <v>24</v>
      </c>
      <c r="F80">
        <f ca="1">LEN(_xlfn.FORMULATEXT('XL-Test'!K64))</f>
        <v>24</v>
      </c>
      <c r="G80">
        <f ca="1">LEN(_xlfn.FORMULATEXT('XL-Test'!N64))</f>
        <v>8</v>
      </c>
      <c r="H80">
        <f ca="1">LEN(_xlfn.FORMULATEXT('XL-Test'!O64))</f>
        <v>19</v>
      </c>
      <c r="I80">
        <f ca="1">LEN(_xlfn.FORMULATEXT('XL-Test'!E89))</f>
        <v>24</v>
      </c>
      <c r="J80">
        <f ca="1">LEN(_xlfn.FORMULATEXT('XL-Test'!F89))</f>
        <v>13</v>
      </c>
      <c r="K80">
        <f ca="1">LEN(_xlfn.FORMULATEXT('XL-Test'!G89))</f>
        <v>42</v>
      </c>
      <c r="L80">
        <f ca="1">LEN(_xlfn.FORMULATEXT('XL-Test'!H89))</f>
        <v>25</v>
      </c>
      <c r="M80">
        <f ca="1">LEN(_xlfn.FORMULATEXT('XL-Test'!I89))</f>
        <v>38</v>
      </c>
      <c r="N80">
        <f ca="1">LEN(_xlfn.FORMULATEXT('XL-Test'!J89))</f>
        <v>70</v>
      </c>
      <c r="O80">
        <f ca="1">LEN(_xlfn.FORMULATEXT('XL-Test'!K89))</f>
        <v>17</v>
      </c>
      <c r="P80">
        <f ca="1">LEN(_xlfn.FORMULATEXT('XL-Test'!L89))</f>
        <v>13</v>
      </c>
      <c r="Q80">
        <f ca="1">LEN(_xlfn.FORMULATEXT('XL-Test'!M89))</f>
        <v>15</v>
      </c>
    </row>
    <row r="81" spans="1:17">
      <c r="A81">
        <v>18</v>
      </c>
      <c r="B81">
        <v>27</v>
      </c>
      <c r="C81">
        <f ca="1">LEN(_xlfn.FORMULATEXT('XL-Test'!H65))</f>
        <v>23</v>
      </c>
      <c r="D81">
        <f ca="1">LEN(_xlfn.FORMULATEXT('XL-Test'!I65))</f>
        <v>23</v>
      </c>
      <c r="E81">
        <f ca="1">LEN(_xlfn.FORMULATEXT('XL-Test'!J65))</f>
        <v>24</v>
      </c>
      <c r="F81">
        <f ca="1">LEN(_xlfn.FORMULATEXT('XL-Test'!K65))</f>
        <v>24</v>
      </c>
      <c r="G81">
        <f ca="1">LEN(_xlfn.FORMULATEXT('XL-Test'!N65))</f>
        <v>8</v>
      </c>
      <c r="H81">
        <f ca="1">LEN(_xlfn.FORMULATEXT('XL-Test'!O65))</f>
        <v>19</v>
      </c>
      <c r="I81">
        <f ca="1">LEN(_xlfn.FORMULATEXT('XL-Test'!E90))</f>
        <v>24</v>
      </c>
      <c r="J81">
        <f ca="1">LEN(_xlfn.FORMULATEXT('XL-Test'!F90))</f>
        <v>13</v>
      </c>
      <c r="K81">
        <f ca="1">LEN(_xlfn.FORMULATEXT('XL-Test'!G90))</f>
        <v>42</v>
      </c>
      <c r="L81">
        <f ca="1">LEN(_xlfn.FORMULATEXT('XL-Test'!H90))</f>
        <v>25</v>
      </c>
      <c r="M81">
        <f ca="1">LEN(_xlfn.FORMULATEXT('XL-Test'!I90))</f>
        <v>38</v>
      </c>
      <c r="N81">
        <f ca="1">LEN(_xlfn.FORMULATEXT('XL-Test'!J90))</f>
        <v>70</v>
      </c>
      <c r="O81">
        <f ca="1">LEN(_xlfn.FORMULATEXT('XL-Test'!K90))</f>
        <v>17</v>
      </c>
      <c r="P81">
        <f ca="1">LEN(_xlfn.FORMULATEXT('XL-Test'!L90))</f>
        <v>13</v>
      </c>
      <c r="Q81">
        <f ca="1">LEN(_xlfn.FORMULATEXT('XL-Test'!M90))</f>
        <v>15</v>
      </c>
    </row>
    <row r="82" spans="1:17">
      <c r="A82">
        <v>19</v>
      </c>
      <c r="B82">
        <v>28</v>
      </c>
      <c r="C82">
        <f ca="1">LEN(_xlfn.FORMULATEXT('XL-Test'!H66))</f>
        <v>23</v>
      </c>
      <c r="D82">
        <f ca="1">LEN(_xlfn.FORMULATEXT('XL-Test'!I66))</f>
        <v>23</v>
      </c>
      <c r="E82">
        <f ca="1">LEN(_xlfn.FORMULATEXT('XL-Test'!J66))</f>
        <v>24</v>
      </c>
      <c r="F82">
        <f ca="1">LEN(_xlfn.FORMULATEXT('XL-Test'!K66))</f>
        <v>24</v>
      </c>
      <c r="G82">
        <f ca="1">LEN(_xlfn.FORMULATEXT('XL-Test'!N66))</f>
        <v>8</v>
      </c>
      <c r="H82">
        <f ca="1">LEN(_xlfn.FORMULATEXT('XL-Test'!O66))</f>
        <v>19</v>
      </c>
      <c r="I82">
        <f ca="1">LEN(_xlfn.FORMULATEXT('XL-Test'!E91))</f>
        <v>24</v>
      </c>
      <c r="J82">
        <f ca="1">LEN(_xlfn.FORMULATEXT('XL-Test'!F91))</f>
        <v>13</v>
      </c>
      <c r="K82">
        <f ca="1">LEN(_xlfn.FORMULATEXT('XL-Test'!G91))</f>
        <v>42</v>
      </c>
      <c r="L82">
        <f ca="1">LEN(_xlfn.FORMULATEXT('XL-Test'!H91))</f>
        <v>25</v>
      </c>
      <c r="M82">
        <f ca="1">LEN(_xlfn.FORMULATEXT('XL-Test'!I91))</f>
        <v>38</v>
      </c>
      <c r="N82">
        <f ca="1">LEN(_xlfn.FORMULATEXT('XL-Test'!J91))</f>
        <v>70</v>
      </c>
      <c r="O82">
        <f ca="1">LEN(_xlfn.FORMULATEXT('XL-Test'!K91))</f>
        <v>17</v>
      </c>
      <c r="P82">
        <f ca="1">LEN(_xlfn.FORMULATEXT('XL-Test'!L91))</f>
        <v>13</v>
      </c>
      <c r="Q82">
        <f ca="1">LEN(_xlfn.FORMULATEXT('XL-Test'!M91))</f>
        <v>15</v>
      </c>
    </row>
    <row r="83" spans="1:17">
      <c r="A83">
        <v>20</v>
      </c>
      <c r="B83">
        <v>29</v>
      </c>
      <c r="C83">
        <f ca="1">LEN(_xlfn.FORMULATEXT('XL-Test'!H67))</f>
        <v>23</v>
      </c>
      <c r="D83">
        <f ca="1">LEN(_xlfn.FORMULATEXT('XL-Test'!I67))</f>
        <v>23</v>
      </c>
      <c r="E83">
        <f ca="1">LEN(_xlfn.FORMULATEXT('XL-Test'!J67))</f>
        <v>24</v>
      </c>
      <c r="F83">
        <f ca="1">LEN(_xlfn.FORMULATEXT('XL-Test'!K67))</f>
        <v>24</v>
      </c>
      <c r="G83">
        <f ca="1">LEN(_xlfn.FORMULATEXT('XL-Test'!N67))</f>
        <v>8</v>
      </c>
      <c r="H83">
        <f ca="1">LEN(_xlfn.FORMULATEXT('XL-Test'!O67))</f>
        <v>19</v>
      </c>
      <c r="I83">
        <f ca="1">LEN(_xlfn.FORMULATEXT('XL-Test'!E92))</f>
        <v>24</v>
      </c>
      <c r="J83">
        <f ca="1">LEN(_xlfn.FORMULATEXT('XL-Test'!F92))</f>
        <v>13</v>
      </c>
      <c r="K83">
        <f ca="1">LEN(_xlfn.FORMULATEXT('XL-Test'!G92))</f>
        <v>42</v>
      </c>
      <c r="L83">
        <f ca="1">LEN(_xlfn.FORMULATEXT('XL-Test'!H92))</f>
        <v>25</v>
      </c>
      <c r="M83">
        <f ca="1">LEN(_xlfn.FORMULATEXT('XL-Test'!I92))</f>
        <v>38</v>
      </c>
      <c r="N83">
        <f ca="1">LEN(_xlfn.FORMULATEXT('XL-Test'!J92))</f>
        <v>70</v>
      </c>
      <c r="O83">
        <f ca="1">LEN(_xlfn.FORMULATEXT('XL-Test'!K92))</f>
        <v>17</v>
      </c>
      <c r="P83">
        <f ca="1">LEN(_xlfn.FORMULATEXT('XL-Test'!L92))</f>
        <v>13</v>
      </c>
      <c r="Q83">
        <f ca="1">LEN(_xlfn.FORMULATEXT('XL-Test'!M92))</f>
        <v>15</v>
      </c>
    </row>
    <row r="85" spans="1:17">
      <c r="C85">
        <f ca="1">AVERAGE(C64:C83)</f>
        <v>23</v>
      </c>
      <c r="D85">
        <f t="shared" ref="D85:Q85" ca="1" si="13">AVERAGE(D64:D83)</f>
        <v>23</v>
      </c>
      <c r="E85">
        <f t="shared" ca="1" si="13"/>
        <v>24</v>
      </c>
      <c r="F85">
        <f t="shared" ca="1" si="13"/>
        <v>24</v>
      </c>
      <c r="G85">
        <f t="shared" ca="1" si="13"/>
        <v>8</v>
      </c>
      <c r="H85">
        <f t="shared" ca="1" si="13"/>
        <v>19</v>
      </c>
      <c r="I85">
        <f t="shared" ca="1" si="13"/>
        <v>24</v>
      </c>
      <c r="J85">
        <f t="shared" ca="1" si="13"/>
        <v>13</v>
      </c>
      <c r="K85">
        <f t="shared" ca="1" si="13"/>
        <v>42</v>
      </c>
      <c r="L85">
        <f t="shared" ca="1" si="13"/>
        <v>25</v>
      </c>
      <c r="M85">
        <f t="shared" ca="1" si="13"/>
        <v>38</v>
      </c>
      <c r="N85">
        <f t="shared" ca="1" si="13"/>
        <v>70</v>
      </c>
      <c r="O85">
        <f t="shared" ca="1" si="13"/>
        <v>17</v>
      </c>
      <c r="P85">
        <f t="shared" ca="1" si="13"/>
        <v>13</v>
      </c>
      <c r="Q85">
        <f t="shared" ca="1" si="13"/>
        <v>15</v>
      </c>
    </row>
    <row r="86" spans="1:17">
      <c r="B86" t="s">
        <v>80</v>
      </c>
      <c r="C86" t="b">
        <f ca="1">C85=C64</f>
        <v>1</v>
      </c>
      <c r="D86" t="b">
        <f t="shared" ref="D86:Q86" ca="1" si="14">D85=D64</f>
        <v>1</v>
      </c>
      <c r="E86" t="b">
        <f t="shared" ca="1" si="14"/>
        <v>1</v>
      </c>
      <c r="F86" t="b">
        <f t="shared" ca="1" si="14"/>
        <v>1</v>
      </c>
      <c r="G86" t="b">
        <f t="shared" ca="1" si="14"/>
        <v>1</v>
      </c>
      <c r="H86" t="b">
        <f t="shared" ca="1" si="14"/>
        <v>1</v>
      </c>
      <c r="I86" t="b">
        <f t="shared" ca="1" si="14"/>
        <v>1</v>
      </c>
      <c r="J86" t="b">
        <f t="shared" ca="1" si="14"/>
        <v>1</v>
      </c>
      <c r="K86" t="b">
        <f t="shared" ca="1" si="14"/>
        <v>1</v>
      </c>
      <c r="L86" t="b">
        <f t="shared" ca="1" si="14"/>
        <v>1</v>
      </c>
      <c r="M86" t="b">
        <f t="shared" ca="1" si="14"/>
        <v>1</v>
      </c>
      <c r="N86" t="b">
        <f t="shared" ca="1" si="14"/>
        <v>1</v>
      </c>
      <c r="O86" t="b">
        <f t="shared" ca="1" si="14"/>
        <v>1</v>
      </c>
      <c r="P86" t="b">
        <f t="shared" ca="1" si="14"/>
        <v>1</v>
      </c>
      <c r="Q86" t="b">
        <f t="shared" ca="1" si="14"/>
        <v>1</v>
      </c>
    </row>
    <row r="88" spans="1:17">
      <c r="B88" t="s">
        <v>81</v>
      </c>
      <c r="C88" t="b">
        <f ca="1">AND(C64&gt;0,C68=0,C6&gt;0)</f>
        <v>0</v>
      </c>
      <c r="D88" t="b">
        <f t="shared" ref="D88:Q88" ca="1" si="15">AND(D64&gt;0,D68=0,D6&gt;0)</f>
        <v>0</v>
      </c>
      <c r="E88" t="b">
        <f t="shared" ca="1" si="15"/>
        <v>0</v>
      </c>
      <c r="F88" t="b">
        <f t="shared" ca="1" si="15"/>
        <v>0</v>
      </c>
      <c r="G88" t="b">
        <f t="shared" ca="1" si="15"/>
        <v>0</v>
      </c>
      <c r="H88" t="b">
        <f t="shared" ca="1" si="15"/>
        <v>0</v>
      </c>
      <c r="I88" t="b">
        <f t="shared" ca="1" si="15"/>
        <v>0</v>
      </c>
      <c r="J88" t="b">
        <f t="shared" ca="1" si="15"/>
        <v>0</v>
      </c>
      <c r="K88" t="b">
        <f t="shared" ca="1" si="15"/>
        <v>0</v>
      </c>
      <c r="L88" t="b">
        <f t="shared" ca="1" si="15"/>
        <v>0</v>
      </c>
      <c r="M88" t="b">
        <f t="shared" ca="1" si="15"/>
        <v>0</v>
      </c>
      <c r="N88" t="b">
        <f t="shared" ca="1" si="15"/>
        <v>0</v>
      </c>
      <c r="O88" t="b">
        <f t="shared" ca="1" si="15"/>
        <v>0</v>
      </c>
      <c r="P88" t="b">
        <f t="shared" ca="1" si="15"/>
        <v>0</v>
      </c>
      <c r="Q88" t="b">
        <f t="shared" ca="1" si="15"/>
        <v>0</v>
      </c>
    </row>
    <row r="90" spans="1:17">
      <c r="B90" t="s">
        <v>73</v>
      </c>
      <c r="C90" t="b">
        <f ca="1">IFERROR(OR(C88,C86),FALSE)</f>
        <v>1</v>
      </c>
      <c r="D90" t="b">
        <f t="shared" ref="D90:Q90" ca="1" si="16">IFERROR(OR(D88,D86),FALSE)</f>
        <v>1</v>
      </c>
      <c r="E90" t="b">
        <f t="shared" ca="1" si="16"/>
        <v>1</v>
      </c>
      <c r="F90" t="b">
        <f t="shared" ca="1" si="16"/>
        <v>1</v>
      </c>
      <c r="G90" t="b">
        <f t="shared" ca="1" si="16"/>
        <v>1</v>
      </c>
      <c r="H90" t="b">
        <f t="shared" ca="1" si="16"/>
        <v>1</v>
      </c>
      <c r="I90" t="b">
        <f t="shared" ca="1" si="16"/>
        <v>1</v>
      </c>
      <c r="J90" t="b">
        <f t="shared" ca="1" si="16"/>
        <v>1</v>
      </c>
      <c r="K90" t="b">
        <f t="shared" ca="1" si="16"/>
        <v>1</v>
      </c>
      <c r="L90" t="b">
        <f t="shared" ca="1" si="16"/>
        <v>1</v>
      </c>
      <c r="M90" t="b">
        <f t="shared" ca="1" si="16"/>
        <v>1</v>
      </c>
      <c r="N90" t="b">
        <f t="shared" ca="1" si="16"/>
        <v>1</v>
      </c>
      <c r="O90" t="b">
        <f t="shared" ca="1" si="16"/>
        <v>1</v>
      </c>
      <c r="P90" t="b">
        <f t="shared" ca="1" si="16"/>
        <v>1</v>
      </c>
      <c r="Q90" t="b">
        <f t="shared" ca="1" si="1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XL-Test</vt:lpstr>
      <vt:lpstr>About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2025-08-16T16:45:59Z</dcterms:created>
  <dcterms:modified xsi:type="dcterms:W3CDTF">2026-06-09T08:20:51Z</dcterms:modified>
</cp:coreProperties>
</file>