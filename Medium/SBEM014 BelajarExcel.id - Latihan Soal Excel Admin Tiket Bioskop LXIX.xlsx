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8ECB82DC-1713-4FE0-9DB0-7AF421B4207D}" xr6:coauthVersionLast="47" xr6:coauthVersionMax="47" xr10:uidLastSave="{00000000-0000-0000-0000-000000000000}"/>
  <workbookProtection workbookAlgorithmName="SHA-512" workbookHashValue="a7U8v0GqJj1li0ntg5LU0iGjJeA+qctylQ13E5WPt+lrgNMGHeD/AMUz019yoFeXWRECVq690PGYAhKqppNn6w==" workbookSaltValue="3lT1KWVugIssDx/1V7otYA==" workbookSpinCount="100000" lockStructure="1"/>
  <bookViews>
    <workbookView xWindow="-120" yWindow="-120" windowWidth="20730" windowHeight="11760" xr2:uid="{CF9B1521-3B8B-455C-975B-35A7862AFF0C}"/>
  </bookViews>
  <sheets>
    <sheet name="XL-Test" sheetId="1" r:id="rId1"/>
    <sheet name="DF" sheetId="2" state="veryHidden" r:id="rId2"/>
    <sheet name="About" sheetId="3" r:id="rId3"/>
  </sheets>
  <definedNames>
    <definedName name="Kode_jawaban">DF!$C$45</definedName>
    <definedName name="sayajo" localSheetId="1">DF!$C$40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57" i="1" l="1"/>
  <c r="G57" i="1"/>
  <c r="H57" i="1"/>
  <c r="I57" i="1"/>
  <c r="J57" i="1"/>
  <c r="K57" i="1"/>
  <c r="L57" i="1"/>
  <c r="N57" i="1" a="1"/>
  <c r="F58" i="1"/>
  <c r="G58" i="1"/>
  <c r="H58" i="1"/>
  <c r="I58" i="1"/>
  <c r="J58" i="1"/>
  <c r="K58" i="1"/>
  <c r="L58" i="1"/>
  <c r="N58" i="1" a="1"/>
  <c r="F59" i="1"/>
  <c r="G59" i="1"/>
  <c r="H59" i="1"/>
  <c r="I59" i="1"/>
  <c r="J59" i="1"/>
  <c r="K59" i="1"/>
  <c r="L59" i="1"/>
  <c r="N59" i="1" a="1"/>
  <c r="F60" i="1"/>
  <c r="G60" i="1"/>
  <c r="H60" i="1"/>
  <c r="I60" i="1"/>
  <c r="J60" i="1"/>
  <c r="K60" i="1"/>
  <c r="L60" i="1"/>
  <c r="N60" i="1" a="1"/>
  <c r="F61" i="1"/>
  <c r="G61" i="1"/>
  <c r="H61" i="1"/>
  <c r="I61" i="1"/>
  <c r="J61" i="1"/>
  <c r="K61" i="1"/>
  <c r="L61" i="1"/>
  <c r="N61" i="1" a="1"/>
  <c r="F62" i="1"/>
  <c r="G62" i="1"/>
  <c r="H62" i="1"/>
  <c r="I62" i="1"/>
  <c r="J62" i="1"/>
  <c r="K62" i="1"/>
  <c r="L62" i="1"/>
  <c r="N62" i="1" a="1"/>
  <c r="F63" i="1"/>
  <c r="G63" i="1"/>
  <c r="H63" i="1"/>
  <c r="I63" i="1"/>
  <c r="J63" i="1"/>
  <c r="K63" i="1"/>
  <c r="L63" i="1"/>
  <c r="N63" i="1" a="1"/>
  <c r="F64" i="1"/>
  <c r="G64" i="1"/>
  <c r="H64" i="1"/>
  <c r="I64" i="1"/>
  <c r="J64" i="1"/>
  <c r="K64" i="1"/>
  <c r="L64" i="1"/>
  <c r="N64" i="1" a="1"/>
  <c r="F65" i="1"/>
  <c r="G65" i="1"/>
  <c r="H65" i="1"/>
  <c r="I65" i="1"/>
  <c r="J65" i="1"/>
  <c r="K65" i="1"/>
  <c r="L65" i="1"/>
  <c r="N65" i="1" a="1"/>
  <c r="F66" i="1"/>
  <c r="G66" i="1"/>
  <c r="H66" i="1"/>
  <c r="I66" i="1"/>
  <c r="J66" i="1"/>
  <c r="K66" i="1"/>
  <c r="L66" i="1"/>
  <c r="N66" i="1" a="1"/>
  <c r="F67" i="1"/>
  <c r="G67" i="1"/>
  <c r="H67" i="1"/>
  <c r="I67" i="1"/>
  <c r="J67" i="1"/>
  <c r="K67" i="1"/>
  <c r="L67" i="1"/>
  <c r="N67" i="1" a="1"/>
  <c r="F68" i="1"/>
  <c r="G68" i="1"/>
  <c r="H68" i="1"/>
  <c r="I68" i="1"/>
  <c r="J68" i="1"/>
  <c r="K68" i="1"/>
  <c r="L68" i="1"/>
  <c r="N68" i="1" a="1"/>
  <c r="F69" i="1"/>
  <c r="G69" i="1"/>
  <c r="H69" i="1"/>
  <c r="I69" i="1"/>
  <c r="J69" i="1"/>
  <c r="K69" i="1"/>
  <c r="L69" i="1"/>
  <c r="N69" i="1" a="1"/>
  <c r="F70" i="1"/>
  <c r="G70" i="1"/>
  <c r="H70" i="1"/>
  <c r="I70" i="1"/>
  <c r="J70" i="1"/>
  <c r="K70" i="1"/>
  <c r="L70" i="1"/>
  <c r="N70" i="1" a="1"/>
  <c r="N56" i="1" a="1"/>
  <c r="M56" i="1"/>
  <c r="L56" i="1"/>
  <c r="K56" i="1"/>
  <c r="J56" i="1"/>
  <c r="I56" i="1"/>
  <c r="H56" i="1"/>
  <c r="G56" i="1"/>
  <c r="F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56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G3" i="2"/>
  <c r="O3" i="2" s="1"/>
  <c r="G4" i="2"/>
  <c r="O4" i="2" s="1"/>
  <c r="G5" i="2"/>
  <c r="O5" i="2" s="1"/>
  <c r="G6" i="2"/>
  <c r="O6" i="2" s="1"/>
  <c r="G7" i="2"/>
  <c r="O7" i="2" s="1"/>
  <c r="G8" i="2"/>
  <c r="O8" i="2" s="1"/>
  <c r="G9" i="2"/>
  <c r="O9" i="2" s="1"/>
  <c r="G10" i="2"/>
  <c r="O10" i="2" s="1"/>
  <c r="G11" i="2"/>
  <c r="O11" i="2" s="1"/>
  <c r="G12" i="2"/>
  <c r="O12" i="2" s="1"/>
  <c r="G13" i="2"/>
  <c r="O13" i="2" s="1"/>
  <c r="G14" i="2"/>
  <c r="O14" i="2" s="1"/>
  <c r="G15" i="2"/>
  <c r="O15" i="2" s="1"/>
  <c r="G16" i="2"/>
  <c r="O16" i="2" s="1"/>
  <c r="C3" i="2"/>
  <c r="M3" i="2" s="1"/>
  <c r="C4" i="2"/>
  <c r="M4" i="2" s="1"/>
  <c r="C5" i="2"/>
  <c r="M5" i="2" s="1"/>
  <c r="C6" i="2"/>
  <c r="M6" i="2" s="1"/>
  <c r="C7" i="2"/>
  <c r="M7" i="2" s="1"/>
  <c r="C8" i="2"/>
  <c r="M8" i="2" s="1"/>
  <c r="C9" i="2"/>
  <c r="M9" i="2" s="1"/>
  <c r="C10" i="2"/>
  <c r="M10" i="2" s="1"/>
  <c r="C11" i="2"/>
  <c r="M11" i="2" s="1"/>
  <c r="C12" i="2"/>
  <c r="M12" i="2" s="1"/>
  <c r="C13" i="2"/>
  <c r="M13" i="2" s="1"/>
  <c r="C14" i="2"/>
  <c r="M14" i="2" s="1"/>
  <c r="C15" i="2"/>
  <c r="M15" i="2" s="1"/>
  <c r="C16" i="2"/>
  <c r="M16" i="2" s="1"/>
  <c r="L3" i="2"/>
  <c r="P3" i="2" s="1"/>
  <c r="L4" i="2"/>
  <c r="P4" i="2" s="1"/>
  <c r="L5" i="2"/>
  <c r="P5" i="2" s="1"/>
  <c r="L6" i="2"/>
  <c r="P6" i="2" s="1"/>
  <c r="L7" i="2"/>
  <c r="P7" i="2" s="1"/>
  <c r="L8" i="2"/>
  <c r="P8" i="2" s="1"/>
  <c r="L9" i="2"/>
  <c r="P9" i="2" s="1"/>
  <c r="L10" i="2"/>
  <c r="P10" i="2" s="1"/>
  <c r="L11" i="2"/>
  <c r="P11" i="2" s="1"/>
  <c r="L12" i="2"/>
  <c r="P12" i="2" s="1"/>
  <c r="L13" i="2"/>
  <c r="P13" i="2" s="1"/>
  <c r="L14" i="2"/>
  <c r="P14" i="2" s="1"/>
  <c r="L15" i="2"/>
  <c r="P15" i="2" s="1"/>
  <c r="L16" i="2"/>
  <c r="P16" i="2" s="1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R22" i="2"/>
  <c r="S22" i="2"/>
  <c r="T22" i="2"/>
  <c r="U22" i="2"/>
  <c r="V22" i="2"/>
  <c r="W22" i="2"/>
  <c r="R23" i="2"/>
  <c r="S23" i="2"/>
  <c r="T23" i="2"/>
  <c r="U23" i="2"/>
  <c r="V23" i="2"/>
  <c r="W23" i="2"/>
  <c r="R24" i="2"/>
  <c r="S24" i="2"/>
  <c r="T24" i="2"/>
  <c r="U24" i="2"/>
  <c r="V24" i="2"/>
  <c r="W24" i="2"/>
  <c r="R25" i="2"/>
  <c r="S25" i="2"/>
  <c r="T25" i="2"/>
  <c r="U25" i="2"/>
  <c r="V25" i="2"/>
  <c r="W25" i="2"/>
  <c r="R26" i="2"/>
  <c r="S26" i="2"/>
  <c r="T26" i="2"/>
  <c r="U26" i="2"/>
  <c r="V26" i="2"/>
  <c r="W26" i="2"/>
  <c r="R27" i="2"/>
  <c r="S27" i="2"/>
  <c r="T27" i="2"/>
  <c r="U27" i="2"/>
  <c r="V27" i="2"/>
  <c r="W27" i="2"/>
  <c r="R28" i="2"/>
  <c r="S28" i="2"/>
  <c r="T28" i="2"/>
  <c r="U28" i="2"/>
  <c r="V28" i="2"/>
  <c r="W28" i="2"/>
  <c r="R29" i="2"/>
  <c r="S29" i="2"/>
  <c r="T29" i="2"/>
  <c r="U29" i="2"/>
  <c r="V29" i="2"/>
  <c r="W29" i="2"/>
  <c r="R30" i="2"/>
  <c r="S30" i="2"/>
  <c r="T30" i="2"/>
  <c r="U30" i="2"/>
  <c r="V30" i="2"/>
  <c r="W30" i="2"/>
  <c r="R31" i="2"/>
  <c r="S31" i="2"/>
  <c r="T31" i="2"/>
  <c r="U31" i="2"/>
  <c r="V31" i="2"/>
  <c r="W31" i="2"/>
  <c r="R32" i="2"/>
  <c r="S32" i="2"/>
  <c r="T32" i="2"/>
  <c r="U32" i="2"/>
  <c r="V32" i="2"/>
  <c r="W32" i="2"/>
  <c r="R33" i="2"/>
  <c r="S33" i="2"/>
  <c r="T33" i="2"/>
  <c r="U33" i="2"/>
  <c r="V33" i="2"/>
  <c r="W33" i="2"/>
  <c r="R34" i="2"/>
  <c r="S34" i="2"/>
  <c r="T34" i="2"/>
  <c r="U34" i="2"/>
  <c r="V34" i="2"/>
  <c r="W34" i="2"/>
  <c r="R35" i="2"/>
  <c r="S35" i="2"/>
  <c r="T35" i="2"/>
  <c r="U35" i="2"/>
  <c r="V35" i="2"/>
  <c r="W35" i="2"/>
  <c r="R36" i="2"/>
  <c r="S36" i="2"/>
  <c r="T36" i="2"/>
  <c r="U36" i="2"/>
  <c r="V36" i="2"/>
  <c r="W36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22" i="2"/>
  <c r="D24" i="2"/>
  <c r="E24" i="2"/>
  <c r="F24" i="2"/>
  <c r="G24" i="2"/>
  <c r="H24" i="2"/>
  <c r="I24" i="2"/>
  <c r="J24" i="2"/>
  <c r="K24" i="2"/>
  <c r="L24" i="2"/>
  <c r="C24" i="2"/>
  <c r="D23" i="2"/>
  <c r="E23" i="2"/>
  <c r="F23" i="2"/>
  <c r="G23" i="2"/>
  <c r="H23" i="2"/>
  <c r="I23" i="2"/>
  <c r="J23" i="2"/>
  <c r="K23" i="2"/>
  <c r="L23" i="2"/>
  <c r="C23" i="2"/>
  <c r="U2" i="2"/>
  <c r="E31" i="2" s="1"/>
  <c r="E33" i="2" s="1"/>
  <c r="V2" i="2"/>
  <c r="F31" i="2" s="1"/>
  <c r="F33" i="2" s="1"/>
  <c r="W2" i="2"/>
  <c r="G31" i="2" s="1"/>
  <c r="G33" i="2" s="1"/>
  <c r="X2" i="2"/>
  <c r="H31" i="2" s="1"/>
  <c r="H33" i="2" s="1"/>
  <c r="Y2" i="2"/>
  <c r="I31" i="2" s="1"/>
  <c r="I33" i="2" s="1"/>
  <c r="Z2" i="2"/>
  <c r="J31" i="2" s="1"/>
  <c r="J33" i="2" s="1"/>
  <c r="AA2" i="2"/>
  <c r="K31" i="2" s="1"/>
  <c r="K33" i="2" s="1"/>
  <c r="AB2" i="2"/>
  <c r="L31" i="2" s="1"/>
  <c r="L33" i="2" s="1"/>
  <c r="T2" i="2"/>
  <c r="D31" i="2" s="1"/>
  <c r="D33" i="2" s="1"/>
  <c r="S11" i="2"/>
  <c r="S3" i="2"/>
  <c r="S4" i="2"/>
  <c r="S5" i="2"/>
  <c r="S6" i="2"/>
  <c r="S7" i="2"/>
  <c r="S8" i="2"/>
  <c r="S9" i="2"/>
  <c r="S10" i="2"/>
  <c r="S2" i="2"/>
  <c r="C31" i="2" s="1"/>
  <c r="C33" i="2" s="1"/>
  <c r="F2" i="2"/>
  <c r="F26" i="2" s="1"/>
  <c r="I2" i="2"/>
  <c r="I26" i="2" s="1"/>
  <c r="M57" i="1" l="1"/>
  <c r="K3" i="2" s="1"/>
  <c r="M59" i="1"/>
  <c r="K5" i="2" s="1"/>
  <c r="M70" i="1"/>
  <c r="K16" i="2" s="1"/>
  <c r="E3" i="2"/>
  <c r="N3" i="2" s="1"/>
  <c r="F3" i="2"/>
  <c r="H3" i="2"/>
  <c r="I3" i="2"/>
  <c r="E4" i="2"/>
  <c r="N4" i="2" s="1"/>
  <c r="F4" i="2"/>
  <c r="H4" i="2"/>
  <c r="I4" i="2"/>
  <c r="E5" i="2"/>
  <c r="N5" i="2" s="1"/>
  <c r="F5" i="2"/>
  <c r="H5" i="2"/>
  <c r="I5" i="2"/>
  <c r="E6" i="2"/>
  <c r="N6" i="2" s="1"/>
  <c r="F6" i="2"/>
  <c r="H6" i="2"/>
  <c r="I6" i="2"/>
  <c r="E7" i="2"/>
  <c r="N7" i="2" s="1"/>
  <c r="F7" i="2"/>
  <c r="H7" i="2"/>
  <c r="I7" i="2"/>
  <c r="E8" i="2"/>
  <c r="N8" i="2" s="1"/>
  <c r="F8" i="2"/>
  <c r="H8" i="2"/>
  <c r="I8" i="2"/>
  <c r="E9" i="2"/>
  <c r="N9" i="2" s="1"/>
  <c r="F9" i="2"/>
  <c r="H9" i="2"/>
  <c r="I9" i="2"/>
  <c r="E10" i="2"/>
  <c r="N10" i="2" s="1"/>
  <c r="F10" i="2"/>
  <c r="H10" i="2"/>
  <c r="I10" i="2"/>
  <c r="E11" i="2"/>
  <c r="N11" i="2" s="1"/>
  <c r="F11" i="2"/>
  <c r="H11" i="2"/>
  <c r="I11" i="2"/>
  <c r="E12" i="2"/>
  <c r="N12" i="2" s="1"/>
  <c r="F12" i="2"/>
  <c r="H12" i="2"/>
  <c r="I12" i="2"/>
  <c r="E13" i="2"/>
  <c r="N13" i="2" s="1"/>
  <c r="F13" i="2"/>
  <c r="H13" i="2"/>
  <c r="I13" i="2"/>
  <c r="E14" i="2"/>
  <c r="N14" i="2" s="1"/>
  <c r="F14" i="2"/>
  <c r="H14" i="2"/>
  <c r="I14" i="2"/>
  <c r="E15" i="2"/>
  <c r="N15" i="2" s="1"/>
  <c r="F15" i="2"/>
  <c r="H15" i="2"/>
  <c r="I15" i="2"/>
  <c r="E16" i="2"/>
  <c r="N16" i="2" s="1"/>
  <c r="F16" i="2"/>
  <c r="H16" i="2"/>
  <c r="I1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M58" i="1"/>
  <c r="K4" i="2" s="1"/>
  <c r="M60" i="1"/>
  <c r="K6" i="2" s="1"/>
  <c r="M61" i="1"/>
  <c r="K7" i="2" s="1"/>
  <c r="M62" i="1"/>
  <c r="K8" i="2" s="1"/>
  <c r="M63" i="1"/>
  <c r="K9" i="2" s="1"/>
  <c r="M64" i="1"/>
  <c r="K10" i="2" s="1"/>
  <c r="M65" i="1"/>
  <c r="K11" i="2" s="1"/>
  <c r="M66" i="1"/>
  <c r="K12" i="2" s="1"/>
  <c r="M67" i="1"/>
  <c r="K13" i="2" s="1"/>
  <c r="M68" i="1"/>
  <c r="K14" i="2" s="1"/>
  <c r="M69" i="1"/>
  <c r="K15" i="2" s="1"/>
  <c r="L2" i="2"/>
  <c r="K2" i="2"/>
  <c r="J2" i="2"/>
  <c r="H2" i="2"/>
  <c r="G2" i="2"/>
  <c r="E2" i="2"/>
  <c r="D2" i="2"/>
  <c r="C2" i="2"/>
  <c r="M2" i="2" s="1"/>
  <c r="N2" i="2"/>
  <c r="E26" i="2"/>
  <c r="M19" i="2"/>
  <c r="C19" i="2" s="1"/>
  <c r="E30" i="2"/>
  <c r="E36" i="2" s="1"/>
  <c r="F30" i="2"/>
  <c r="F36" i="2" s="1"/>
  <c r="G30" i="2"/>
  <c r="G36" i="2" s="1"/>
  <c r="H30" i="2"/>
  <c r="H36" i="2" s="1"/>
  <c r="I30" i="2"/>
  <c r="I36" i="2" s="1"/>
  <c r="K30" i="2"/>
  <c r="K36" i="2" s="1"/>
  <c r="L30" i="2"/>
  <c r="L36" i="2" s="1"/>
  <c r="D30" i="2"/>
  <c r="D36" i="2" s="1"/>
  <c r="C30" i="2"/>
  <c r="C36" i="2" s="1"/>
  <c r="L27" i="2"/>
  <c r="K27" i="2"/>
  <c r="J27" i="2"/>
  <c r="J30" i="2"/>
  <c r="J36" i="2" s="1"/>
  <c r="I27" i="2"/>
  <c r="H27" i="2"/>
  <c r="G27" i="2"/>
  <c r="F27" i="2"/>
  <c r="E27" i="2"/>
  <c r="D27" i="2"/>
  <c r="C27" i="2"/>
  <c r="X38" i="2"/>
  <c r="X40" i="2"/>
  <c r="Y38" i="2"/>
  <c r="Y40" i="2"/>
  <c r="R38" i="2"/>
  <c r="R40" i="2"/>
  <c r="S38" i="2"/>
  <c r="S40" i="2"/>
  <c r="T38" i="2"/>
  <c r="T40" i="2"/>
  <c r="U38" i="2"/>
  <c r="U40" i="2"/>
  <c r="V38" i="2"/>
  <c r="V40" i="2"/>
  <c r="W38" i="2"/>
  <c r="W40" i="2"/>
  <c r="Q38" i="2"/>
  <c r="Q40" i="2"/>
  <c r="P38" i="2"/>
  <c r="P40" i="2"/>
  <c r="I19" i="2" l="1"/>
  <c r="F19" i="2"/>
  <c r="N19" i="2"/>
  <c r="E19" i="2" s="1"/>
  <c r="L26" i="2"/>
  <c r="P2" i="2"/>
  <c r="P19" i="2" s="1"/>
  <c r="L19" i="2" s="1"/>
  <c r="K19" i="2"/>
  <c r="K26" i="2"/>
  <c r="J26" i="2"/>
  <c r="J19" i="2"/>
  <c r="H19" i="2"/>
  <c r="H26" i="2"/>
  <c r="G26" i="2"/>
  <c r="O2" i="2"/>
  <c r="O19" i="2" s="1"/>
  <c r="G19" i="2" s="1"/>
  <c r="D19" i="2"/>
  <c r="D26" i="2"/>
  <c r="C26" i="2"/>
  <c r="K28" i="2"/>
  <c r="K35" i="2" s="1"/>
  <c r="K38" i="2" s="1"/>
  <c r="E28" i="2"/>
  <c r="E35" i="2" s="1"/>
  <c r="E38" i="2" s="1"/>
  <c r="F28" i="2"/>
  <c r="F35" i="2" s="1"/>
  <c r="F38" i="2" s="1"/>
  <c r="J28" i="2"/>
  <c r="C28" i="2"/>
  <c r="C35" i="2" s="1"/>
  <c r="C38" i="2" s="1"/>
  <c r="G28" i="2"/>
  <c r="G35" i="2" s="1"/>
  <c r="G38" i="2" s="1"/>
  <c r="L28" i="2"/>
  <c r="L35" i="2" s="1"/>
  <c r="L38" i="2" s="1"/>
  <c r="H28" i="2"/>
  <c r="H35" i="2" s="1"/>
  <c r="H38" i="2" s="1"/>
  <c r="I28" i="2"/>
  <c r="I35" i="2" s="1"/>
  <c r="I38" i="2" s="1"/>
  <c r="D28" i="2"/>
  <c r="D35" i="2" s="1"/>
  <c r="D38" i="2" s="1"/>
  <c r="J35" i="2" l="1"/>
  <c r="J38" i="2" s="1"/>
  <c r="C40" i="2" l="1"/>
  <c r="C43" i="2" s="1" a="1"/>
  <c r="C45" i="2" s="1"/>
  <c r="G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andi setiadi</author>
  </authors>
  <commentList>
    <comment ref="H28" authorId="0" shapeId="0" xr:uid="{7C9855AA-7D1A-4634-87F2-01476826D5DF}">
      <text/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<sst xmlns="http://schemas.openxmlformats.org/spreadsheetml/2006/main" count="166" uniqueCount="153">
  <si>
    <t>No</t>
  </si>
  <si>
    <t>Kode Tiket</t>
  </si>
  <si>
    <t>Nama Film</t>
  </si>
  <si>
    <t>Studio</t>
  </si>
  <si>
    <t>Jam Tayang</t>
  </si>
  <si>
    <t>Jenis Kursi</t>
  </si>
  <si>
    <t>Harga Tiket</t>
  </si>
  <si>
    <t>Jumlah Tiket</t>
  </si>
  <si>
    <t>Promo (%)</t>
  </si>
  <si>
    <t>Total Bayar</t>
  </si>
  <si>
    <t>Nomor Kusi</t>
  </si>
  <si>
    <t>Jalur</t>
  </si>
  <si>
    <t>KODE SOAL</t>
  </si>
  <si>
    <t>KODE JAWABAN</t>
  </si>
  <si>
    <t>Intruksi</t>
  </si>
  <si>
    <t>Soal  :</t>
  </si>
  <si>
    <r>
      <t>Gunakan Fungsi Excel (</t>
    </r>
    <r>
      <rPr>
        <i/>
        <sz val="11"/>
        <color rgb="FF0070C0"/>
        <rFont val="Aptos Narrow"/>
        <family val="2"/>
        <scheme val="minor"/>
      </rPr>
      <t>Function</t>
    </r>
    <r>
      <rPr>
        <i/>
        <sz val="11"/>
        <color theme="2" tint="-0.499984740745262"/>
        <rFont val="Aptos Narrow"/>
        <family val="2"/>
        <scheme val="minor"/>
      </rPr>
      <t>) untuk menyelsaikan kasus dibawah ini, tidak disarankan menggunakan cara manual</t>
    </r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</si>
  <si>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</si>
  <si>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</si>
  <si>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Contoh</t>
  </si>
  <si>
    <t>Durasi (Menit)</t>
  </si>
  <si>
    <t>Avengers: Endgame</t>
  </si>
  <si>
    <t>Spider-Man: No Way Home</t>
  </si>
  <si>
    <t>Avatar: The Way of Water</t>
  </si>
  <si>
    <t>The Batman</t>
  </si>
  <si>
    <t>Dune: Part Two</t>
  </si>
  <si>
    <t>Top Gun: Maverick</t>
  </si>
  <si>
    <t>Barbie</t>
  </si>
  <si>
    <t>Oppenheimer</t>
  </si>
  <si>
    <t>Inside Out 2</t>
  </si>
  <si>
    <t>Deadpool &amp; Wolverine</t>
  </si>
  <si>
    <t>Kung Fu Panda 4</t>
  </si>
  <si>
    <t xml:space="preserve">Mission: Impossible </t>
  </si>
  <si>
    <t>Doctor Strange</t>
  </si>
  <si>
    <t>Black Panther</t>
  </si>
  <si>
    <t>Guardians of the Galaxy</t>
  </si>
  <si>
    <t>The Super Mario Bros</t>
  </si>
  <si>
    <t>12:00-13:25</t>
  </si>
  <si>
    <t>14:05-16:10</t>
  </si>
  <si>
    <t>Stuktur Kode Tiket</t>
  </si>
  <si>
    <t>Bagian</t>
  </si>
  <si>
    <t>Arti</t>
  </si>
  <si>
    <t>ST</t>
  </si>
  <si>
    <t>S1</t>
  </si>
  <si>
    <t>PB</t>
  </si>
  <si>
    <t>Platform Beli</t>
  </si>
  <si>
    <t>T</t>
  </si>
  <si>
    <t>NK</t>
  </si>
  <si>
    <t>1A</t>
  </si>
  <si>
    <t>JK</t>
  </si>
  <si>
    <t>V</t>
  </si>
  <si>
    <t xml:space="preserve">Nomor Kursi </t>
  </si>
  <si>
    <t>JL</t>
  </si>
  <si>
    <t>LXXVIII</t>
  </si>
  <si>
    <t>Penjualan Tiket Bioskop LXIX</t>
  </si>
  <si>
    <r>
      <t xml:space="preserve">Isi kolom  </t>
    </r>
    <r>
      <rPr>
        <b/>
        <sz val="11"/>
        <color rgb="FF00B050"/>
        <rFont val="Aptos Narrow"/>
        <family val="2"/>
        <scheme val="minor"/>
      </rPr>
      <t>Studio</t>
    </r>
    <r>
      <rPr>
        <b/>
        <sz val="11"/>
        <color theme="6" tint="-0.249977111117893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berdasarkan kode tiket, Jika S1 maka "Studio 1" jika S2 maka "Studio 2" dst.</t>
    </r>
  </si>
  <si>
    <r>
      <t>Berapa</t>
    </r>
    <r>
      <rPr>
        <b/>
        <sz val="11"/>
        <color theme="6" tint="0.3999755851924192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Durasi (Menit)</t>
    </r>
    <r>
      <rPr>
        <sz val="11"/>
        <color theme="1"/>
        <rFont val="Aptos Narrow"/>
        <family val="2"/>
        <scheme val="minor"/>
      </rPr>
      <t xml:space="preserve"> dari Film, hitung durasi dari kolom Jam Tayang</t>
    </r>
  </si>
  <si>
    <t>Petunjuk</t>
  </si>
  <si>
    <t>A baris pertama 1A berarti nomor 1, 2B berarti urutan 2 dibaris 2 berarti Nomor kursi 12</t>
  </si>
  <si>
    <t>ST-PB-NK-JK-JL</t>
  </si>
  <si>
    <t>R</t>
  </si>
  <si>
    <t>C</t>
  </si>
  <si>
    <t>Kode Kursi</t>
  </si>
  <si>
    <t>Reguler</t>
  </si>
  <si>
    <t>Couple</t>
  </si>
  <si>
    <t>VIP</t>
  </si>
  <si>
    <t>Promo</t>
  </si>
  <si>
    <t>16:00-16:59</t>
  </si>
  <si>
    <t>S1-M-1F-V-CV</t>
  </si>
  <si>
    <t>S2-C-2B-R-LVIII</t>
  </si>
  <si>
    <t>S3-M-3A-R-LXXVIII</t>
  </si>
  <si>
    <t>S4-T-4C-R-LXXIV</t>
  </si>
  <si>
    <t>S1-C-5A-V-LXXXIX</t>
  </si>
  <si>
    <t>S2-T-5E-R-LXXXVII</t>
  </si>
  <si>
    <t>S3-M-6B-C-XCII</t>
  </si>
  <si>
    <t>S4-C-6F-V-CI</t>
  </si>
  <si>
    <t>S1-T-7C-R-LIV</t>
  </si>
  <si>
    <t>S3-C-8A-R-LXXXVII</t>
  </si>
  <si>
    <t>S2-T-7E-C-XCVI</t>
  </si>
  <si>
    <t>S3-C-8D-V-LXXXVII</t>
  </si>
  <si>
    <t>S4-M-6F-C-LI</t>
  </si>
  <si>
    <t>S2-M-2D-V-LV</t>
  </si>
  <si>
    <t>S4-T-2F-C-LXXXIV</t>
  </si>
  <si>
    <t>16:00-17:15</t>
  </si>
  <si>
    <t>14:03-15:30</t>
  </si>
  <si>
    <t>21:00-22:05</t>
  </si>
  <si>
    <t>12:07-13:17</t>
  </si>
  <si>
    <t>18:01-19:35</t>
  </si>
  <si>
    <t>21:15-22:59</t>
  </si>
  <si>
    <t>18:00-19:55</t>
  </si>
  <si>
    <t>14:00-16:15</t>
  </si>
  <si>
    <t>16:35-18:25</t>
  </si>
  <si>
    <t>12:07-14:15</t>
  </si>
  <si>
    <t>18:09-19:55</t>
  </si>
  <si>
    <t>14:10-15:55</t>
  </si>
  <si>
    <t>21:59-23:15</t>
  </si>
  <si>
    <t>S1-M-1A-R-CVII</t>
  </si>
  <si>
    <t>SBEM014</t>
  </si>
  <si>
    <r>
      <rPr>
        <b/>
        <sz val="12"/>
        <color rgb="FF00B050"/>
        <rFont val="Aptos Narrow"/>
        <family val="2"/>
        <scheme val="minor"/>
      </rPr>
      <t>Medium Level</t>
    </r>
    <r>
      <rPr>
        <b/>
        <sz val="12"/>
        <color theme="1"/>
        <rFont val="Aptos Narrow"/>
        <family val="2"/>
        <scheme val="minor"/>
      </rPr>
      <t xml:space="preserve"> - Latihan Soal Excel Admin Tiket Bioskop LXIX</t>
    </r>
  </si>
  <si>
    <t>Studio 1</t>
  </si>
  <si>
    <t>Kanan</t>
  </si>
  <si>
    <t>M-tix</t>
  </si>
  <si>
    <t>Peta</t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</si>
  <si>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Jenis Kursi</t>
    </r>
    <r>
      <rPr>
        <sz val="11"/>
        <color theme="1"/>
        <rFont val="Aptos Narrow"/>
        <family val="2"/>
        <scheme val="minor"/>
      </rPr>
      <t xml:space="preserve"> sesuai Table Jenis Kursi di Kode Tiket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</si>
  <si>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Nomor Kursi</t>
    </r>
    <r>
      <rPr>
        <sz val="11"/>
        <color theme="1"/>
        <rFont val="Aptos Narrow"/>
        <family val="2"/>
        <scheme val="minor"/>
      </rPr>
      <t xml:space="preserve"> berdasarkan Nomor kursi di kode Tiket (lihat Peta)</t>
    </r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</si>
  <si>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Jalur</t>
    </r>
    <r>
      <rPr>
        <sz val="11"/>
        <color theme="1"/>
        <rFont val="Aptos Narrow"/>
        <family val="2"/>
        <scheme val="minor"/>
      </rPr>
      <t xml:space="preserve"> dengan "Kiri" atau "Kanan" jika nomor dibawah nilai 6 berarti kanan (lihat peta)</t>
    </r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</si>
  <si>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Harga Tiket</t>
    </r>
    <r>
      <rPr>
        <sz val="11"/>
        <color theme="1"/>
        <rFont val="Aptos Narrow"/>
        <family val="2"/>
        <scheme val="minor"/>
      </rPr>
      <t xml:space="preserve"> berdasarkan Jam Tayang Pada Table Jam Tayang (</t>
    </r>
    <r>
      <rPr>
        <b/>
        <i/>
        <sz val="11"/>
        <color theme="1"/>
        <rFont val="Aptos Narrow"/>
        <family val="2"/>
        <scheme val="minor"/>
      </rPr>
      <t>hati-hati kadang telat</t>
    </r>
    <r>
      <rPr>
        <sz val="11"/>
        <color theme="1"/>
        <rFont val="Aptos Narrow"/>
        <family val="2"/>
        <scheme val="minor"/>
      </rPr>
      <t>)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</si>
  <si>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Jumlah Tiket</t>
    </r>
    <r>
      <rPr>
        <sz val="11"/>
        <color theme="1"/>
        <rFont val="Aptos Narrow"/>
        <family val="2"/>
        <scheme val="minor"/>
      </rPr>
      <t xml:space="preserve"> berdasarkan kode Jumlah Tiket di kode Tiket </t>
    </r>
  </si>
  <si>
    <r>
      <t xml:space="preserve">Nilai </t>
    </r>
    <r>
      <rPr>
        <b/>
        <sz val="11"/>
        <color rgb="FF00B050"/>
        <rFont val="Aptos Narrow"/>
        <family val="2"/>
        <scheme val="minor"/>
      </rPr>
      <t>Promo</t>
    </r>
    <r>
      <rPr>
        <sz val="11"/>
        <color theme="1"/>
        <rFont val="Aptos Narrow"/>
        <family val="2"/>
        <scheme val="minor"/>
      </rPr>
      <t xml:space="preserve"> diisi sesuai dengan Jenis Kursi pada Table kode kursi</t>
    </r>
  </si>
  <si>
    <r>
      <t xml:space="preserve">Kolom </t>
    </r>
    <r>
      <rPr>
        <b/>
        <sz val="11"/>
        <color rgb="FF00B050"/>
        <rFont val="Aptos Narrow"/>
        <family val="2"/>
        <scheme val="minor"/>
      </rPr>
      <t>Total Bayar</t>
    </r>
    <r>
      <rPr>
        <sz val="11"/>
        <color theme="1"/>
        <rFont val="Aptos Narrow"/>
        <family val="2"/>
        <scheme val="minor"/>
      </rPr>
      <t xml:space="preserve"> diisi dengan </t>
    </r>
    <r>
      <rPr>
        <b/>
        <i/>
        <sz val="11"/>
        <color theme="1"/>
        <rFont val="Aptos Narrow"/>
        <family val="2"/>
        <scheme val="minor"/>
      </rPr>
      <t>Harga Tiket</t>
    </r>
    <r>
      <rPr>
        <sz val="11"/>
        <color theme="1"/>
        <rFont val="Aptos Narrow"/>
        <family val="2"/>
        <scheme val="minor"/>
      </rPr>
      <t xml:space="preserve"> dikali </t>
    </r>
    <r>
      <rPr>
        <b/>
        <i/>
        <sz val="11"/>
        <color theme="1"/>
        <rFont val="Aptos Narrow"/>
        <family val="2"/>
        <scheme val="minor"/>
      </rPr>
      <t>Jumlah Tiket</t>
    </r>
    <r>
      <rPr>
        <sz val="11"/>
        <color theme="1"/>
        <rFont val="Aptos Narrow"/>
        <family val="2"/>
        <scheme val="minor"/>
      </rPr>
      <t xml:space="preserve"> dikurangi </t>
    </r>
    <r>
      <rPr>
        <b/>
        <i/>
        <sz val="11"/>
        <color theme="1"/>
        <rFont val="Aptos Narrow"/>
        <family val="2"/>
        <scheme val="minor"/>
      </rPr>
      <t>Promo</t>
    </r>
  </si>
  <si>
    <t>Platform beli diisi dari kode Tiket. Jika M = M-tix, Jika C = CGV Apps , Jika T = Tunai</t>
  </si>
  <si>
    <t>Def</t>
  </si>
  <si>
    <t>V1</t>
  </si>
  <si>
    <t>Rnd</t>
  </si>
  <si>
    <t>Cek Kosong</t>
  </si>
  <si>
    <t>Cek Manual</t>
  </si>
  <si>
    <t>Cek Drag</t>
  </si>
  <si>
    <t>N</t>
  </si>
  <si>
    <t>Arr</t>
  </si>
  <si>
    <t>Cek Formula</t>
  </si>
  <si>
    <t>Cek Kurung</t>
  </si>
  <si>
    <t>N**</t>
  </si>
  <si>
    <t>V**</t>
  </si>
  <si>
    <t>sa</t>
  </si>
  <si>
    <t>ya</t>
  </si>
  <si>
    <t>jo</t>
  </si>
  <si>
    <t xml:space="preserve">Jumlah tiket harus ditulis dalam bentuk Number Arabic 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</si>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</sst>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;\(#,##0\);\-"/>
    <numFmt numFmtId="166" formatCode="_(* #,##0_);_(* \(#,##0\);_(* &quot;-&quot;??_);_(@_)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0"/>
      <name val="ROBOTECH GP"/>
      <family val="2"/>
    </font>
    <font>
      <b/>
      <i/>
      <sz val="11"/>
      <color rgb="FF0070C0"/>
      <name val="Aptos Narrow"/>
      <family val="2"/>
      <scheme val="minor"/>
    </font>
    <font>
      <b/>
      <sz val="12"/>
      <color theme="0"/>
      <name val="Roboto"/>
    </font>
    <font>
      <b/>
      <sz val="12"/>
      <color rgb="FF0070C0"/>
      <name val="Aptos Narrow"/>
      <family val="2"/>
      <scheme val="minor"/>
    </font>
    <font>
      <b/>
      <sz val="16"/>
      <color rgb="FF0070C0"/>
      <name val="Arial"/>
      <family val="2"/>
    </font>
    <font>
      <i/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4506668294322"/>
      </left>
      <right style="thin">
        <color theme="0"/>
      </right>
      <top style="medium">
        <color theme="8" tint="0.3999450666829432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8" tint="0.39994506668294322"/>
      </top>
      <bottom style="thin">
        <color theme="0"/>
      </bottom>
      <diagonal/>
    </border>
    <border>
      <left style="thin">
        <color theme="0"/>
      </left>
      <right style="medium">
        <color theme="8" tint="0.39994506668294322"/>
      </right>
      <top style="medium">
        <color theme="8" tint="0.39994506668294322"/>
      </top>
      <bottom style="thin">
        <color theme="0"/>
      </bottom>
      <diagonal/>
    </border>
    <border>
      <left style="medium">
        <color theme="8" tint="0.399945066682943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0.39994506668294322"/>
      </right>
      <top style="thin">
        <color theme="0"/>
      </top>
      <bottom style="thin">
        <color theme="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8" tint="0.39994506668294322"/>
      </left>
      <right style="thin">
        <color theme="0"/>
      </right>
      <top style="thin">
        <color theme="0"/>
      </top>
      <bottom style="medium">
        <color theme="8" tint="0.399914548173467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8" tint="0.39991454817346722"/>
      </bottom>
      <diagonal/>
    </border>
    <border>
      <left style="thin">
        <color theme="0"/>
      </left>
      <right style="medium">
        <color theme="8" tint="0.39994506668294322"/>
      </right>
      <top style="thin">
        <color theme="0"/>
      </top>
      <bottom style="medium">
        <color theme="8" tint="0.39991454817346722"/>
      </bottom>
      <diagonal/>
    </border>
    <border>
      <left style="thin">
        <color theme="0"/>
      </left>
      <right style="medium">
        <color theme="8" tint="0.39991454817346722"/>
      </right>
      <top style="medium">
        <color theme="8" tint="0.39994506668294322"/>
      </top>
      <bottom style="thin">
        <color theme="0"/>
      </bottom>
      <diagonal/>
    </border>
    <border>
      <left style="thin">
        <color theme="0"/>
      </left>
      <right style="medium">
        <color theme="8" tint="0.3999145481734672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0.39991454817346722"/>
      </right>
      <top style="thin">
        <color theme="0"/>
      </top>
      <bottom style="medium">
        <color theme="8" tint="0.39991454817346722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/>
    <xf numFmtId="0" fontId="27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vertical="center" wrapText="1"/>
    </xf>
    <xf numFmtId="165" fontId="5" fillId="3" borderId="0" xfId="0" applyNumberFormat="1" applyFont="1" applyFill="1" applyAlignment="1">
      <alignment horizontal="center" vertical="center"/>
    </xf>
    <xf numFmtId="165" fontId="5" fillId="3" borderId="2" xfId="0" applyNumberFormat="1" applyFont="1" applyFill="1" applyBorder="1" applyAlignment="1">
      <alignment horizontal="left" vertical="center"/>
    </xf>
    <xf numFmtId="165" fontId="6" fillId="3" borderId="0" xfId="0" applyNumberFormat="1" applyFont="1" applyFill="1" applyAlignment="1">
      <alignment horizontal="left" vertical="center"/>
    </xf>
    <xf numFmtId="0" fontId="8" fillId="4" borderId="6" xfId="0" applyFont="1" applyFill="1" applyBorder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0" fillId="4" borderId="0" xfId="0" applyFill="1"/>
    <xf numFmtId="0" fontId="8" fillId="4" borderId="7" xfId="0" applyFont="1" applyFill="1" applyBorder="1" applyAlignment="1">
      <alignment vertical="top" wrapText="1"/>
    </xf>
    <xf numFmtId="0" fontId="9" fillId="4" borderId="0" xfId="0" applyFont="1" applyFill="1" applyAlignment="1">
      <alignment horizontal="left" vertical="top"/>
    </xf>
    <xf numFmtId="0" fontId="9" fillId="4" borderId="0" xfId="0" applyFont="1" applyFill="1" applyAlignment="1">
      <alignment vertical="top"/>
    </xf>
    <xf numFmtId="0" fontId="11" fillId="4" borderId="0" xfId="0" applyFont="1" applyFill="1" applyAlignment="1">
      <alignment horizontal="right"/>
    </xf>
    <xf numFmtId="0" fontId="12" fillId="4" borderId="0" xfId="0" applyFont="1" applyFill="1"/>
    <xf numFmtId="0" fontId="14" fillId="4" borderId="0" xfId="0" applyFont="1" applyFill="1"/>
    <xf numFmtId="0" fontId="18" fillId="4" borderId="0" xfId="0" applyFont="1" applyFill="1"/>
    <xf numFmtId="0" fontId="19" fillId="2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8" fillId="5" borderId="9" xfId="0" applyFont="1" applyFill="1" applyBorder="1" applyAlignment="1">
      <alignment horizontal="center" vertical="top" wrapText="1"/>
    </xf>
    <xf numFmtId="0" fontId="8" fillId="5" borderId="10" xfId="0" applyFont="1" applyFill="1" applyBorder="1" applyAlignment="1">
      <alignment horizontal="center" vertical="top" wrapText="1"/>
    </xf>
    <xf numFmtId="0" fontId="0" fillId="5" borderId="11" xfId="0" applyFill="1" applyBorder="1" applyAlignment="1">
      <alignment horizontal="center"/>
    </xf>
    <xf numFmtId="0" fontId="13" fillId="4" borderId="0" xfId="0" applyFont="1" applyFill="1"/>
    <xf numFmtId="0" fontId="8" fillId="0" borderId="0" xfId="0" applyFont="1" applyAlignment="1">
      <alignment vertical="top" wrapText="1"/>
    </xf>
    <xf numFmtId="165" fontId="21" fillId="3" borderId="14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8" borderId="12" xfId="0" applyFill="1" applyBorder="1" applyAlignment="1">
      <alignment horizontal="center" vertical="center" wrapText="1"/>
    </xf>
    <xf numFmtId="0" fontId="0" fillId="8" borderId="12" xfId="0" applyFill="1" applyBorder="1"/>
    <xf numFmtId="0" fontId="0" fillId="9" borderId="15" xfId="0" applyFill="1" applyBorder="1" applyAlignment="1">
      <alignment horizontal="center" vertical="center" wrapText="1"/>
    </xf>
    <xf numFmtId="0" fontId="0" fillId="9" borderId="15" xfId="0" applyFill="1" applyBorder="1"/>
    <xf numFmtId="0" fontId="0" fillId="8" borderId="12" xfId="0" applyFill="1" applyBorder="1" applyAlignment="1">
      <alignment horizontal="center"/>
    </xf>
    <xf numFmtId="0" fontId="0" fillId="10" borderId="12" xfId="0" applyFill="1" applyBorder="1"/>
    <xf numFmtId="0" fontId="22" fillId="4" borderId="0" xfId="0" applyFont="1" applyFill="1" applyAlignment="1">
      <alignment vertical="top"/>
    </xf>
    <xf numFmtId="0" fontId="2" fillId="11" borderId="16" xfId="0" applyFont="1" applyFill="1" applyBorder="1" applyAlignment="1">
      <alignment horizontal="center" vertical="center" wrapText="1"/>
    </xf>
    <xf numFmtId="0" fontId="0" fillId="12" borderId="16" xfId="0" applyFill="1" applyBorder="1" applyAlignment="1">
      <alignment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0" fillId="12" borderId="18" xfId="0" applyFill="1" applyBorder="1" applyAlignment="1">
      <alignment vertical="center" wrapText="1"/>
    </xf>
    <xf numFmtId="0" fontId="8" fillId="4" borderId="17" xfId="0" applyFont="1" applyFill="1" applyBorder="1" applyAlignment="1">
      <alignment vertical="top" wrapText="1"/>
    </xf>
    <xf numFmtId="0" fontId="0" fillId="10" borderId="12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24" fillId="4" borderId="0" xfId="0" applyFont="1" applyFill="1"/>
    <xf numFmtId="166" fontId="0" fillId="6" borderId="12" xfId="1" applyNumberFormat="1" applyFont="1" applyFill="1" applyBorder="1" applyAlignment="1">
      <alignment horizontal="center"/>
    </xf>
    <xf numFmtId="166" fontId="8" fillId="6" borderId="12" xfId="1" applyNumberFormat="1" applyFont="1" applyFill="1" applyBorder="1" applyAlignment="1">
      <alignment horizontal="center" vertical="top" wrapText="1"/>
    </xf>
    <xf numFmtId="166" fontId="8" fillId="6" borderId="13" xfId="1" applyNumberFormat="1" applyFont="1" applyFill="1" applyBorder="1" applyAlignment="1">
      <alignment horizontal="center" vertical="top" wrapText="1"/>
    </xf>
    <xf numFmtId="0" fontId="3" fillId="4" borderId="0" xfId="0" applyFont="1" applyFill="1"/>
    <xf numFmtId="0" fontId="0" fillId="5" borderId="19" xfId="0" applyFill="1" applyBorder="1" applyAlignment="1">
      <alignment horizontal="center"/>
    </xf>
    <xf numFmtId="9" fontId="0" fillId="6" borderId="20" xfId="2" applyFont="1" applyFill="1" applyBorder="1" applyAlignment="1">
      <alignment horizontal="center"/>
    </xf>
    <xf numFmtId="9" fontId="8" fillId="6" borderId="20" xfId="2" applyFont="1" applyFill="1" applyBorder="1" applyAlignment="1">
      <alignment horizontal="center" vertical="top" wrapText="1"/>
    </xf>
    <xf numFmtId="9" fontId="8" fillId="6" borderId="21" xfId="2" applyFont="1" applyFill="1" applyBorder="1" applyAlignment="1">
      <alignment horizontal="center" vertical="top" wrapText="1"/>
    </xf>
    <xf numFmtId="20" fontId="0" fillId="5" borderId="11" xfId="0" applyNumberFormat="1" applyFill="1" applyBorder="1" applyAlignment="1">
      <alignment horizontal="center"/>
    </xf>
    <xf numFmtId="20" fontId="0" fillId="5" borderId="19" xfId="0" applyNumberFormat="1" applyFill="1" applyBorder="1" applyAlignment="1">
      <alignment horizontal="center"/>
    </xf>
    <xf numFmtId="0" fontId="19" fillId="2" borderId="22" xfId="0" applyFont="1" applyFill="1" applyBorder="1" applyAlignment="1">
      <alignment horizontal="center" vertical="center"/>
    </xf>
    <xf numFmtId="166" fontId="0" fillId="6" borderId="23" xfId="1" applyNumberFormat="1" applyFont="1" applyFill="1" applyBorder="1" applyAlignment="1">
      <alignment horizontal="center"/>
    </xf>
    <xf numFmtId="166" fontId="0" fillId="6" borderId="24" xfId="1" applyNumberFormat="1" applyFont="1" applyFill="1" applyBorder="1" applyAlignment="1">
      <alignment horizontal="center"/>
    </xf>
    <xf numFmtId="0" fontId="0" fillId="8" borderId="12" xfId="0" applyFill="1" applyBorder="1" applyAlignment="1">
      <alignment horizontal="left" vertical="center" wrapText="1" indent="2"/>
    </xf>
    <xf numFmtId="0" fontId="0" fillId="9" borderId="15" xfId="0" applyFill="1" applyBorder="1" applyAlignment="1">
      <alignment horizontal="left" vertical="center" wrapText="1" indent="2"/>
    </xf>
    <xf numFmtId="0" fontId="0" fillId="10" borderId="12" xfId="0" applyFill="1" applyBorder="1" applyAlignment="1">
      <alignment horizontal="left" indent="1"/>
    </xf>
    <xf numFmtId="0" fontId="0" fillId="9" borderId="15" xfId="0" applyFill="1" applyBorder="1" applyAlignment="1">
      <alignment horizontal="left" indent="1"/>
    </xf>
    <xf numFmtId="9" fontId="0" fillId="10" borderId="12" xfId="2" applyFont="1" applyFill="1" applyBorder="1" applyAlignment="1">
      <alignment horizontal="center"/>
    </xf>
    <xf numFmtId="166" fontId="0" fillId="10" borderId="12" xfId="1" applyNumberFormat="1" applyFont="1" applyFill="1" applyBorder="1"/>
    <xf numFmtId="166" fontId="0" fillId="10" borderId="12" xfId="0" applyNumberFormat="1" applyFill="1" applyBorder="1"/>
    <xf numFmtId="166" fontId="0" fillId="0" borderId="0" xfId="0" applyNumberFormat="1"/>
    <xf numFmtId="0" fontId="18" fillId="8" borderId="12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left" indent="2"/>
    </xf>
    <xf numFmtId="0" fontId="0" fillId="9" borderId="15" xfId="0" applyFill="1" applyBorder="1" applyAlignment="1">
      <alignment horizontal="left" indent="2"/>
    </xf>
    <xf numFmtId="0" fontId="1" fillId="0" borderId="0" xfId="4"/>
    <xf numFmtId="0" fontId="1" fillId="0" borderId="12" xfId="4" applyBorder="1"/>
    <xf numFmtId="0" fontId="1" fillId="0" borderId="25" xfId="4" applyBorder="1"/>
    <xf numFmtId="0" fontId="1" fillId="0" borderId="26" xfId="4" applyBorder="1"/>
    <xf numFmtId="0" fontId="28" fillId="0" borderId="12" xfId="4" applyFont="1" applyBorder="1"/>
    <xf numFmtId="0" fontId="30" fillId="0" borderId="12" xfId="4" applyFont="1" applyBorder="1" applyAlignment="1">
      <alignment horizontal="left"/>
    </xf>
    <xf numFmtId="0" fontId="30" fillId="0" borderId="12" xfId="4" applyFont="1" applyBorder="1"/>
    <xf numFmtId="0" fontId="31" fillId="0" borderId="25" xfId="0" applyFont="1" applyBorder="1" applyAlignment="1">
      <alignment horizontal="left" vertical="top" wrapText="1"/>
    </xf>
    <xf numFmtId="0" fontId="33" fillId="0" borderId="25" xfId="0" applyFont="1" applyBorder="1" applyAlignment="1">
      <alignment horizontal="left" vertical="top" wrapText="1"/>
    </xf>
    <xf numFmtId="0" fontId="27" fillId="0" borderId="12" xfId="5" applyBorder="1" applyAlignment="1">
      <alignment vertical="top"/>
    </xf>
    <xf numFmtId="0" fontId="2" fillId="0" borderId="0" xfId="4" applyFont="1"/>
    <xf numFmtId="0" fontId="34" fillId="0" borderId="0" xfId="4" applyFont="1"/>
    <xf numFmtId="0" fontId="27" fillId="0" borderId="0" xfId="3"/>
    <xf numFmtId="0" fontId="34" fillId="0" borderId="0" xfId="4" quotePrefix="1" applyFont="1"/>
    <xf numFmtId="0" fontId="0" fillId="3" borderId="0" xfId="0" applyFill="1"/>
    <xf numFmtId="0" fontId="14" fillId="3" borderId="0" xfId="0" applyFont="1" applyFill="1"/>
    <xf numFmtId="0" fontId="3" fillId="3" borderId="0" xfId="0" applyFont="1" applyFill="1"/>
    <xf numFmtId="0" fontId="36" fillId="3" borderId="0" xfId="0" applyFont="1" applyFill="1"/>
    <xf numFmtId="0" fontId="37" fillId="3" borderId="0" xfId="3" applyFont="1" applyFill="1"/>
    <xf numFmtId="0" fontId="23" fillId="8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0" fillId="0" borderId="12" xfId="4" applyFont="1" applyBorder="1" applyAlignment="1">
      <alignment horizontal="left"/>
    </xf>
    <xf numFmtId="0" fontId="29" fillId="0" borderId="12" xfId="4" applyFont="1" applyBorder="1" applyAlignment="1">
      <alignment horizontal="left"/>
    </xf>
    <xf numFmtId="0" fontId="31" fillId="0" borderId="0" xfId="0" applyFont="1" applyAlignment="1">
      <alignment horizontal="left" vertical="top" wrapText="1"/>
    </xf>
    <xf numFmtId="0" fontId="31" fillId="0" borderId="27" xfId="0" applyFont="1" applyBorder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2" fillId="0" borderId="27" xfId="0" applyFont="1" applyBorder="1" applyAlignment="1">
      <alignment horizontal="left" vertical="top" wrapText="1"/>
    </xf>
    <xf numFmtId="0" fontId="35" fillId="2" borderId="6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</cellXfs>
  <cellStyles count="6">
    <cellStyle name="Comma" xfId="1" builtinId="3"/>
    <cellStyle name="Hyperlink" xfId="3" builtinId="8"/>
    <cellStyle name="Hyperlink 2" xfId="5" xr:uid="{992BF5AC-C8ED-497E-BC39-8F2108F5D2DC}"/>
    <cellStyle name="Normal" xfId="0" builtinId="0"/>
    <cellStyle name="Normal 2" xfId="4" xr:uid="{DDECCC3A-FCBF-4B6C-A0A6-BBFCBCC661E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552872</xdr:colOff>
      <xdr:row>16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E6FAE6-FC8A-43CE-981F-31E9992FB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1412" cy="2933700"/>
        </a:xfrm>
        <a:prstGeom prst="rect">
          <a:avLst/>
        </a:prstGeom>
      </xdr:spPr>
    </xdr:pic>
    <xdr:clientData/>
  </xdr:twoCellAnchor>
  <xdr:twoCellAnchor editAs="oneCell">
    <xdr:from>
      <xdr:col>6</xdr:col>
      <xdr:colOff>205740</xdr:colOff>
      <xdr:row>13</xdr:row>
      <xdr:rowOff>30480</xdr:rowOff>
    </xdr:from>
    <xdr:to>
      <xdr:col>7</xdr:col>
      <xdr:colOff>634999</xdr:colOff>
      <xdr:row>16</xdr:row>
      <xdr:rowOff>129540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F6C1F6-82DF-4573-AE33-B727161C1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8560" y="2407920"/>
          <a:ext cx="1511299" cy="647700"/>
        </a:xfrm>
        <a:prstGeom prst="rect">
          <a:avLst/>
        </a:prstGeom>
      </xdr:spPr>
    </xdr:pic>
    <xdr:clientData/>
  </xdr:twoCellAnchor>
  <xdr:twoCellAnchor>
    <xdr:from>
      <xdr:col>2</xdr:col>
      <xdr:colOff>1724660</xdr:colOff>
      <xdr:row>42</xdr:row>
      <xdr:rowOff>38100</xdr:rowOff>
    </xdr:from>
    <xdr:to>
      <xdr:col>4</xdr:col>
      <xdr:colOff>543560</xdr:colOff>
      <xdr:row>43</xdr:row>
      <xdr:rowOff>190500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096EE8-56B4-4DEC-B56D-E9933BB2A135}"/>
            </a:ext>
          </a:extLst>
        </xdr:cNvPr>
        <xdr:cNvSpPr/>
      </xdr:nvSpPr>
      <xdr:spPr>
        <a:xfrm>
          <a:off x="3180080" y="7696200"/>
          <a:ext cx="201930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9</xdr:col>
      <xdr:colOff>144780</xdr:colOff>
      <xdr:row>0</xdr:row>
      <xdr:rowOff>30480</xdr:rowOff>
    </xdr:from>
    <xdr:ext cx="1294970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DFA1CD-855A-4F6E-A2B6-41EC7CA58CB6}"/>
            </a:ext>
          </a:extLst>
        </xdr:cNvPr>
        <xdr:cNvSpPr txBox="1"/>
      </xdr:nvSpPr>
      <xdr:spPr>
        <a:xfrm>
          <a:off x="10401300" y="30480"/>
          <a:ext cx="12949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solidFill>
                <a:schemeClr val="bg1"/>
              </a:solidFill>
            </a:rPr>
            <a:t>MEDIUM LEVEL</a:t>
          </a:r>
        </a:p>
      </xdr:txBody>
    </xdr:sp>
    <xdr:clientData/>
  </xdr:oneCellAnchor>
  <xdr:twoCellAnchor editAs="oneCell">
    <xdr:from>
      <xdr:col>10</xdr:col>
      <xdr:colOff>899159</xdr:colOff>
      <xdr:row>0</xdr:row>
      <xdr:rowOff>0</xdr:rowOff>
    </xdr:from>
    <xdr:to>
      <xdr:col>12</xdr:col>
      <xdr:colOff>581746</xdr:colOff>
      <xdr:row>16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3AAE94E-CE87-4134-AF30-BA2447B0C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77699" y="0"/>
          <a:ext cx="1907627" cy="297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EF3B4F83-2391-4DF8-A713-3705795AF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4045FF3C-4A99-471F-BF3F-38F7BFE2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601980</xdr:colOff>
      <xdr:row>1</xdr:row>
      <xdr:rowOff>0</xdr:rowOff>
    </xdr:from>
    <xdr:to>
      <xdr:col>4</xdr:col>
      <xdr:colOff>251460</xdr:colOff>
      <xdr:row>14</xdr:row>
      <xdr:rowOff>83034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5C3E1A-B9D1-41BB-99CF-48781C84E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220" y="182880"/>
          <a:ext cx="1554480" cy="2460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61E6-34C3-4952-8588-60A36CC28860}">
  <sheetPr codeName="Sheet1"/>
  <dimension ref="A18:R75"/>
  <sheetViews>
    <sheetView tabSelected="1" topLeftCell="E17" workbookViewId="0">
      <selection activeCell="G18" sqref="G18"/>
    </sheetView>
  </sheetViews>
  <sheetFormatPr defaultRowHeight="15"/>
  <cols>
    <col min="1" max="1" width="7.7109375" customWidth="1"/>
    <col min="2" max="2" width="19.140625" customWidth="1"/>
    <col min="3" max="3" width="24" customWidth="1"/>
    <col min="4" max="4" width="16.5703125" customWidth="1"/>
    <col min="5" max="5" width="15.5703125" customWidth="1"/>
    <col min="6" max="6" width="14.7109375" customWidth="1"/>
    <col min="7" max="8" width="15.7109375" customWidth="1"/>
    <col min="9" max="9" width="18.7109375" customWidth="1"/>
    <col min="10" max="10" width="15.140625" customWidth="1"/>
    <col min="11" max="11" width="17.28515625" customWidth="1"/>
    <col min="12" max="12" width="15.28515625" customWidth="1"/>
    <col min="13" max="14" width="16.7109375" customWidth="1"/>
    <col min="16" max="16" width="10.28515625" bestFit="1" customWidth="1"/>
    <col min="18" max="18" width="10.28515625" bestFit="1" customWidth="1"/>
  </cols>
  <sheetData>
    <row r="18" spans="1:13" ht="23.25">
      <c r="A18" s="84" t="s">
        <v>12</v>
      </c>
      <c r="B18" s="84"/>
      <c r="C18" s="2" t="s">
        <v>97</v>
      </c>
      <c r="E18" s="84" t="s">
        <v>13</v>
      </c>
      <c r="F18" s="85"/>
      <c r="G18" s="3" t="str">
        <f ca="1">Kode_jawaban</f>
        <v>MN2|13-DFF;5C-7DD;55-172A;5C-29B;1B-12EA;2C-D4A58;2B-64A;40-3D80;2B-3BB02BC;35-1362</v>
      </c>
      <c r="H18" s="4"/>
      <c r="I18" s="4"/>
      <c r="J18" s="4"/>
      <c r="K18" s="4"/>
      <c r="L18" s="4"/>
      <c r="M18" s="4"/>
    </row>
    <row r="20" spans="1:13" ht="23.25">
      <c r="A20" s="86" t="s">
        <v>14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8"/>
    </row>
    <row r="21" spans="1:13" ht="15.75">
      <c r="A21" s="5"/>
      <c r="B21" s="6"/>
      <c r="C21" s="6"/>
      <c r="D21" s="6"/>
      <c r="E21" s="6"/>
      <c r="F21" s="6"/>
      <c r="G21" s="6"/>
      <c r="H21" s="6"/>
      <c r="I21" s="6"/>
      <c r="J21" s="6"/>
      <c r="K21" s="7"/>
      <c r="L21" s="6"/>
      <c r="M21" s="36"/>
    </row>
    <row r="22" spans="1:13" ht="15.75">
      <c r="A22" s="7"/>
      <c r="B22" s="9" t="s">
        <v>98</v>
      </c>
      <c r="D22" s="7"/>
      <c r="E22" s="6"/>
      <c r="F22" s="6"/>
      <c r="G22" s="6"/>
      <c r="H22" s="6"/>
      <c r="J22" s="31" t="s">
        <v>39</v>
      </c>
      <c r="K22" s="7"/>
      <c r="L22" s="6"/>
      <c r="M22" s="8"/>
    </row>
    <row r="23" spans="1:13" ht="15.75">
      <c r="A23" s="7"/>
      <c r="B23" s="7"/>
      <c r="C23" s="10"/>
      <c r="E23" s="6"/>
      <c r="F23" s="6"/>
      <c r="G23" s="6"/>
      <c r="H23" s="6"/>
      <c r="I23" s="7"/>
      <c r="J23" t="s">
        <v>59</v>
      </c>
      <c r="K23" s="7"/>
      <c r="L23" s="6"/>
      <c r="M23" s="8"/>
    </row>
    <row r="24" spans="1:13" ht="15.75">
      <c r="A24" s="7"/>
      <c r="B24" s="11" t="s">
        <v>15</v>
      </c>
      <c r="C24" s="12" t="s">
        <v>16</v>
      </c>
      <c r="D24" s="7"/>
      <c r="E24" s="7"/>
      <c r="F24" s="6"/>
      <c r="G24" s="7"/>
      <c r="H24" s="7"/>
      <c r="J24" s="6"/>
      <c r="K24" s="7"/>
      <c r="L24" s="6"/>
      <c r="M24" s="8"/>
    </row>
    <row r="25" spans="1:13" ht="15.75">
      <c r="A25" s="7"/>
      <c r="B25" s="13">
        <v>1</v>
      </c>
      <c r="C25" s="7" t="s">
        <v>55</v>
      </c>
      <c r="D25" s="7"/>
      <c r="E25" s="7"/>
      <c r="F25" s="6"/>
      <c r="G25" s="7"/>
      <c r="H25" s="39" t="s">
        <v>57</v>
      </c>
      <c r="I25" s="6"/>
      <c r="J25" s="32" t="s">
        <v>40</v>
      </c>
      <c r="K25" s="32" t="s">
        <v>41</v>
      </c>
      <c r="L25" s="34" t="s">
        <v>19</v>
      </c>
      <c r="M25" s="8"/>
    </row>
    <row r="26" spans="1:13" ht="15.75">
      <c r="A26" s="7"/>
      <c r="B26" s="13">
        <v>2</v>
      </c>
      <c r="C26" s="7" t="s">
        <v>56</v>
      </c>
      <c r="D26" s="7"/>
      <c r="E26" s="7"/>
      <c r="F26" s="6"/>
      <c r="G26" s="7"/>
      <c r="H26" s="39" t="s">
        <v>57</v>
      </c>
      <c r="I26" s="6"/>
      <c r="J26" s="33" t="s">
        <v>42</v>
      </c>
      <c r="K26" s="33" t="s">
        <v>3</v>
      </c>
      <c r="L26" s="35" t="s">
        <v>43</v>
      </c>
      <c r="M26" s="8"/>
    </row>
    <row r="27" spans="1:13" ht="15.75">
      <c r="A27" s="7"/>
      <c r="B27" s="13">
        <v>3</v>
      </c>
      <c r="C27" s="7" t="s">
        <v>103</v>
      </c>
      <c r="D27" s="7"/>
      <c r="E27" s="7"/>
      <c r="F27" s="6"/>
      <c r="G27" s="7"/>
      <c r="H27" s="7"/>
      <c r="I27" s="6"/>
      <c r="J27" s="33" t="s">
        <v>44</v>
      </c>
      <c r="K27" s="33" t="s">
        <v>45</v>
      </c>
      <c r="L27" s="35" t="s">
        <v>46</v>
      </c>
      <c r="M27" s="8"/>
    </row>
    <row r="28" spans="1:13" ht="15.75">
      <c r="A28" s="7"/>
      <c r="B28" s="13">
        <v>4</v>
      </c>
      <c r="C28" s="7" t="s">
        <v>104</v>
      </c>
      <c r="D28" s="7"/>
      <c r="E28" s="7"/>
      <c r="F28" s="6"/>
      <c r="G28" s="7"/>
      <c r="H28" s="7" t="s">
        <v>102</v>
      </c>
      <c r="I28" s="6"/>
      <c r="J28" s="33" t="s">
        <v>47</v>
      </c>
      <c r="K28" s="33" t="s">
        <v>51</v>
      </c>
      <c r="L28" s="35" t="s">
        <v>48</v>
      </c>
      <c r="M28" s="8"/>
    </row>
    <row r="29" spans="1:13" ht="15.75">
      <c r="A29" s="7"/>
      <c r="B29" s="13"/>
      <c r="C29" s="12" t="s">
        <v>58</v>
      </c>
      <c r="D29" s="7"/>
      <c r="E29" s="7"/>
      <c r="F29" s="6"/>
      <c r="G29" s="7"/>
      <c r="H29" s="39"/>
      <c r="I29" s="6"/>
      <c r="J29" s="33" t="s">
        <v>49</v>
      </c>
      <c r="K29" s="33" t="s">
        <v>5</v>
      </c>
      <c r="L29" s="35" t="s">
        <v>50</v>
      </c>
      <c r="M29" s="8"/>
    </row>
    <row r="30" spans="1:13" ht="15.75">
      <c r="A30" s="7"/>
      <c r="B30" s="13">
        <v>5</v>
      </c>
      <c r="C30" s="7" t="s">
        <v>105</v>
      </c>
      <c r="D30" s="7"/>
      <c r="E30" s="7"/>
      <c r="F30" s="6"/>
      <c r="G30" s="7"/>
      <c r="H30" s="7"/>
      <c r="I30" s="6"/>
      <c r="J30" s="33" t="s">
        <v>52</v>
      </c>
      <c r="K30" s="33" t="s">
        <v>7</v>
      </c>
      <c r="L30" s="35" t="s">
        <v>53</v>
      </c>
      <c r="M30" s="8"/>
    </row>
    <row r="31" spans="1:13" ht="15.75">
      <c r="A31" s="7"/>
      <c r="B31" s="13">
        <v>6</v>
      </c>
      <c r="C31" s="7" t="s">
        <v>106</v>
      </c>
      <c r="D31" s="7"/>
      <c r="E31" s="7"/>
      <c r="F31" s="6"/>
      <c r="G31" s="7"/>
      <c r="H31" s="39" t="s">
        <v>57</v>
      </c>
      <c r="I31" s="6"/>
      <c r="J31" s="6"/>
      <c r="K31" s="6"/>
      <c r="L31" s="6"/>
      <c r="M31" s="8"/>
    </row>
    <row r="32" spans="1:13" ht="16.5" thickBot="1">
      <c r="A32" s="7"/>
      <c r="B32" s="13">
        <v>7</v>
      </c>
      <c r="C32" s="7" t="s">
        <v>107</v>
      </c>
      <c r="D32" s="7"/>
      <c r="E32" s="7"/>
      <c r="F32" s="6"/>
      <c r="G32" s="7"/>
      <c r="H32" s="7"/>
      <c r="I32" s="6"/>
      <c r="J32" s="6"/>
      <c r="K32" s="7"/>
      <c r="L32" s="6"/>
      <c r="M32" s="8"/>
    </row>
    <row r="33" spans="1:13" ht="15.75">
      <c r="A33" s="7"/>
      <c r="B33" s="13"/>
      <c r="C33" s="12" t="s">
        <v>126</v>
      </c>
      <c r="D33" s="7"/>
      <c r="E33" s="7"/>
      <c r="F33" s="6"/>
      <c r="G33" s="7"/>
      <c r="H33" s="39" t="s">
        <v>57</v>
      </c>
      <c r="I33" s="6"/>
      <c r="J33" s="15" t="s">
        <v>4</v>
      </c>
      <c r="K33" s="50" t="s">
        <v>6</v>
      </c>
      <c r="L33" s="6"/>
      <c r="M33" s="8"/>
    </row>
    <row r="34" spans="1:13" ht="15.75">
      <c r="A34" s="7"/>
      <c r="B34" s="13">
        <v>8</v>
      </c>
      <c r="C34" s="7" t="s">
        <v>108</v>
      </c>
      <c r="D34" s="7"/>
      <c r="E34" s="7"/>
      <c r="F34" s="6"/>
      <c r="G34" s="7"/>
      <c r="H34" s="7"/>
      <c r="I34" s="6"/>
      <c r="J34" s="48">
        <v>0.5</v>
      </c>
      <c r="K34" s="51">
        <v>35000</v>
      </c>
      <c r="L34" s="6"/>
      <c r="M34" s="8"/>
    </row>
    <row r="35" spans="1:13" ht="15.75">
      <c r="A35" s="7"/>
      <c r="B35" s="13">
        <v>9</v>
      </c>
      <c r="C35" s="7" t="s">
        <v>109</v>
      </c>
      <c r="D35" s="7"/>
      <c r="E35" s="7"/>
      <c r="F35" s="6"/>
      <c r="G35" s="7"/>
      <c r="H35" s="7"/>
      <c r="I35" s="6"/>
      <c r="J35" s="48">
        <v>0.58333333333333337</v>
      </c>
      <c r="K35" s="51">
        <v>37000</v>
      </c>
      <c r="L35" s="6"/>
      <c r="M35" s="8"/>
    </row>
    <row r="36" spans="1:13" ht="15.75">
      <c r="A36" s="7"/>
      <c r="B36" s="13">
        <v>10</v>
      </c>
      <c r="C36" s="7" t="s">
        <v>110</v>
      </c>
      <c r="D36" s="7"/>
      <c r="E36" s="7"/>
      <c r="F36" s="6"/>
      <c r="G36" s="7"/>
      <c r="H36" s="7"/>
      <c r="I36" s="6"/>
      <c r="J36" s="48">
        <v>0.66666666666666663</v>
      </c>
      <c r="K36" s="51">
        <v>34000</v>
      </c>
      <c r="L36" s="6"/>
      <c r="M36" s="8"/>
    </row>
    <row r="37" spans="1:13" ht="16.5" thickBot="1">
      <c r="A37" s="7"/>
      <c r="B37" s="14"/>
      <c r="C37" s="43"/>
      <c r="D37" s="43"/>
      <c r="E37" s="43"/>
      <c r="F37" s="43"/>
      <c r="G37" s="7"/>
      <c r="H37" s="7"/>
      <c r="I37" s="6"/>
      <c r="J37" s="48">
        <v>0.75</v>
      </c>
      <c r="K37" s="51">
        <v>45000</v>
      </c>
      <c r="L37" s="6"/>
      <c r="M37" s="8"/>
    </row>
    <row r="38" spans="1:13" ht="16.5" thickBot="1">
      <c r="A38" s="7"/>
      <c r="B38" s="7"/>
      <c r="C38" s="15" t="s">
        <v>62</v>
      </c>
      <c r="D38" s="16" t="s">
        <v>60</v>
      </c>
      <c r="E38" s="17" t="s">
        <v>61</v>
      </c>
      <c r="F38" s="18" t="s">
        <v>50</v>
      </c>
      <c r="G38" s="6"/>
      <c r="H38" s="6"/>
      <c r="I38" s="6"/>
      <c r="J38" s="49">
        <v>0.875</v>
      </c>
      <c r="K38" s="52">
        <v>55000</v>
      </c>
      <c r="L38" s="6"/>
      <c r="M38" s="8"/>
    </row>
    <row r="39" spans="1:13" ht="15.75">
      <c r="A39" s="7"/>
      <c r="B39" s="7"/>
      <c r="C39" s="19" t="s">
        <v>5</v>
      </c>
      <c r="D39" s="40" t="s">
        <v>63</v>
      </c>
      <c r="E39" s="41" t="s">
        <v>64</v>
      </c>
      <c r="F39" s="42" t="s">
        <v>65</v>
      </c>
      <c r="G39" s="7"/>
      <c r="H39" s="6"/>
      <c r="I39" s="6"/>
      <c r="L39" s="6"/>
      <c r="M39" s="8"/>
    </row>
    <row r="40" spans="1:13" ht="16.5" thickBot="1">
      <c r="A40" s="7"/>
      <c r="B40" s="7"/>
      <c r="C40" s="44" t="s">
        <v>66</v>
      </c>
      <c r="D40" s="45">
        <v>0.02</v>
      </c>
      <c r="E40" s="46">
        <v>0.08</v>
      </c>
      <c r="F40" s="47">
        <v>0.12</v>
      </c>
      <c r="G40" s="7"/>
      <c r="H40" s="7"/>
      <c r="I40" s="6"/>
      <c r="J40" s="6"/>
      <c r="K40" s="7"/>
      <c r="L40" s="6"/>
      <c r="M40" s="8"/>
    </row>
    <row r="41" spans="1:13" ht="15.75">
      <c r="A41" s="7"/>
      <c r="B41" s="7"/>
      <c r="C41" s="7"/>
      <c r="D41" s="7"/>
      <c r="E41" s="7"/>
      <c r="F41" s="7"/>
      <c r="G41" s="7"/>
      <c r="H41" s="7"/>
      <c r="I41" s="6"/>
      <c r="J41" s="6"/>
      <c r="K41" s="7"/>
      <c r="L41" s="6"/>
      <c r="M41" s="8"/>
    </row>
    <row r="42" spans="1:13" ht="15.75">
      <c r="A42" s="7"/>
      <c r="B42" s="7"/>
      <c r="C42" s="20" t="s">
        <v>17</v>
      </c>
      <c r="D42" s="7"/>
      <c r="E42" s="7"/>
      <c r="F42" s="6"/>
      <c r="G42" s="7"/>
      <c r="H42" s="7"/>
      <c r="I42" s="6"/>
      <c r="J42" s="6"/>
      <c r="K42" s="7"/>
      <c r="L42" s="6"/>
      <c r="M42" s="8"/>
    </row>
    <row r="43" spans="1:13" ht="15.75">
      <c r="A43" s="7"/>
      <c r="B43" s="7"/>
      <c r="C43" s="20" t="s">
        <v>18</v>
      </c>
      <c r="D43" s="7"/>
      <c r="E43" s="6"/>
      <c r="F43" s="6"/>
      <c r="G43" s="7"/>
      <c r="H43" s="7"/>
      <c r="I43" s="6"/>
      <c r="J43" s="6"/>
      <c r="K43" s="7"/>
      <c r="L43" s="6"/>
      <c r="M43" s="8"/>
    </row>
    <row r="44" spans="1:13" ht="15.75">
      <c r="A44" s="7"/>
      <c r="B44" s="7"/>
      <c r="C44" s="7"/>
      <c r="E44" s="6"/>
      <c r="F44" s="6"/>
      <c r="G44" s="7"/>
      <c r="H44" s="7"/>
      <c r="I44" s="6"/>
      <c r="J44" s="6"/>
      <c r="K44" s="7"/>
      <c r="L44" s="6"/>
      <c r="M44" s="8"/>
    </row>
    <row r="45" spans="1:13" ht="15.75">
      <c r="A45" s="7"/>
      <c r="B45" s="7"/>
      <c r="C45" s="20"/>
      <c r="D45" s="6"/>
      <c r="E45" s="6"/>
      <c r="F45" s="6"/>
      <c r="G45" s="7"/>
      <c r="H45" s="7"/>
      <c r="I45" s="6"/>
      <c r="J45" s="6"/>
      <c r="K45" s="7"/>
      <c r="L45" s="6"/>
      <c r="M45" s="8"/>
    </row>
    <row r="46" spans="1:13" ht="23.25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1"/>
    </row>
    <row r="47" spans="1:13" ht="15.75">
      <c r="A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3" ht="20.25">
      <c r="A48" s="21"/>
      <c r="B48" s="83" t="s">
        <v>54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</row>
    <row r="51" spans="1:18" ht="15.75" thickBot="1"/>
    <row r="52" spans="1:18" ht="15.75">
      <c r="D52" s="22">
        <v>1</v>
      </c>
      <c r="F52" s="22">
        <v>2</v>
      </c>
      <c r="G52" s="22">
        <v>3</v>
      </c>
      <c r="H52" s="22">
        <v>4</v>
      </c>
      <c r="I52" s="22">
        <v>5</v>
      </c>
      <c r="J52" s="22">
        <v>6</v>
      </c>
      <c r="K52" s="22">
        <v>7</v>
      </c>
      <c r="L52" s="22">
        <v>8</v>
      </c>
      <c r="M52" s="22">
        <v>9</v>
      </c>
      <c r="N52" s="22">
        <v>10</v>
      </c>
    </row>
    <row r="53" spans="1:18" ht="23.45" customHeight="1">
      <c r="A53" s="23" t="s">
        <v>0</v>
      </c>
      <c r="B53" s="23" t="s">
        <v>1</v>
      </c>
      <c r="C53" s="24" t="s">
        <v>2</v>
      </c>
      <c r="D53" s="24" t="s">
        <v>3</v>
      </c>
      <c r="E53" s="24" t="s">
        <v>4</v>
      </c>
      <c r="F53" s="24" t="s">
        <v>20</v>
      </c>
      <c r="G53" s="24" t="s">
        <v>5</v>
      </c>
      <c r="H53" s="24" t="s">
        <v>10</v>
      </c>
      <c r="I53" s="24" t="s">
        <v>11</v>
      </c>
      <c r="J53" s="24" t="s">
        <v>6</v>
      </c>
      <c r="K53" s="24" t="s">
        <v>7</v>
      </c>
      <c r="L53" s="24" t="s">
        <v>8</v>
      </c>
      <c r="M53" s="24" t="s">
        <v>9</v>
      </c>
      <c r="N53" s="24" t="s">
        <v>45</v>
      </c>
    </row>
    <row r="54" spans="1:18" ht="19.899999999999999" customHeight="1">
      <c r="A54" s="61" t="s">
        <v>19</v>
      </c>
      <c r="B54" s="53" t="s">
        <v>96</v>
      </c>
      <c r="C54" s="26" t="s">
        <v>21</v>
      </c>
      <c r="D54" s="37" t="s">
        <v>99</v>
      </c>
      <c r="E54" s="29" t="s">
        <v>37</v>
      </c>
      <c r="F54" s="37">
        <v>85.000000000000014</v>
      </c>
      <c r="G54" s="55" t="s">
        <v>63</v>
      </c>
      <c r="H54" s="37">
        <v>1</v>
      </c>
      <c r="I54" s="62" t="s">
        <v>100</v>
      </c>
      <c r="J54" s="58">
        <v>35000</v>
      </c>
      <c r="K54" s="37">
        <v>107</v>
      </c>
      <c r="L54" s="57">
        <v>0.02</v>
      </c>
      <c r="M54" s="59">
        <v>3670100</v>
      </c>
      <c r="N54" s="30" t="s">
        <v>101</v>
      </c>
      <c r="P54" s="60"/>
      <c r="Q54" s="60"/>
      <c r="R54" s="60"/>
    </row>
    <row r="55" spans="1:18" ht="4.9000000000000004" customHeight="1">
      <c r="A55" s="27"/>
      <c r="B55" s="54"/>
      <c r="C55" s="28"/>
      <c r="D55" s="38"/>
      <c r="E55" s="28"/>
      <c r="F55" s="38"/>
      <c r="G55" s="56"/>
      <c r="H55" s="38"/>
      <c r="I55" s="63"/>
      <c r="J55" s="28"/>
      <c r="K55" s="38"/>
      <c r="L55" s="28"/>
      <c r="M55" s="28"/>
      <c r="N55" s="28"/>
    </row>
    <row r="56" spans="1:18" ht="19.899999999999999" customHeight="1">
      <c r="A56" s="25">
        <v>1</v>
      </c>
      <c r="B56" s="53" t="s">
        <v>68</v>
      </c>
      <c r="C56" s="26" t="s">
        <v>22</v>
      </c>
      <c r="D56" s="37" t="str">
        <f>"Studio "&amp;MID(B56,2,1)</f>
        <v>Studio 1</v>
      </c>
      <c r="E56" s="29" t="s">
        <v>38</v>
      </c>
      <c r="F56" s="37">
        <f>TIMEVALUE(RIGHT(E56,5))*1440-LEFT(E56,5)*1440</f>
        <v>125.00000000000011</v>
      </c>
      <c r="G56" s="55" t="str">
        <f>HLOOKUP(MID(B56,9,1),$D$38:$F$40,2,0)</f>
        <v>VIP</v>
      </c>
      <c r="H56" s="37">
        <f>(CODE(MID(B56,7,1))-65)*10+MID(B56,6,1)</f>
        <v>51</v>
      </c>
      <c r="I56" s="62" t="str">
        <f>IF(MID(B56,6,1)&lt;"6","Kanan","Kiri")</f>
        <v>Kanan</v>
      </c>
      <c r="J56" s="58">
        <f>VLOOKUP(TIMEVALUE(LEFT(E56,5)),$J$34:$K$38,2,TRUE)</f>
        <v>37000</v>
      </c>
      <c r="K56" s="37">
        <f>_xlfn.ARABIC(MID(B56,11,10))</f>
        <v>105</v>
      </c>
      <c r="L56" s="57">
        <f>HLOOKUP(MID(B56,9,1),$D$38:$F$40,3,0)</f>
        <v>0.12</v>
      </c>
      <c r="M56" s="59">
        <f>J56*K56-(J56*K56*L56)</f>
        <v>3418800</v>
      </c>
      <c r="N56" s="30" t="str" cm="1">
        <f t="array" ref="N56">_xlfn.SWITCH(MID(B56,4,1),"M","M-tix","C","CGV Apps","T","Tunai")</f>
        <v>M-tix</v>
      </c>
    </row>
    <row r="57" spans="1:18" ht="19.899999999999999" customHeight="1">
      <c r="A57" s="25">
        <v>2</v>
      </c>
      <c r="B57" s="53" t="s">
        <v>69</v>
      </c>
      <c r="C57" s="26" t="s">
        <v>23</v>
      </c>
      <c r="D57" s="37" t="str">
        <f t="shared" ref="D57:D70" si="0">"Studio "&amp;MID(B57,2,1)</f>
        <v>Studio 2</v>
      </c>
      <c r="E57" s="29" t="s">
        <v>67</v>
      </c>
      <c r="F57" s="37">
        <f t="shared" ref="F57:F70" si="1">TIMEVALUE(RIGHT(E57,5))*1440-LEFT(E57,5)*1440</f>
        <v>59</v>
      </c>
      <c r="G57" s="55" t="str">
        <f t="shared" ref="G57:G70" si="2">HLOOKUP(MID(B57,9,1),$D$38:$F$40,2,0)</f>
        <v>Reguler</v>
      </c>
      <c r="H57" s="37">
        <f t="shared" ref="H57:H70" si="3">(CODE(MID(B57,7,1))-65)*10+MID(B57,6,1)</f>
        <v>12</v>
      </c>
      <c r="I57" s="62" t="str">
        <f t="shared" ref="I57:I70" si="4">IF(MID(B57,6,1)&lt;"6","Kanan","Kiri")</f>
        <v>Kanan</v>
      </c>
      <c r="J57" s="58">
        <f t="shared" ref="J57:J70" si="5">VLOOKUP(TIMEVALUE(LEFT(E57,5)),$J$34:$K$38,2,TRUE)</f>
        <v>34000</v>
      </c>
      <c r="K57" s="37">
        <f t="shared" ref="K57:K70" si="6">_xlfn.ARABIC(MID(B57,11,10))</f>
        <v>58</v>
      </c>
      <c r="L57" s="57">
        <f t="shared" ref="L57:L70" si="7">HLOOKUP(MID(B57,9,1),$D$38:$F$40,3,0)</f>
        <v>0.02</v>
      </c>
      <c r="M57" s="59">
        <f t="shared" ref="M57:M70" si="8">J57*K57-(J57*K57*L57)</f>
        <v>1932560</v>
      </c>
      <c r="N57" s="30" t="str" cm="1">
        <f t="array" ref="N57">_xlfn.SWITCH(MID(B57,4,1),"M","M-tix","C","CGV Apps","T","Tunai")</f>
        <v>CGV Apps</v>
      </c>
    </row>
    <row r="58" spans="1:18" ht="19.899999999999999" customHeight="1">
      <c r="A58" s="25">
        <v>3</v>
      </c>
      <c r="B58" s="53" t="s">
        <v>78</v>
      </c>
      <c r="C58" s="26" t="s">
        <v>24</v>
      </c>
      <c r="D58" s="37" t="str">
        <f t="shared" si="0"/>
        <v>Studio 2</v>
      </c>
      <c r="E58" s="29" t="s">
        <v>83</v>
      </c>
      <c r="F58" s="37">
        <f t="shared" si="1"/>
        <v>75</v>
      </c>
      <c r="G58" s="55" t="str">
        <f t="shared" si="2"/>
        <v>Couple</v>
      </c>
      <c r="H58" s="37">
        <f t="shared" si="3"/>
        <v>47</v>
      </c>
      <c r="I58" s="62" t="str">
        <f t="shared" si="4"/>
        <v>Kiri</v>
      </c>
      <c r="J58" s="58">
        <f t="shared" si="5"/>
        <v>34000</v>
      </c>
      <c r="K58" s="37">
        <f t="shared" si="6"/>
        <v>96</v>
      </c>
      <c r="L58" s="57">
        <f t="shared" si="7"/>
        <v>0.08</v>
      </c>
      <c r="M58" s="59">
        <f t="shared" si="8"/>
        <v>3002880</v>
      </c>
      <c r="N58" s="30" t="str" cm="1">
        <f t="array" ref="N58">_xlfn.SWITCH(MID(B58,4,1),"M","M-tix","C","CGV Apps","T","Tunai")</f>
        <v>Tunai</v>
      </c>
    </row>
    <row r="59" spans="1:18" ht="19.899999999999999" customHeight="1">
      <c r="A59" s="25">
        <v>4</v>
      </c>
      <c r="B59" s="53" t="s">
        <v>70</v>
      </c>
      <c r="C59" s="26" t="s">
        <v>25</v>
      </c>
      <c r="D59" s="37" t="str">
        <f t="shared" si="0"/>
        <v>Studio 3</v>
      </c>
      <c r="E59" s="29" t="s">
        <v>84</v>
      </c>
      <c r="F59" s="37">
        <f t="shared" si="1"/>
        <v>87</v>
      </c>
      <c r="G59" s="55" t="str">
        <f t="shared" si="2"/>
        <v>Reguler</v>
      </c>
      <c r="H59" s="37">
        <f t="shared" si="3"/>
        <v>3</v>
      </c>
      <c r="I59" s="62" t="str">
        <f t="shared" si="4"/>
        <v>Kanan</v>
      </c>
      <c r="J59" s="58">
        <f t="shared" si="5"/>
        <v>37000</v>
      </c>
      <c r="K59" s="37">
        <f t="shared" si="6"/>
        <v>78</v>
      </c>
      <c r="L59" s="57">
        <f t="shared" si="7"/>
        <v>0.02</v>
      </c>
      <c r="M59" s="59">
        <f t="shared" si="8"/>
        <v>2828280</v>
      </c>
      <c r="N59" s="30" t="str" cm="1">
        <f t="array" ref="N59">_xlfn.SWITCH(MID(B59,4,1),"M","M-tix","C","CGV Apps","T","Tunai")</f>
        <v>M-tix</v>
      </c>
    </row>
    <row r="60" spans="1:18" ht="19.899999999999999" customHeight="1">
      <c r="A60" s="25">
        <v>5</v>
      </c>
      <c r="B60" s="53" t="s">
        <v>79</v>
      </c>
      <c r="C60" s="26" t="s">
        <v>26</v>
      </c>
      <c r="D60" s="37" t="str">
        <f t="shared" si="0"/>
        <v>Studio 3</v>
      </c>
      <c r="E60" s="29" t="s">
        <v>85</v>
      </c>
      <c r="F60" s="37">
        <f t="shared" si="1"/>
        <v>65</v>
      </c>
      <c r="G60" s="55" t="str">
        <f t="shared" si="2"/>
        <v>VIP</v>
      </c>
      <c r="H60" s="37">
        <f t="shared" si="3"/>
        <v>38</v>
      </c>
      <c r="I60" s="62" t="str">
        <f t="shared" si="4"/>
        <v>Kiri</v>
      </c>
      <c r="J60" s="58">
        <f t="shared" si="5"/>
        <v>55000</v>
      </c>
      <c r="K60" s="37">
        <f t="shared" si="6"/>
        <v>87</v>
      </c>
      <c r="L60" s="57">
        <f t="shared" si="7"/>
        <v>0.12</v>
      </c>
      <c r="M60" s="59">
        <f t="shared" si="8"/>
        <v>4210800</v>
      </c>
      <c r="N60" s="30" t="str" cm="1">
        <f t="array" ref="N60">_xlfn.SWITCH(MID(B60,4,1),"M","M-tix","C","CGV Apps","T","Tunai")</f>
        <v>CGV Apps</v>
      </c>
    </row>
    <row r="61" spans="1:18" ht="19.899999999999999" customHeight="1">
      <c r="A61" s="25">
        <v>6</v>
      </c>
      <c r="B61" s="53" t="s">
        <v>71</v>
      </c>
      <c r="C61" s="26" t="s">
        <v>35</v>
      </c>
      <c r="D61" s="37" t="str">
        <f t="shared" si="0"/>
        <v>Studio 4</v>
      </c>
      <c r="E61" s="29" t="s">
        <v>86</v>
      </c>
      <c r="F61" s="37">
        <f t="shared" si="1"/>
        <v>70</v>
      </c>
      <c r="G61" s="55" t="str">
        <f t="shared" si="2"/>
        <v>Reguler</v>
      </c>
      <c r="H61" s="37">
        <f t="shared" si="3"/>
        <v>24</v>
      </c>
      <c r="I61" s="62" t="str">
        <f t="shared" si="4"/>
        <v>Kanan</v>
      </c>
      <c r="J61" s="58">
        <f t="shared" si="5"/>
        <v>35000</v>
      </c>
      <c r="K61" s="37">
        <f t="shared" si="6"/>
        <v>74</v>
      </c>
      <c r="L61" s="57">
        <f t="shared" si="7"/>
        <v>0.02</v>
      </c>
      <c r="M61" s="59">
        <f t="shared" si="8"/>
        <v>2538200</v>
      </c>
      <c r="N61" s="30" t="str" cm="1">
        <f t="array" ref="N61">_xlfn.SWITCH(MID(B61,4,1),"M","M-tix","C","CGV Apps","T","Tunai")</f>
        <v>Tunai</v>
      </c>
    </row>
    <row r="62" spans="1:18" ht="19.899999999999999" customHeight="1">
      <c r="A62" s="25">
        <v>7</v>
      </c>
      <c r="B62" s="53" t="s">
        <v>80</v>
      </c>
      <c r="C62" s="26" t="s">
        <v>33</v>
      </c>
      <c r="D62" s="37" t="str">
        <f t="shared" si="0"/>
        <v>Studio 4</v>
      </c>
      <c r="E62" s="29" t="s">
        <v>87</v>
      </c>
      <c r="F62" s="37">
        <f t="shared" si="1"/>
        <v>94</v>
      </c>
      <c r="G62" s="55" t="str">
        <f t="shared" si="2"/>
        <v>Couple</v>
      </c>
      <c r="H62" s="37">
        <f t="shared" si="3"/>
        <v>56</v>
      </c>
      <c r="I62" s="62" t="str">
        <f t="shared" si="4"/>
        <v>Kiri</v>
      </c>
      <c r="J62" s="58">
        <f t="shared" si="5"/>
        <v>45000</v>
      </c>
      <c r="K62" s="37">
        <f t="shared" si="6"/>
        <v>51</v>
      </c>
      <c r="L62" s="57">
        <f t="shared" si="7"/>
        <v>0.08</v>
      </c>
      <c r="M62" s="59">
        <f t="shared" si="8"/>
        <v>2111400</v>
      </c>
      <c r="N62" s="30" t="str" cm="1">
        <f t="array" ref="N62">_xlfn.SWITCH(MID(B62,4,1),"M","M-tix","C","CGV Apps","T","Tunai")</f>
        <v>M-tix</v>
      </c>
    </row>
    <row r="63" spans="1:18" ht="19.899999999999999" customHeight="1">
      <c r="A63" s="25">
        <v>8</v>
      </c>
      <c r="B63" s="53" t="s">
        <v>72</v>
      </c>
      <c r="C63" s="26" t="s">
        <v>34</v>
      </c>
      <c r="D63" s="37" t="str">
        <f t="shared" si="0"/>
        <v>Studio 1</v>
      </c>
      <c r="E63" s="29" t="s">
        <v>88</v>
      </c>
      <c r="F63" s="37">
        <f t="shared" si="1"/>
        <v>104</v>
      </c>
      <c r="G63" s="55" t="str">
        <f t="shared" si="2"/>
        <v>VIP</v>
      </c>
      <c r="H63" s="37">
        <f t="shared" si="3"/>
        <v>5</v>
      </c>
      <c r="I63" s="62" t="str">
        <f t="shared" si="4"/>
        <v>Kanan</v>
      </c>
      <c r="J63" s="58">
        <f t="shared" si="5"/>
        <v>55000</v>
      </c>
      <c r="K63" s="37">
        <f t="shared" si="6"/>
        <v>89</v>
      </c>
      <c r="L63" s="57">
        <f t="shared" si="7"/>
        <v>0.12</v>
      </c>
      <c r="M63" s="59">
        <f t="shared" si="8"/>
        <v>4307600</v>
      </c>
      <c r="N63" s="30" t="str" cm="1">
        <f t="array" ref="N63">_xlfn.SWITCH(MID(B63,4,1),"M","M-tix","C","CGV Apps","T","Tunai")</f>
        <v>CGV Apps</v>
      </c>
    </row>
    <row r="64" spans="1:18" ht="19.899999999999999" customHeight="1">
      <c r="A64" s="25">
        <v>9</v>
      </c>
      <c r="B64" s="53" t="s">
        <v>73</v>
      </c>
      <c r="C64" s="26" t="s">
        <v>32</v>
      </c>
      <c r="D64" s="37" t="str">
        <f t="shared" si="0"/>
        <v>Studio 2</v>
      </c>
      <c r="E64" s="29" t="s">
        <v>89</v>
      </c>
      <c r="F64" s="37">
        <f t="shared" si="1"/>
        <v>115</v>
      </c>
      <c r="G64" s="55" t="str">
        <f t="shared" si="2"/>
        <v>Reguler</v>
      </c>
      <c r="H64" s="37">
        <f t="shared" si="3"/>
        <v>45</v>
      </c>
      <c r="I64" s="62" t="str">
        <f t="shared" si="4"/>
        <v>Kanan</v>
      </c>
      <c r="J64" s="58">
        <f t="shared" si="5"/>
        <v>45000</v>
      </c>
      <c r="K64" s="37">
        <f t="shared" si="6"/>
        <v>87</v>
      </c>
      <c r="L64" s="57">
        <f t="shared" si="7"/>
        <v>0.02</v>
      </c>
      <c r="M64" s="59">
        <f t="shared" si="8"/>
        <v>3836700</v>
      </c>
      <c r="N64" s="30" t="str" cm="1">
        <f t="array" ref="N64">_xlfn.SWITCH(MID(B64,4,1),"M","M-tix","C","CGV Apps","T","Tunai")</f>
        <v>Tunai</v>
      </c>
    </row>
    <row r="65" spans="1:14" ht="19.899999999999999" customHeight="1">
      <c r="A65" s="25">
        <v>10</v>
      </c>
      <c r="B65" s="53" t="s">
        <v>74</v>
      </c>
      <c r="C65" s="26" t="s">
        <v>36</v>
      </c>
      <c r="D65" s="37" t="str">
        <f t="shared" si="0"/>
        <v>Studio 3</v>
      </c>
      <c r="E65" s="29" t="s">
        <v>90</v>
      </c>
      <c r="F65" s="37">
        <f t="shared" si="1"/>
        <v>135</v>
      </c>
      <c r="G65" s="55" t="str">
        <f t="shared" si="2"/>
        <v>Couple</v>
      </c>
      <c r="H65" s="37">
        <f t="shared" si="3"/>
        <v>16</v>
      </c>
      <c r="I65" s="62" t="str">
        <f t="shared" si="4"/>
        <v>Kiri</v>
      </c>
      <c r="J65" s="58">
        <f t="shared" si="5"/>
        <v>37000</v>
      </c>
      <c r="K65" s="37">
        <f t="shared" si="6"/>
        <v>92</v>
      </c>
      <c r="L65" s="57">
        <f t="shared" si="7"/>
        <v>0.08</v>
      </c>
      <c r="M65" s="59">
        <f t="shared" si="8"/>
        <v>3131680</v>
      </c>
      <c r="N65" s="30" t="str" cm="1">
        <f t="array" ref="N65">_xlfn.SWITCH(MID(B65,4,1),"M","M-tix","C","CGV Apps","T","Tunai")</f>
        <v>M-tix</v>
      </c>
    </row>
    <row r="66" spans="1:14" ht="19.899999999999999" customHeight="1">
      <c r="A66" s="25">
        <v>11</v>
      </c>
      <c r="B66" s="53" t="s">
        <v>75</v>
      </c>
      <c r="C66" s="26" t="s">
        <v>27</v>
      </c>
      <c r="D66" s="37" t="str">
        <f t="shared" si="0"/>
        <v>Studio 4</v>
      </c>
      <c r="E66" s="29" t="s">
        <v>91</v>
      </c>
      <c r="F66" s="37">
        <f t="shared" si="1"/>
        <v>110</v>
      </c>
      <c r="G66" s="55" t="str">
        <f t="shared" si="2"/>
        <v>VIP</v>
      </c>
      <c r="H66" s="37">
        <f t="shared" si="3"/>
        <v>56</v>
      </c>
      <c r="I66" s="62" t="str">
        <f t="shared" si="4"/>
        <v>Kiri</v>
      </c>
      <c r="J66" s="58">
        <f t="shared" si="5"/>
        <v>34000</v>
      </c>
      <c r="K66" s="37">
        <f t="shared" si="6"/>
        <v>101</v>
      </c>
      <c r="L66" s="57">
        <f t="shared" si="7"/>
        <v>0.12</v>
      </c>
      <c r="M66" s="59">
        <f t="shared" si="8"/>
        <v>3021920</v>
      </c>
      <c r="N66" s="30" t="str" cm="1">
        <f t="array" ref="N66">_xlfn.SWITCH(MID(B66,4,1),"M","M-tix","C","CGV Apps","T","Tunai")</f>
        <v>CGV Apps</v>
      </c>
    </row>
    <row r="67" spans="1:14" ht="19.899999999999999" customHeight="1">
      <c r="A67" s="25">
        <v>12</v>
      </c>
      <c r="B67" s="53" t="s">
        <v>76</v>
      </c>
      <c r="C67" s="26" t="s">
        <v>28</v>
      </c>
      <c r="D67" s="37" t="str">
        <f t="shared" si="0"/>
        <v>Studio 1</v>
      </c>
      <c r="E67" s="29" t="s">
        <v>92</v>
      </c>
      <c r="F67" s="37">
        <f t="shared" si="1"/>
        <v>128</v>
      </c>
      <c r="G67" s="55" t="str">
        <f t="shared" si="2"/>
        <v>Reguler</v>
      </c>
      <c r="H67" s="37">
        <f t="shared" si="3"/>
        <v>27</v>
      </c>
      <c r="I67" s="62" t="str">
        <f t="shared" si="4"/>
        <v>Kiri</v>
      </c>
      <c r="J67" s="58">
        <f t="shared" si="5"/>
        <v>35000</v>
      </c>
      <c r="K67" s="37">
        <f t="shared" si="6"/>
        <v>54</v>
      </c>
      <c r="L67" s="57">
        <f t="shared" si="7"/>
        <v>0.02</v>
      </c>
      <c r="M67" s="59">
        <f t="shared" si="8"/>
        <v>1852200</v>
      </c>
      <c r="N67" s="30" t="str" cm="1">
        <f t="array" ref="N67">_xlfn.SWITCH(MID(B67,4,1),"M","M-tix","C","CGV Apps","T","Tunai")</f>
        <v>Tunai</v>
      </c>
    </row>
    <row r="68" spans="1:14" ht="19.899999999999999" customHeight="1">
      <c r="A68" s="25">
        <v>13</v>
      </c>
      <c r="B68" s="53" t="s">
        <v>81</v>
      </c>
      <c r="C68" s="26" t="s">
        <v>29</v>
      </c>
      <c r="D68" s="37" t="str">
        <f t="shared" si="0"/>
        <v>Studio 2</v>
      </c>
      <c r="E68" s="29" t="s">
        <v>93</v>
      </c>
      <c r="F68" s="37">
        <f t="shared" si="1"/>
        <v>106</v>
      </c>
      <c r="G68" s="55" t="str">
        <f t="shared" si="2"/>
        <v>VIP</v>
      </c>
      <c r="H68" s="37">
        <f t="shared" si="3"/>
        <v>32</v>
      </c>
      <c r="I68" s="62" t="str">
        <f t="shared" si="4"/>
        <v>Kanan</v>
      </c>
      <c r="J68" s="58">
        <f t="shared" si="5"/>
        <v>45000</v>
      </c>
      <c r="K68" s="37">
        <f t="shared" si="6"/>
        <v>55</v>
      </c>
      <c r="L68" s="57">
        <f t="shared" si="7"/>
        <v>0.12</v>
      </c>
      <c r="M68" s="59">
        <f t="shared" si="8"/>
        <v>2178000</v>
      </c>
      <c r="N68" s="30" t="str" cm="1">
        <f t="array" ref="N68">_xlfn.SWITCH(MID(B68,4,1),"M","M-tix","C","CGV Apps","T","Tunai")</f>
        <v>M-tix</v>
      </c>
    </row>
    <row r="69" spans="1:14" ht="19.899999999999999" customHeight="1">
      <c r="A69" s="25">
        <v>14</v>
      </c>
      <c r="B69" s="53" t="s">
        <v>77</v>
      </c>
      <c r="C69" s="26" t="s">
        <v>30</v>
      </c>
      <c r="D69" s="37" t="str">
        <f t="shared" si="0"/>
        <v>Studio 3</v>
      </c>
      <c r="E69" s="29" t="s">
        <v>94</v>
      </c>
      <c r="F69" s="37">
        <f t="shared" si="1"/>
        <v>105</v>
      </c>
      <c r="G69" s="55" t="str">
        <f t="shared" si="2"/>
        <v>Reguler</v>
      </c>
      <c r="H69" s="37">
        <f t="shared" si="3"/>
        <v>8</v>
      </c>
      <c r="I69" s="62" t="str">
        <f t="shared" si="4"/>
        <v>Kiri</v>
      </c>
      <c r="J69" s="58">
        <f t="shared" si="5"/>
        <v>37000</v>
      </c>
      <c r="K69" s="37">
        <f t="shared" si="6"/>
        <v>87</v>
      </c>
      <c r="L69" s="57">
        <f t="shared" si="7"/>
        <v>0.02</v>
      </c>
      <c r="M69" s="59">
        <f t="shared" si="8"/>
        <v>3154620</v>
      </c>
      <c r="N69" s="30" t="str" cm="1">
        <f t="array" ref="N69">_xlfn.SWITCH(MID(B69,4,1),"M","M-tix","C","CGV Apps","T","Tunai")</f>
        <v>CGV Apps</v>
      </c>
    </row>
    <row r="70" spans="1:14" ht="19.899999999999999" customHeight="1">
      <c r="A70" s="25">
        <v>15</v>
      </c>
      <c r="B70" s="53" t="s">
        <v>82</v>
      </c>
      <c r="C70" s="26" t="s">
        <v>31</v>
      </c>
      <c r="D70" s="37" t="str">
        <f t="shared" si="0"/>
        <v>Studio 4</v>
      </c>
      <c r="E70" s="29" t="s">
        <v>95</v>
      </c>
      <c r="F70" s="37">
        <f t="shared" si="1"/>
        <v>76</v>
      </c>
      <c r="G70" s="55" t="str">
        <f t="shared" si="2"/>
        <v>Couple</v>
      </c>
      <c r="H70" s="37">
        <f t="shared" si="3"/>
        <v>52</v>
      </c>
      <c r="I70" s="62" t="str">
        <f t="shared" si="4"/>
        <v>Kanan</v>
      </c>
      <c r="J70" s="58">
        <f t="shared" si="5"/>
        <v>55000</v>
      </c>
      <c r="K70" s="37">
        <f t="shared" si="6"/>
        <v>84</v>
      </c>
      <c r="L70" s="57">
        <f t="shared" si="7"/>
        <v>0.08</v>
      </c>
      <c r="M70" s="59">
        <f t="shared" si="8"/>
        <v>4250400</v>
      </c>
      <c r="N70" s="30" t="str" cm="1">
        <f t="array" ref="N70">_xlfn.SWITCH(MID(B70,4,1),"M","M-tix","C","CGV Apps","T","Tunai")</f>
        <v>Tunai</v>
      </c>
    </row>
    <row r="73" spans="1:14">
      <c r="C73" s="1"/>
      <c r="D73" s="1"/>
    </row>
    <row r="74" spans="1:14">
      <c r="C74" s="1"/>
      <c r="D74" s="1"/>
    </row>
    <row r="75" spans="1:14">
      <c r="C75" s="1"/>
      <c r="D75" s="1"/>
    </row>
  </sheetData>
  <mergeCells count="5">
    <mergeCell ref="B48:L48"/>
    <mergeCell ref="A18:B18"/>
    <mergeCell ref="E18:F18"/>
    <mergeCell ref="A20:M20"/>
    <mergeCell ref="A46:M46"/>
  </mergeCells>
  <phoneticPr fontId="25" type="noConversion"/>
  <dataValidations count="4">
    <dataValidation allowBlank="1" showInputMessage="1" showErrorMessage="1" promptTitle="Hint" prompt="Coba gunakan MID" sqref="H25" xr:uid="{2E5049EE-52EB-4675-ADFE-A37B8B842EBE}"/>
    <dataValidation allowBlank="1" showInputMessage="1" showErrorMessage="1" promptTitle="Hint" prompt="Jumlah tiket harus ditulis dalam bentuk Arabic " sqref="H33" xr:uid="{95C43B33-25A4-4D11-A80D-E35F0FAA043F}"/>
    <dataValidation allowBlank="1" showInputMessage="1" showErrorMessage="1" prompt="Produksi Film Agak Laen" sqref="H26" xr:uid="{17D50021-6F80-44C9-BD13-0B663784BCA1}"/>
    <dataValidation allowBlank="1" showInputMessage="1" showErrorMessage="1" prompt="Cari yang mendekati" sqref="H31" xr:uid="{1BF81662-4E72-46FB-AB71-6DCC99D89559}"/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458E-AC88-45B7-9261-D994343F69F9}">
  <sheetPr codeName="Sheet2"/>
  <dimension ref="A1:AB47"/>
  <sheetViews>
    <sheetView topLeftCell="A28" workbookViewId="0">
      <selection activeCell="B46" sqref="B46"/>
    </sheetView>
  </sheetViews>
  <sheetFormatPr defaultRowHeight="15"/>
  <cols>
    <col min="2" max="2" width="11.7109375" customWidth="1"/>
    <col min="11" max="11" width="12.5703125" customWidth="1"/>
    <col min="12" max="12" width="10.85546875" customWidth="1"/>
    <col min="19" max="19" width="7.7109375" customWidth="1"/>
  </cols>
  <sheetData>
    <row r="1" spans="1:28">
      <c r="A1" t="s">
        <v>111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</v>
      </c>
      <c r="N1">
        <v>3</v>
      </c>
      <c r="O1">
        <v>5</v>
      </c>
      <c r="P1">
        <v>10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>
        <v>7</v>
      </c>
      <c r="Z1">
        <v>8</v>
      </c>
      <c r="AA1">
        <v>9</v>
      </c>
      <c r="AB1">
        <v>10</v>
      </c>
    </row>
    <row r="2" spans="1:28">
      <c r="A2" t="s">
        <v>152</v>
      </c>
      <c r="B2">
        <v>1</v>
      </c>
      <c r="C2" t="str">
        <f>UPPER('XL-Test'!D56)</f>
        <v>STUDIO 1</v>
      </c>
      <c r="D2">
        <f>'XL-Test'!F56</f>
        <v>125.00000000000011</v>
      </c>
      <c r="E2" t="str">
        <f>'XL-Test'!G56</f>
        <v>VIP</v>
      </c>
      <c r="F2">
        <f>'XL-Test'!H56</f>
        <v>51</v>
      </c>
      <c r="G2" t="str">
        <f>UPPER('XL-Test'!I56)</f>
        <v>KANAN</v>
      </c>
      <c r="H2">
        <f>'XL-Test'!J56</f>
        <v>37000</v>
      </c>
      <c r="I2">
        <f>'XL-Test'!K56</f>
        <v>105</v>
      </c>
      <c r="J2">
        <f>'XL-Test'!L56</f>
        <v>0.12</v>
      </c>
      <c r="K2">
        <f>'XL-Test'!M56</f>
        <v>3418800</v>
      </c>
      <c r="L2" t="str">
        <f>UPPER(SUBSTITUTE(SUBSTITUTE('XL-Test'!N56,"-","")," ",""))</f>
        <v>MTIX</v>
      </c>
      <c r="M2">
        <f>CODE(LEFT(C2))+CODE(MID(C2,3,1))+RIGHT(C2)</f>
        <v>169</v>
      </c>
      <c r="N2">
        <f>CODE(LEFT(E2))+CODE(MID(E2,3,1))+CODE(RIGHT(E2))</f>
        <v>246</v>
      </c>
      <c r="O2">
        <f>CODE(LEFT(G2))+CODE(MID(G2,3,1))+CODE(RIGHT(G2))</f>
        <v>231</v>
      </c>
      <c r="P2">
        <f>CODE(LEFT(L2))+CODE(MID(L2,3,1))+CODE(RIGHT(L2))</f>
        <v>238</v>
      </c>
      <c r="R2">
        <v>1</v>
      </c>
      <c r="S2" t="str">
        <f ca="1">_xlfn.FORMULATEXT('XL-Test'!D56)</f>
        <v>="Studio "&amp;MID(B56;2;1)</v>
      </c>
      <c r="T2" t="str">
        <f ca="1">_xlfn.FORMULATEXT('XL-Test'!F56)</f>
        <v>=TIMEVALUE(RIGHT(E56;5))*1440-LEFT(E56;5)*1440</v>
      </c>
      <c r="U2" t="str">
        <f ca="1">_xlfn.FORMULATEXT('XL-Test'!G56)</f>
        <v>=HLOOKUP(MID(B56;9;1);$D$38:$F$40;2;0)</v>
      </c>
      <c r="V2" t="str">
        <f ca="1">_xlfn.FORMULATEXT('XL-Test'!H56)</f>
        <v>=(CODE(MID(B56;7;1))-65)*10+MID(B56;6;1)</v>
      </c>
      <c r="W2" t="str">
        <f ca="1">_xlfn.FORMULATEXT('XL-Test'!I56)</f>
        <v>=IF(MID(B56;6;1)&lt;"6";"Kanan";"Kiri")</v>
      </c>
      <c r="X2" t="str">
        <f ca="1">_xlfn.FORMULATEXT('XL-Test'!J56)</f>
        <v>=VLOOKUP(TIMEVALUE(LEFT(E56;5));$J$34:$K$38;2;TRUE)</v>
      </c>
      <c r="Y2" t="str">
        <f ca="1">_xlfn.FORMULATEXT('XL-Test'!K56)</f>
        <v>=ARABIC(MID(B56;11;10))</v>
      </c>
      <c r="Z2" t="str">
        <f ca="1">_xlfn.FORMULATEXT('XL-Test'!L56)</f>
        <v>=HLOOKUP(MID(B56;9;1);$D$38:$F$40;3;0)</v>
      </c>
      <c r="AA2" t="str">
        <f ca="1">_xlfn.FORMULATEXT('XL-Test'!M56)</f>
        <v>=J56*K56-(J56*K56*L56)</v>
      </c>
      <c r="AB2" t="str">
        <f ca="1">_xlfn.FORMULATEXT('XL-Test'!N56)</f>
        <v>=SWITCH(MID(B56;4;1);"M";"M-tix";"C";"CGV Apps";"T";"Tunai")</v>
      </c>
    </row>
    <row r="3" spans="1:28">
      <c r="B3">
        <v>2</v>
      </c>
      <c r="C3" t="str">
        <f>UPPER('XL-Test'!D57)</f>
        <v>STUDIO 2</v>
      </c>
      <c r="D3">
        <f>'XL-Test'!F57</f>
        <v>59</v>
      </c>
      <c r="E3" t="str">
        <f>'XL-Test'!G57</f>
        <v>Reguler</v>
      </c>
      <c r="F3">
        <f>'XL-Test'!H57</f>
        <v>12</v>
      </c>
      <c r="G3" t="str">
        <f>UPPER('XL-Test'!I57)</f>
        <v>KANAN</v>
      </c>
      <c r="H3">
        <f>'XL-Test'!J57</f>
        <v>34000</v>
      </c>
      <c r="I3">
        <f>'XL-Test'!K57</f>
        <v>58</v>
      </c>
      <c r="J3">
        <f>'XL-Test'!L57</f>
        <v>0.02</v>
      </c>
      <c r="K3">
        <f>'XL-Test'!M57</f>
        <v>1932560</v>
      </c>
      <c r="L3" t="str">
        <f>UPPER(SUBSTITUTE(SUBSTITUTE('XL-Test'!N57,"-","")," ",""))</f>
        <v>CGVAPPS</v>
      </c>
      <c r="M3">
        <f t="shared" ref="M3:M16" si="0">CODE(LEFT(C3))+CODE(MID(C3,3,1))+RIGHT(C3)</f>
        <v>170</v>
      </c>
      <c r="N3">
        <f t="shared" ref="N3:N16" si="1">CODE(LEFT(E3))+CODE(MID(E3,3,1))+CODE(RIGHT(E3))</f>
        <v>299</v>
      </c>
      <c r="O3">
        <f t="shared" ref="O3:O16" si="2">CODE(LEFT(G3))+CODE(MID(G3,3,1))+CODE(RIGHT(G3))</f>
        <v>231</v>
      </c>
      <c r="P3">
        <f t="shared" ref="P3:P16" si="3">CODE(LEFT(L3))+CODE(MID(L3,3,1))+CODE(RIGHT(L3))</f>
        <v>236</v>
      </c>
      <c r="R3">
        <v>2</v>
      </c>
      <c r="S3" t="str">
        <f ca="1">_xlfn.FORMULATEXT('XL-Test'!F56)</f>
        <v>=TIMEVALUE(RIGHT(E56;5))*1440-LEFT(E56;5)*1440</v>
      </c>
    </row>
    <row r="4" spans="1:28">
      <c r="B4">
        <v>3</v>
      </c>
      <c r="C4" t="str">
        <f>UPPER('XL-Test'!D58)</f>
        <v>STUDIO 2</v>
      </c>
      <c r="D4">
        <f>'XL-Test'!F58</f>
        <v>75</v>
      </c>
      <c r="E4" t="str">
        <f>'XL-Test'!G58</f>
        <v>Couple</v>
      </c>
      <c r="F4">
        <f>'XL-Test'!H58</f>
        <v>47</v>
      </c>
      <c r="G4" t="str">
        <f>UPPER('XL-Test'!I58)</f>
        <v>KIRI</v>
      </c>
      <c r="H4">
        <f>'XL-Test'!J58</f>
        <v>34000</v>
      </c>
      <c r="I4">
        <f>'XL-Test'!K58</f>
        <v>96</v>
      </c>
      <c r="J4">
        <f>'XL-Test'!L58</f>
        <v>0.08</v>
      </c>
      <c r="K4">
        <f>'XL-Test'!M58</f>
        <v>3002880</v>
      </c>
      <c r="L4" t="str">
        <f>UPPER(SUBSTITUTE(SUBSTITUTE('XL-Test'!N58,"-","")," ",""))</f>
        <v>TUNAI</v>
      </c>
      <c r="M4">
        <f t="shared" si="0"/>
        <v>170</v>
      </c>
      <c r="N4">
        <f t="shared" si="1"/>
        <v>285</v>
      </c>
      <c r="O4">
        <f t="shared" si="2"/>
        <v>230</v>
      </c>
      <c r="P4">
        <f t="shared" si="3"/>
        <v>235</v>
      </c>
      <c r="R4">
        <v>3</v>
      </c>
      <c r="S4" t="str">
        <f ca="1">_xlfn.FORMULATEXT('XL-Test'!G56)</f>
        <v>=HLOOKUP(MID(B56;9;1);$D$38:$F$40;2;0)</v>
      </c>
    </row>
    <row r="5" spans="1:28">
      <c r="B5">
        <v>4</v>
      </c>
      <c r="C5" t="str">
        <f>UPPER('XL-Test'!D59)</f>
        <v>STUDIO 3</v>
      </c>
      <c r="D5">
        <f>'XL-Test'!F59</f>
        <v>87</v>
      </c>
      <c r="E5" t="str">
        <f>'XL-Test'!G59</f>
        <v>Reguler</v>
      </c>
      <c r="F5">
        <f>'XL-Test'!H59</f>
        <v>3</v>
      </c>
      <c r="G5" t="str">
        <f>UPPER('XL-Test'!I59)</f>
        <v>KANAN</v>
      </c>
      <c r="H5">
        <f>'XL-Test'!J59</f>
        <v>37000</v>
      </c>
      <c r="I5">
        <f>'XL-Test'!K59</f>
        <v>78</v>
      </c>
      <c r="J5">
        <f>'XL-Test'!L59</f>
        <v>0.02</v>
      </c>
      <c r="K5">
        <f>'XL-Test'!M59</f>
        <v>2828280</v>
      </c>
      <c r="L5" t="str">
        <f>UPPER(SUBSTITUTE(SUBSTITUTE('XL-Test'!N59,"-","")," ",""))</f>
        <v>MTIX</v>
      </c>
      <c r="M5">
        <f t="shared" si="0"/>
        <v>171</v>
      </c>
      <c r="N5">
        <f t="shared" si="1"/>
        <v>299</v>
      </c>
      <c r="O5">
        <f t="shared" si="2"/>
        <v>231</v>
      </c>
      <c r="P5">
        <f t="shared" si="3"/>
        <v>238</v>
      </c>
      <c r="R5">
        <v>4</v>
      </c>
      <c r="S5" t="str">
        <f ca="1">_xlfn.FORMULATEXT('XL-Test'!H56)</f>
        <v>=(CODE(MID(B56;7;1))-65)*10+MID(B56;6;1)</v>
      </c>
    </row>
    <row r="6" spans="1:28">
      <c r="B6">
        <v>5</v>
      </c>
      <c r="C6" t="str">
        <f>UPPER('XL-Test'!D60)</f>
        <v>STUDIO 3</v>
      </c>
      <c r="D6">
        <f>'XL-Test'!F60</f>
        <v>65</v>
      </c>
      <c r="E6" t="str">
        <f>'XL-Test'!G60</f>
        <v>VIP</v>
      </c>
      <c r="F6">
        <f>'XL-Test'!H60</f>
        <v>38</v>
      </c>
      <c r="G6" t="str">
        <f>UPPER('XL-Test'!I60)</f>
        <v>KIRI</v>
      </c>
      <c r="H6">
        <f>'XL-Test'!J60</f>
        <v>55000</v>
      </c>
      <c r="I6">
        <f>'XL-Test'!K60</f>
        <v>87</v>
      </c>
      <c r="J6">
        <f>'XL-Test'!L60</f>
        <v>0.12</v>
      </c>
      <c r="K6">
        <f>'XL-Test'!M60</f>
        <v>4210800</v>
      </c>
      <c r="L6" t="str">
        <f>UPPER(SUBSTITUTE(SUBSTITUTE('XL-Test'!N60,"-","")," ",""))</f>
        <v>CGVAPPS</v>
      </c>
      <c r="M6">
        <f t="shared" si="0"/>
        <v>171</v>
      </c>
      <c r="N6">
        <f t="shared" si="1"/>
        <v>246</v>
      </c>
      <c r="O6">
        <f t="shared" si="2"/>
        <v>230</v>
      </c>
      <c r="P6">
        <f t="shared" si="3"/>
        <v>236</v>
      </c>
      <c r="R6">
        <v>5</v>
      </c>
      <c r="S6" t="str">
        <f ca="1">_xlfn.FORMULATEXT('XL-Test'!I56)</f>
        <v>=IF(MID(B56;6;1)&lt;"6";"Kanan";"Kiri")</v>
      </c>
    </row>
    <row r="7" spans="1:28">
      <c r="B7">
        <v>6</v>
      </c>
      <c r="C7" t="str">
        <f>UPPER('XL-Test'!D61)</f>
        <v>STUDIO 4</v>
      </c>
      <c r="D7">
        <f>'XL-Test'!F61</f>
        <v>70</v>
      </c>
      <c r="E7" t="str">
        <f>'XL-Test'!G61</f>
        <v>Reguler</v>
      </c>
      <c r="F7">
        <f>'XL-Test'!H61</f>
        <v>24</v>
      </c>
      <c r="G7" t="str">
        <f>UPPER('XL-Test'!I61)</f>
        <v>KANAN</v>
      </c>
      <c r="H7">
        <f>'XL-Test'!J61</f>
        <v>35000</v>
      </c>
      <c r="I7">
        <f>'XL-Test'!K61</f>
        <v>74</v>
      </c>
      <c r="J7">
        <f>'XL-Test'!L61</f>
        <v>0.02</v>
      </c>
      <c r="K7">
        <f>'XL-Test'!M61</f>
        <v>2538200</v>
      </c>
      <c r="L7" t="str">
        <f>UPPER(SUBSTITUTE(SUBSTITUTE('XL-Test'!N61,"-","")," ",""))</f>
        <v>TUNAI</v>
      </c>
      <c r="M7">
        <f t="shared" si="0"/>
        <v>172</v>
      </c>
      <c r="N7">
        <f t="shared" si="1"/>
        <v>299</v>
      </c>
      <c r="O7">
        <f t="shared" si="2"/>
        <v>231</v>
      </c>
      <c r="P7">
        <f t="shared" si="3"/>
        <v>235</v>
      </c>
      <c r="R7">
        <v>6</v>
      </c>
      <c r="S7" t="str">
        <f ca="1">_xlfn.FORMULATEXT('XL-Test'!J56)</f>
        <v>=VLOOKUP(TIMEVALUE(LEFT(E56;5));$J$34:$K$38;2;TRUE)</v>
      </c>
    </row>
    <row r="8" spans="1:28">
      <c r="B8">
        <v>7</v>
      </c>
      <c r="C8" t="str">
        <f>UPPER('XL-Test'!D62)</f>
        <v>STUDIO 4</v>
      </c>
      <c r="D8">
        <f>'XL-Test'!F62</f>
        <v>94</v>
      </c>
      <c r="E8" t="str">
        <f>'XL-Test'!G62</f>
        <v>Couple</v>
      </c>
      <c r="F8">
        <f>'XL-Test'!H62</f>
        <v>56</v>
      </c>
      <c r="G8" t="str">
        <f>UPPER('XL-Test'!I62)</f>
        <v>KIRI</v>
      </c>
      <c r="H8">
        <f>'XL-Test'!J62</f>
        <v>45000</v>
      </c>
      <c r="I8">
        <f>'XL-Test'!K62</f>
        <v>51</v>
      </c>
      <c r="J8">
        <f>'XL-Test'!L62</f>
        <v>0.08</v>
      </c>
      <c r="K8">
        <f>'XL-Test'!M62</f>
        <v>2111400</v>
      </c>
      <c r="L8" t="str">
        <f>UPPER(SUBSTITUTE(SUBSTITUTE('XL-Test'!N62,"-","")," ",""))</f>
        <v>MTIX</v>
      </c>
      <c r="M8">
        <f t="shared" si="0"/>
        <v>172</v>
      </c>
      <c r="N8">
        <f t="shared" si="1"/>
        <v>285</v>
      </c>
      <c r="O8">
        <f t="shared" si="2"/>
        <v>230</v>
      </c>
      <c r="P8">
        <f t="shared" si="3"/>
        <v>238</v>
      </c>
      <c r="R8">
        <v>7</v>
      </c>
      <c r="S8" t="str">
        <f ca="1">_xlfn.FORMULATEXT('XL-Test'!K56)</f>
        <v>=ARABIC(MID(B56;11;10))</v>
      </c>
    </row>
    <row r="9" spans="1:28">
      <c r="B9">
        <v>8</v>
      </c>
      <c r="C9" t="str">
        <f>UPPER('XL-Test'!D63)</f>
        <v>STUDIO 1</v>
      </c>
      <c r="D9">
        <f>'XL-Test'!F63</f>
        <v>104</v>
      </c>
      <c r="E9" t="str">
        <f>'XL-Test'!G63</f>
        <v>VIP</v>
      </c>
      <c r="F9">
        <f>'XL-Test'!H63</f>
        <v>5</v>
      </c>
      <c r="G9" t="str">
        <f>UPPER('XL-Test'!I63)</f>
        <v>KANAN</v>
      </c>
      <c r="H9">
        <f>'XL-Test'!J63</f>
        <v>55000</v>
      </c>
      <c r="I9">
        <f>'XL-Test'!K63</f>
        <v>89</v>
      </c>
      <c r="J9">
        <f>'XL-Test'!L63</f>
        <v>0.12</v>
      </c>
      <c r="K9">
        <f>'XL-Test'!M63</f>
        <v>4307600</v>
      </c>
      <c r="L9" t="str">
        <f>UPPER(SUBSTITUTE(SUBSTITUTE('XL-Test'!N63,"-","")," ",""))</f>
        <v>CGVAPPS</v>
      </c>
      <c r="M9">
        <f t="shared" si="0"/>
        <v>169</v>
      </c>
      <c r="N9">
        <f t="shared" si="1"/>
        <v>246</v>
      </c>
      <c r="O9">
        <f t="shared" si="2"/>
        <v>231</v>
      </c>
      <c r="P9">
        <f t="shared" si="3"/>
        <v>236</v>
      </c>
      <c r="R9">
        <v>8</v>
      </c>
      <c r="S9" t="str">
        <f ca="1">_xlfn.FORMULATEXT('XL-Test'!L56)</f>
        <v>=HLOOKUP(MID(B56;9;1);$D$38:$F$40;3;0)</v>
      </c>
    </row>
    <row r="10" spans="1:28">
      <c r="B10">
        <v>9</v>
      </c>
      <c r="C10" t="str">
        <f>UPPER('XL-Test'!D64)</f>
        <v>STUDIO 2</v>
      </c>
      <c r="D10">
        <f>'XL-Test'!F64</f>
        <v>115</v>
      </c>
      <c r="E10" t="str">
        <f>'XL-Test'!G64</f>
        <v>Reguler</v>
      </c>
      <c r="F10">
        <f>'XL-Test'!H64</f>
        <v>45</v>
      </c>
      <c r="G10" t="str">
        <f>UPPER('XL-Test'!I64)</f>
        <v>KANAN</v>
      </c>
      <c r="H10">
        <f>'XL-Test'!J64</f>
        <v>45000</v>
      </c>
      <c r="I10">
        <f>'XL-Test'!K64</f>
        <v>87</v>
      </c>
      <c r="J10">
        <f>'XL-Test'!L64</f>
        <v>0.02</v>
      </c>
      <c r="K10">
        <f>'XL-Test'!M64</f>
        <v>3836700</v>
      </c>
      <c r="L10" t="str">
        <f>UPPER(SUBSTITUTE(SUBSTITUTE('XL-Test'!N64,"-","")," ",""))</f>
        <v>TUNAI</v>
      </c>
      <c r="M10">
        <f t="shared" si="0"/>
        <v>170</v>
      </c>
      <c r="N10">
        <f t="shared" si="1"/>
        <v>299</v>
      </c>
      <c r="O10">
        <f t="shared" si="2"/>
        <v>231</v>
      </c>
      <c r="P10">
        <f t="shared" si="3"/>
        <v>235</v>
      </c>
      <c r="R10">
        <v>9</v>
      </c>
      <c r="S10" t="str">
        <f ca="1">_xlfn.FORMULATEXT('XL-Test'!M56)</f>
        <v>=J56*K56-(J56*K56*L56)</v>
      </c>
    </row>
    <row r="11" spans="1:28">
      <c r="B11">
        <v>10</v>
      </c>
      <c r="C11" t="str">
        <f>UPPER('XL-Test'!D65)</f>
        <v>STUDIO 3</v>
      </c>
      <c r="D11">
        <f>'XL-Test'!F65</f>
        <v>135</v>
      </c>
      <c r="E11" t="str">
        <f>'XL-Test'!G65</f>
        <v>Couple</v>
      </c>
      <c r="F11">
        <f>'XL-Test'!H65</f>
        <v>16</v>
      </c>
      <c r="G11" t="str">
        <f>UPPER('XL-Test'!I65)</f>
        <v>KIRI</v>
      </c>
      <c r="H11">
        <f>'XL-Test'!J65</f>
        <v>37000</v>
      </c>
      <c r="I11">
        <f>'XL-Test'!K65</f>
        <v>92</v>
      </c>
      <c r="J11">
        <f>'XL-Test'!L65</f>
        <v>0.08</v>
      </c>
      <c r="K11">
        <f>'XL-Test'!M65</f>
        <v>3131680</v>
      </c>
      <c r="L11" t="str">
        <f>UPPER(SUBSTITUTE(SUBSTITUTE('XL-Test'!N65,"-","")," ",""))</f>
        <v>MTIX</v>
      </c>
      <c r="M11">
        <f t="shared" si="0"/>
        <v>171</v>
      </c>
      <c r="N11">
        <f t="shared" si="1"/>
        <v>285</v>
      </c>
      <c r="O11">
        <f t="shared" si="2"/>
        <v>230</v>
      </c>
      <c r="P11">
        <f t="shared" si="3"/>
        <v>238</v>
      </c>
      <c r="R11">
        <v>10</v>
      </c>
      <c r="S11" t="str">
        <f ca="1">_xlfn.FORMULATEXT('XL-Test'!N56)</f>
        <v>=SWITCH(MID(B56;4;1);"M";"M-tix";"C";"CGV Apps";"T";"Tunai")</v>
      </c>
    </row>
    <row r="12" spans="1:28">
      <c r="B12">
        <v>11</v>
      </c>
      <c r="C12" t="str">
        <f>UPPER('XL-Test'!D66)</f>
        <v>STUDIO 4</v>
      </c>
      <c r="D12">
        <f>'XL-Test'!F66</f>
        <v>110</v>
      </c>
      <c r="E12" t="str">
        <f>'XL-Test'!G66</f>
        <v>VIP</v>
      </c>
      <c r="F12">
        <f>'XL-Test'!H66</f>
        <v>56</v>
      </c>
      <c r="G12" t="str">
        <f>UPPER('XL-Test'!I66)</f>
        <v>KIRI</v>
      </c>
      <c r="H12">
        <f>'XL-Test'!J66</f>
        <v>34000</v>
      </c>
      <c r="I12">
        <f>'XL-Test'!K66</f>
        <v>101</v>
      </c>
      <c r="J12">
        <f>'XL-Test'!L66</f>
        <v>0.12</v>
      </c>
      <c r="K12">
        <f>'XL-Test'!M66</f>
        <v>3021920</v>
      </c>
      <c r="L12" t="str">
        <f>UPPER(SUBSTITUTE(SUBSTITUTE('XL-Test'!N66,"-","")," ",""))</f>
        <v>CGVAPPS</v>
      </c>
      <c r="M12">
        <f t="shared" si="0"/>
        <v>172</v>
      </c>
      <c r="N12">
        <f t="shared" si="1"/>
        <v>246</v>
      </c>
      <c r="O12">
        <f t="shared" si="2"/>
        <v>230</v>
      </c>
      <c r="P12">
        <f t="shared" si="3"/>
        <v>236</v>
      </c>
    </row>
    <row r="13" spans="1:28">
      <c r="B13">
        <v>12</v>
      </c>
      <c r="C13" t="str">
        <f>UPPER('XL-Test'!D67)</f>
        <v>STUDIO 1</v>
      </c>
      <c r="D13">
        <f>'XL-Test'!F67</f>
        <v>128</v>
      </c>
      <c r="E13" t="str">
        <f>'XL-Test'!G67</f>
        <v>Reguler</v>
      </c>
      <c r="F13">
        <f>'XL-Test'!H67</f>
        <v>27</v>
      </c>
      <c r="G13" t="str">
        <f>UPPER('XL-Test'!I67)</f>
        <v>KIRI</v>
      </c>
      <c r="H13">
        <f>'XL-Test'!J67</f>
        <v>35000</v>
      </c>
      <c r="I13">
        <f>'XL-Test'!K67</f>
        <v>54</v>
      </c>
      <c r="J13">
        <f>'XL-Test'!L67</f>
        <v>0.02</v>
      </c>
      <c r="K13">
        <f>'XL-Test'!M67</f>
        <v>1852200</v>
      </c>
      <c r="L13" t="str">
        <f>UPPER(SUBSTITUTE(SUBSTITUTE('XL-Test'!N67,"-","")," ",""))</f>
        <v>TUNAI</v>
      </c>
      <c r="M13">
        <f t="shared" si="0"/>
        <v>169</v>
      </c>
      <c r="N13">
        <f t="shared" si="1"/>
        <v>299</v>
      </c>
      <c r="O13">
        <f t="shared" si="2"/>
        <v>230</v>
      </c>
      <c r="P13">
        <f t="shared" si="3"/>
        <v>235</v>
      </c>
    </row>
    <row r="14" spans="1:28">
      <c r="B14">
        <v>13</v>
      </c>
      <c r="C14" t="str">
        <f>UPPER('XL-Test'!D68)</f>
        <v>STUDIO 2</v>
      </c>
      <c r="D14">
        <f>'XL-Test'!F68</f>
        <v>106</v>
      </c>
      <c r="E14" t="str">
        <f>'XL-Test'!G68</f>
        <v>VIP</v>
      </c>
      <c r="F14">
        <f>'XL-Test'!H68</f>
        <v>32</v>
      </c>
      <c r="G14" t="str">
        <f>UPPER('XL-Test'!I68)</f>
        <v>KANAN</v>
      </c>
      <c r="H14">
        <f>'XL-Test'!J68</f>
        <v>45000</v>
      </c>
      <c r="I14">
        <f>'XL-Test'!K68</f>
        <v>55</v>
      </c>
      <c r="J14">
        <f>'XL-Test'!L68</f>
        <v>0.12</v>
      </c>
      <c r="K14">
        <f>'XL-Test'!M68</f>
        <v>2178000</v>
      </c>
      <c r="L14" t="str">
        <f>UPPER(SUBSTITUTE(SUBSTITUTE('XL-Test'!N68,"-","")," ",""))</f>
        <v>MTIX</v>
      </c>
      <c r="M14">
        <f t="shared" si="0"/>
        <v>170</v>
      </c>
      <c r="N14">
        <f t="shared" si="1"/>
        <v>246</v>
      </c>
      <c r="O14">
        <f t="shared" si="2"/>
        <v>231</v>
      </c>
      <c r="P14">
        <f t="shared" si="3"/>
        <v>238</v>
      </c>
    </row>
    <row r="15" spans="1:28">
      <c r="B15">
        <v>14</v>
      </c>
      <c r="C15" t="str">
        <f>UPPER('XL-Test'!D69)</f>
        <v>STUDIO 3</v>
      </c>
      <c r="D15">
        <f>'XL-Test'!F69</f>
        <v>105</v>
      </c>
      <c r="E15" t="str">
        <f>'XL-Test'!G69</f>
        <v>Reguler</v>
      </c>
      <c r="F15">
        <f>'XL-Test'!H69</f>
        <v>8</v>
      </c>
      <c r="G15" t="str">
        <f>UPPER('XL-Test'!I69)</f>
        <v>KIRI</v>
      </c>
      <c r="H15">
        <f>'XL-Test'!J69</f>
        <v>37000</v>
      </c>
      <c r="I15">
        <f>'XL-Test'!K69</f>
        <v>87</v>
      </c>
      <c r="J15">
        <f>'XL-Test'!L69</f>
        <v>0.02</v>
      </c>
      <c r="K15">
        <f>'XL-Test'!M69</f>
        <v>3154620</v>
      </c>
      <c r="L15" t="str">
        <f>UPPER(SUBSTITUTE(SUBSTITUTE('XL-Test'!N69,"-","")," ",""))</f>
        <v>CGVAPPS</v>
      </c>
      <c r="M15">
        <f t="shared" si="0"/>
        <v>171</v>
      </c>
      <c r="N15">
        <f t="shared" si="1"/>
        <v>299</v>
      </c>
      <c r="O15">
        <f t="shared" si="2"/>
        <v>230</v>
      </c>
      <c r="P15">
        <f t="shared" si="3"/>
        <v>236</v>
      </c>
    </row>
    <row r="16" spans="1:28">
      <c r="B16">
        <v>15</v>
      </c>
      <c r="C16" t="str">
        <f>UPPER('XL-Test'!D70)</f>
        <v>STUDIO 4</v>
      </c>
      <c r="D16">
        <f>'XL-Test'!F70</f>
        <v>76</v>
      </c>
      <c r="E16" t="str">
        <f>'XL-Test'!G70</f>
        <v>Couple</v>
      </c>
      <c r="F16">
        <f>'XL-Test'!H70</f>
        <v>52</v>
      </c>
      <c r="G16" t="str">
        <f>UPPER('XL-Test'!I70)</f>
        <v>KANAN</v>
      </c>
      <c r="H16">
        <f>'XL-Test'!J70</f>
        <v>55000</v>
      </c>
      <c r="I16">
        <f>'XL-Test'!K70</f>
        <v>84</v>
      </c>
      <c r="J16">
        <f>'XL-Test'!L70</f>
        <v>0.08</v>
      </c>
      <c r="K16">
        <f>'XL-Test'!M70</f>
        <v>4250400</v>
      </c>
      <c r="L16" t="str">
        <f>UPPER(SUBSTITUTE(SUBSTITUTE('XL-Test'!N70,"-","")," ",""))</f>
        <v>TUNAI</v>
      </c>
      <c r="M16">
        <f t="shared" si="0"/>
        <v>172</v>
      </c>
      <c r="N16">
        <f t="shared" si="1"/>
        <v>285</v>
      </c>
      <c r="O16">
        <f t="shared" si="2"/>
        <v>231</v>
      </c>
      <c r="P16">
        <f t="shared" si="3"/>
        <v>235</v>
      </c>
    </row>
    <row r="17" spans="2:25">
      <c r="U17" t="s">
        <v>124</v>
      </c>
    </row>
    <row r="19" spans="2:25">
      <c r="B19" t="s">
        <v>112</v>
      </c>
      <c r="C19">
        <f>M19</f>
        <v>3583</v>
      </c>
      <c r="D19">
        <f>SUM(D2:D16)+D3+D5+D8+D10+D13+D16</f>
        <v>2013</v>
      </c>
      <c r="E19">
        <f>N19</f>
        <v>5930</v>
      </c>
      <c r="F19">
        <f>SUM(F2:F16)+F3+F5+F8+F10+F13+F16</f>
        <v>667</v>
      </c>
      <c r="G19">
        <f>O19</f>
        <v>4842</v>
      </c>
      <c r="H19">
        <f>SUM(H2:H16)+H3+H5+H8+H10+H13+H16</f>
        <v>871000</v>
      </c>
      <c r="I19">
        <f>SUM(I2:I16)+I3+I5+I8+I10+I13+I16</f>
        <v>1610</v>
      </c>
      <c r="J19">
        <f>(SUM(J2:J16)*100+J3*100+J5*100+J8*100+J10*100+J13*100+J16*100)*123</f>
        <v>15744</v>
      </c>
      <c r="K19">
        <f>SUM(K2:K16)+K3+K5+K8+K10+K13+K16</f>
        <v>62587580</v>
      </c>
      <c r="L19">
        <f>P19</f>
        <v>4962</v>
      </c>
      <c r="M19">
        <f>SUM(M2:M16)+M3+M5+M8+M10+M13+M16</f>
        <v>3583</v>
      </c>
      <c r="N19">
        <f>SUM(N2:N16)+N3+N5+N8+N10+N13+N16</f>
        <v>5930</v>
      </c>
      <c r="O19">
        <f>SUM(O2:O16)+O3+O5+O8+O10+O13+O16</f>
        <v>4842</v>
      </c>
      <c r="P19">
        <f>SUM(P2:P16)+P3+P5+P8+P10+P13+P16</f>
        <v>4962</v>
      </c>
    </row>
    <row r="21" spans="2:25">
      <c r="B21" t="s">
        <v>113</v>
      </c>
      <c r="C21">
        <v>18915</v>
      </c>
      <c r="D21">
        <v>8563</v>
      </c>
      <c r="E21">
        <v>7861</v>
      </c>
      <c r="F21">
        <v>8482</v>
      </c>
      <c r="G21">
        <v>2034</v>
      </c>
      <c r="H21">
        <v>3713</v>
      </c>
      <c r="I21">
        <v>3612</v>
      </c>
      <c r="J21">
        <v>5716</v>
      </c>
      <c r="K21">
        <v>3632</v>
      </c>
      <c r="L21">
        <v>4658</v>
      </c>
      <c r="P21">
        <v>1</v>
      </c>
      <c r="Q21">
        <v>2</v>
      </c>
      <c r="R21">
        <v>3</v>
      </c>
      <c r="S21">
        <v>4</v>
      </c>
      <c r="T21">
        <v>5</v>
      </c>
      <c r="U21">
        <v>6</v>
      </c>
      <c r="V21">
        <v>7</v>
      </c>
      <c r="W21">
        <v>8</v>
      </c>
      <c r="X21">
        <v>9</v>
      </c>
      <c r="Y21">
        <v>10</v>
      </c>
    </row>
    <row r="22" spans="2:25">
      <c r="O22">
        <v>1</v>
      </c>
      <c r="P22">
        <f ca="1">LEN(_xlfn.FORMULATEXT('XL-Test'!D56))</f>
        <v>23</v>
      </c>
      <c r="Q22">
        <f ca="1">LEN(_xlfn.FORMULATEXT('XL-Test'!F56))</f>
        <v>46</v>
      </c>
      <c r="R22">
        <f ca="1">LEN(_xlfn.FORMULATEXT('XL-Test'!G56))</f>
        <v>38</v>
      </c>
      <c r="S22">
        <f ca="1">LEN(_xlfn.FORMULATEXT('XL-Test'!H56))</f>
        <v>40</v>
      </c>
      <c r="T22">
        <f ca="1">LEN(_xlfn.FORMULATEXT('XL-Test'!I56))</f>
        <v>36</v>
      </c>
      <c r="U22">
        <f ca="1">LEN(_xlfn.FORMULATEXT('XL-Test'!J56))</f>
        <v>51</v>
      </c>
      <c r="V22">
        <f ca="1">LEN(_xlfn.FORMULATEXT('XL-Test'!K56))</f>
        <v>23</v>
      </c>
      <c r="W22">
        <f ca="1">LEN(_xlfn.FORMULATEXT('XL-Test'!L56))</f>
        <v>38</v>
      </c>
      <c r="X22">
        <f ca="1">LEN(_xlfn.FORMULATEXT('XL-Test'!M56))</f>
        <v>22</v>
      </c>
      <c r="Y22">
        <f ca="1">LEN(_xlfn.FORMULATEXT('XL-Test'!N56))</f>
        <v>60</v>
      </c>
    </row>
    <row r="23" spans="2:25">
      <c r="B23" t="b">
        <v>1</v>
      </c>
      <c r="C23" t="str">
        <f>DEC2HEX(LEFT(C21+COLUMN(ABC1),2))</f>
        <v>13</v>
      </c>
      <c r="D23" t="str">
        <f t="shared" ref="D23:L23" si="4">DEC2HEX(LEFT(D21+COLUMN(ABD1),2))</f>
        <v>5C</v>
      </c>
      <c r="E23" t="str">
        <f t="shared" si="4"/>
        <v>55</v>
      </c>
      <c r="F23" t="str">
        <f t="shared" si="4"/>
        <v>5C</v>
      </c>
      <c r="G23" t="str">
        <f t="shared" si="4"/>
        <v>1B</v>
      </c>
      <c r="H23" t="str">
        <f t="shared" si="4"/>
        <v>2C</v>
      </c>
      <c r="I23" t="str">
        <f t="shared" si="4"/>
        <v>2B</v>
      </c>
      <c r="J23" t="str">
        <f t="shared" si="4"/>
        <v>40</v>
      </c>
      <c r="K23" t="str">
        <f t="shared" si="4"/>
        <v>2B</v>
      </c>
      <c r="L23" t="str">
        <f t="shared" si="4"/>
        <v>35</v>
      </c>
      <c r="O23">
        <v>2</v>
      </c>
      <c r="P23">
        <f ca="1">LEN(_xlfn.FORMULATEXT('XL-Test'!D57))</f>
        <v>23</v>
      </c>
      <c r="Q23">
        <f ca="1">LEN(_xlfn.FORMULATEXT('XL-Test'!F57))</f>
        <v>46</v>
      </c>
      <c r="R23">
        <f ca="1">LEN(_xlfn.FORMULATEXT('XL-Test'!G57))</f>
        <v>38</v>
      </c>
      <c r="S23">
        <f ca="1">LEN(_xlfn.FORMULATEXT('XL-Test'!H57))</f>
        <v>40</v>
      </c>
      <c r="T23">
        <f ca="1">LEN(_xlfn.FORMULATEXT('XL-Test'!I57))</f>
        <v>36</v>
      </c>
      <c r="U23">
        <f ca="1">LEN(_xlfn.FORMULATEXT('XL-Test'!J57))</f>
        <v>51</v>
      </c>
      <c r="V23">
        <f ca="1">LEN(_xlfn.FORMULATEXT('XL-Test'!K57))</f>
        <v>23</v>
      </c>
      <c r="W23">
        <f ca="1">LEN(_xlfn.FORMULATEXT('XL-Test'!L57))</f>
        <v>38</v>
      </c>
      <c r="X23">
        <f ca="1">LEN(_xlfn.FORMULATEXT('XL-Test'!M57))</f>
        <v>22</v>
      </c>
      <c r="Y23">
        <f ca="1">LEN(_xlfn.FORMULATEXT('XL-Test'!N57))</f>
        <v>60</v>
      </c>
    </row>
    <row r="24" spans="2:25">
      <c r="B24" t="b">
        <v>0</v>
      </c>
      <c r="C24" t="str">
        <f>DEC2HEX(RIGHT(C21+COLUMN(ABC1),2))</f>
        <v>2E</v>
      </c>
      <c r="D24" t="str">
        <f t="shared" ref="D24:L24" si="5">DEC2HEX(RIGHT(D21+COLUMN(ABD1),2))</f>
        <v>5F</v>
      </c>
      <c r="E24" t="str">
        <f t="shared" si="5"/>
        <v>5E</v>
      </c>
      <c r="F24" t="str">
        <f t="shared" si="5"/>
        <v>10</v>
      </c>
      <c r="G24" t="str">
        <f t="shared" si="5"/>
        <v>45</v>
      </c>
      <c r="H24" t="str">
        <f t="shared" si="5"/>
        <v>31</v>
      </c>
      <c r="I24" t="str">
        <f t="shared" si="5"/>
        <v>31</v>
      </c>
      <c r="J24" t="str">
        <f t="shared" si="5"/>
        <v>36</v>
      </c>
      <c r="K24" t="str">
        <f t="shared" si="5"/>
        <v>47</v>
      </c>
      <c r="L24" t="str">
        <f t="shared" si="5"/>
        <v>62</v>
      </c>
      <c r="O24">
        <v>3</v>
      </c>
      <c r="P24">
        <f ca="1">LEN(_xlfn.FORMULATEXT('XL-Test'!D58))</f>
        <v>23</v>
      </c>
      <c r="Q24">
        <f ca="1">LEN(_xlfn.FORMULATEXT('XL-Test'!F58))</f>
        <v>46</v>
      </c>
      <c r="R24">
        <f ca="1">LEN(_xlfn.FORMULATEXT('XL-Test'!G58))</f>
        <v>38</v>
      </c>
      <c r="S24">
        <f ca="1">LEN(_xlfn.FORMULATEXT('XL-Test'!H58))</f>
        <v>40</v>
      </c>
      <c r="T24">
        <f ca="1">LEN(_xlfn.FORMULATEXT('XL-Test'!I58))</f>
        <v>36</v>
      </c>
      <c r="U24">
        <f ca="1">LEN(_xlfn.FORMULATEXT('XL-Test'!J58))</f>
        <v>51</v>
      </c>
      <c r="V24">
        <f ca="1">LEN(_xlfn.FORMULATEXT('XL-Test'!K58))</f>
        <v>23</v>
      </c>
      <c r="W24">
        <f ca="1">LEN(_xlfn.FORMULATEXT('XL-Test'!L58))</f>
        <v>38</v>
      </c>
      <c r="X24">
        <f ca="1">LEN(_xlfn.FORMULATEXT('XL-Test'!M58))</f>
        <v>22</v>
      </c>
      <c r="Y24">
        <f ca="1">LEN(_xlfn.FORMULATEXT('XL-Test'!N58))</f>
        <v>60</v>
      </c>
    </row>
    <row r="25" spans="2:25">
      <c r="O25">
        <v>4</v>
      </c>
      <c r="P25">
        <f ca="1">LEN(_xlfn.FORMULATEXT('XL-Test'!D59))</f>
        <v>23</v>
      </c>
      <c r="Q25">
        <f ca="1">LEN(_xlfn.FORMULATEXT('XL-Test'!F59))</f>
        <v>46</v>
      </c>
      <c r="R25">
        <f ca="1">LEN(_xlfn.FORMULATEXT('XL-Test'!G59))</f>
        <v>38</v>
      </c>
      <c r="S25">
        <f ca="1">LEN(_xlfn.FORMULATEXT('XL-Test'!H59))</f>
        <v>40</v>
      </c>
      <c r="T25">
        <f ca="1">LEN(_xlfn.FORMULATEXT('XL-Test'!I59))</f>
        <v>36</v>
      </c>
      <c r="U25">
        <f ca="1">LEN(_xlfn.FORMULATEXT('XL-Test'!J59))</f>
        <v>51</v>
      </c>
      <c r="V25">
        <f ca="1">LEN(_xlfn.FORMULATEXT('XL-Test'!K59))</f>
        <v>23</v>
      </c>
      <c r="W25">
        <f ca="1">LEN(_xlfn.FORMULATEXT('XL-Test'!L59))</f>
        <v>38</v>
      </c>
      <c r="X25">
        <f ca="1">LEN(_xlfn.FORMULATEXT('XL-Test'!M59))</f>
        <v>22</v>
      </c>
      <c r="Y25">
        <f ca="1">LEN(_xlfn.FORMULATEXT('XL-Test'!N59))</f>
        <v>60</v>
      </c>
    </row>
    <row r="26" spans="2:25">
      <c r="B26" t="s">
        <v>114</v>
      </c>
      <c r="C26" t="b">
        <f>NOT(OR(C2="",C2=0))</f>
        <v>1</v>
      </c>
      <c r="D26" t="b">
        <f t="shared" ref="D26:L26" si="6">NOT(OR(D2="",D2=0))</f>
        <v>1</v>
      </c>
      <c r="E26" t="b">
        <f t="shared" si="6"/>
        <v>1</v>
      </c>
      <c r="F26" t="b">
        <f t="shared" si="6"/>
        <v>1</v>
      </c>
      <c r="G26" t="b">
        <f t="shared" si="6"/>
        <v>1</v>
      </c>
      <c r="H26" t="b">
        <f t="shared" si="6"/>
        <v>1</v>
      </c>
      <c r="I26" t="b">
        <f t="shared" si="6"/>
        <v>1</v>
      </c>
      <c r="J26" t="b">
        <f t="shared" si="6"/>
        <v>1</v>
      </c>
      <c r="K26" t="b">
        <f t="shared" si="6"/>
        <v>1</v>
      </c>
      <c r="L26" t="b">
        <f t="shared" si="6"/>
        <v>1</v>
      </c>
      <c r="O26">
        <v>5</v>
      </c>
      <c r="P26">
        <f ca="1">LEN(_xlfn.FORMULATEXT('XL-Test'!D60))</f>
        <v>23</v>
      </c>
      <c r="Q26">
        <f ca="1">LEN(_xlfn.FORMULATEXT('XL-Test'!F60))</f>
        <v>46</v>
      </c>
      <c r="R26">
        <f ca="1">LEN(_xlfn.FORMULATEXT('XL-Test'!G60))</f>
        <v>38</v>
      </c>
      <c r="S26">
        <f ca="1">LEN(_xlfn.FORMULATEXT('XL-Test'!H60))</f>
        <v>40</v>
      </c>
      <c r="T26">
        <f ca="1">LEN(_xlfn.FORMULATEXT('XL-Test'!I60))</f>
        <v>36</v>
      </c>
      <c r="U26">
        <f ca="1">LEN(_xlfn.FORMULATEXT('XL-Test'!J60))</f>
        <v>51</v>
      </c>
      <c r="V26">
        <f ca="1">LEN(_xlfn.FORMULATEXT('XL-Test'!K60))</f>
        <v>23</v>
      </c>
      <c r="W26">
        <f ca="1">LEN(_xlfn.FORMULATEXT('XL-Test'!L60))</f>
        <v>38</v>
      </c>
      <c r="X26">
        <f ca="1">LEN(_xlfn.FORMULATEXT('XL-Test'!M60))</f>
        <v>22</v>
      </c>
      <c r="Y26">
        <f ca="1">LEN(_xlfn.FORMULATEXT('XL-Test'!N60))</f>
        <v>60</v>
      </c>
    </row>
    <row r="27" spans="2:25">
      <c r="B27" t="s">
        <v>115</v>
      </c>
      <c r="C27" t="b">
        <f ca="1">AND(ISNUMBER(FIND("=",S2)),ISNUMBER(FIND("(",S2)))</f>
        <v>1</v>
      </c>
      <c r="D27" t="b">
        <f t="shared" ref="D27:L27" ca="1" si="7">AND(ISNUMBER(FIND("=",T2)),ISNUMBER(FIND("(",T2)))</f>
        <v>1</v>
      </c>
      <c r="E27" t="b">
        <f t="shared" ca="1" si="7"/>
        <v>1</v>
      </c>
      <c r="F27" t="b">
        <f t="shared" ca="1" si="7"/>
        <v>1</v>
      </c>
      <c r="G27" t="b">
        <f t="shared" ca="1" si="7"/>
        <v>1</v>
      </c>
      <c r="H27" t="b">
        <f t="shared" ca="1" si="7"/>
        <v>1</v>
      </c>
      <c r="I27" t="b">
        <f t="shared" ca="1" si="7"/>
        <v>1</v>
      </c>
      <c r="J27" t="b">
        <f t="shared" ca="1" si="7"/>
        <v>1</v>
      </c>
      <c r="K27" t="b">
        <f ca="1">AND(ISNUMBER(FIND("=",AA2)))</f>
        <v>1</v>
      </c>
      <c r="L27" t="b">
        <f t="shared" ca="1" si="7"/>
        <v>1</v>
      </c>
      <c r="O27">
        <v>6</v>
      </c>
      <c r="P27">
        <f ca="1">LEN(_xlfn.FORMULATEXT('XL-Test'!D61))</f>
        <v>23</v>
      </c>
      <c r="Q27">
        <f ca="1">LEN(_xlfn.FORMULATEXT('XL-Test'!F61))</f>
        <v>46</v>
      </c>
      <c r="R27">
        <f ca="1">LEN(_xlfn.FORMULATEXT('XL-Test'!G61))</f>
        <v>38</v>
      </c>
      <c r="S27">
        <f ca="1">LEN(_xlfn.FORMULATEXT('XL-Test'!H61))</f>
        <v>40</v>
      </c>
      <c r="T27">
        <f ca="1">LEN(_xlfn.FORMULATEXT('XL-Test'!I61))</f>
        <v>36</v>
      </c>
      <c r="U27">
        <f ca="1">LEN(_xlfn.FORMULATEXT('XL-Test'!J61))</f>
        <v>51</v>
      </c>
      <c r="V27">
        <f ca="1">LEN(_xlfn.FORMULATEXT('XL-Test'!K61))</f>
        <v>23</v>
      </c>
      <c r="W27">
        <f ca="1">LEN(_xlfn.FORMULATEXT('XL-Test'!L61))</f>
        <v>38</v>
      </c>
      <c r="X27">
        <f ca="1">LEN(_xlfn.FORMULATEXT('XL-Test'!M61))</f>
        <v>22</v>
      </c>
      <c r="Y27">
        <f ca="1">LEN(_xlfn.FORMULATEXT('XL-Test'!N61))</f>
        <v>60</v>
      </c>
    </row>
    <row r="28" spans="2:25">
      <c r="B28" t="s">
        <v>116</v>
      </c>
      <c r="C28" t="b">
        <f t="shared" ref="C28:L28" ca="1" si="8">IFERROR(OR(P38,P40),FALSE)</f>
        <v>1</v>
      </c>
      <c r="D28" t="b">
        <f t="shared" ca="1" si="8"/>
        <v>1</v>
      </c>
      <c r="E28" t="b">
        <f t="shared" ca="1" si="8"/>
        <v>1</v>
      </c>
      <c r="F28" t="b">
        <f t="shared" ca="1" si="8"/>
        <v>1</v>
      </c>
      <c r="G28" t="b">
        <f t="shared" ca="1" si="8"/>
        <v>1</v>
      </c>
      <c r="H28" t="b">
        <f t="shared" ca="1" si="8"/>
        <v>1</v>
      </c>
      <c r="I28" t="b">
        <f t="shared" ca="1" si="8"/>
        <v>1</v>
      </c>
      <c r="J28" t="b">
        <f t="shared" ca="1" si="8"/>
        <v>1</v>
      </c>
      <c r="K28" t="b">
        <f t="shared" ca="1" si="8"/>
        <v>1</v>
      </c>
      <c r="L28" t="b">
        <f t="shared" ca="1" si="8"/>
        <v>1</v>
      </c>
      <c r="O28">
        <v>7</v>
      </c>
      <c r="P28">
        <f ca="1">LEN(_xlfn.FORMULATEXT('XL-Test'!D62))</f>
        <v>23</v>
      </c>
      <c r="Q28">
        <f ca="1">LEN(_xlfn.FORMULATEXT('XL-Test'!F62))</f>
        <v>46</v>
      </c>
      <c r="R28">
        <f ca="1">LEN(_xlfn.FORMULATEXT('XL-Test'!G62))</f>
        <v>38</v>
      </c>
      <c r="S28">
        <f ca="1">LEN(_xlfn.FORMULATEXT('XL-Test'!H62))</f>
        <v>40</v>
      </c>
      <c r="T28">
        <f ca="1">LEN(_xlfn.FORMULATEXT('XL-Test'!I62))</f>
        <v>36</v>
      </c>
      <c r="U28">
        <f ca="1">LEN(_xlfn.FORMULATEXT('XL-Test'!J62))</f>
        <v>51</v>
      </c>
      <c r="V28">
        <f ca="1">LEN(_xlfn.FORMULATEXT('XL-Test'!K62))</f>
        <v>23</v>
      </c>
      <c r="W28">
        <f ca="1">LEN(_xlfn.FORMULATEXT('XL-Test'!L62))</f>
        <v>38</v>
      </c>
      <c r="X28">
        <f ca="1">LEN(_xlfn.FORMULATEXT('XL-Test'!M62))</f>
        <v>22</v>
      </c>
      <c r="Y28">
        <f ca="1">LEN(_xlfn.FORMULATEXT('XL-Test'!N62))</f>
        <v>60</v>
      </c>
    </row>
    <row r="29" spans="2:25">
      <c r="O29">
        <v>8</v>
      </c>
      <c r="P29">
        <f ca="1">LEN(_xlfn.FORMULATEXT('XL-Test'!D63))</f>
        <v>23</v>
      </c>
      <c r="Q29">
        <f ca="1">LEN(_xlfn.FORMULATEXT('XL-Test'!F63))</f>
        <v>46</v>
      </c>
      <c r="R29">
        <f ca="1">LEN(_xlfn.FORMULATEXT('XL-Test'!G63))</f>
        <v>38</v>
      </c>
      <c r="S29">
        <f ca="1">LEN(_xlfn.FORMULATEXT('XL-Test'!H63))</f>
        <v>40</v>
      </c>
      <c r="T29">
        <f ca="1">LEN(_xlfn.FORMULATEXT('XL-Test'!I63))</f>
        <v>36</v>
      </c>
      <c r="U29">
        <f ca="1">LEN(_xlfn.FORMULATEXT('XL-Test'!J63))</f>
        <v>51</v>
      </c>
      <c r="V29">
        <f ca="1">LEN(_xlfn.FORMULATEXT('XL-Test'!K63))</f>
        <v>23</v>
      </c>
      <c r="W29">
        <f ca="1">LEN(_xlfn.FORMULATEXT('XL-Test'!L63))</f>
        <v>38</v>
      </c>
      <c r="X29">
        <f ca="1">LEN(_xlfn.FORMULATEXT('XL-Test'!M63))</f>
        <v>22</v>
      </c>
      <c r="Y29">
        <f ca="1">LEN(_xlfn.FORMULATEXT('XL-Test'!N63))</f>
        <v>60</v>
      </c>
    </row>
    <row r="30" spans="2:25">
      <c r="B30" t="s">
        <v>119</v>
      </c>
      <c r="C30" t="b">
        <f ca="1">ISNUMBER(FIND("MID",S2))</f>
        <v>1</v>
      </c>
      <c r="D30" t="b">
        <f ca="1">OR(ISNUMBER(FIND("IMAGI",T2)),ISNUMBER(FIND("TIMEV",T2)))</f>
        <v>1</v>
      </c>
      <c r="E30" t="b">
        <f ca="1">AND(ISNUMBER(FIND("HLO",U2)),ISNUMBER(FIND("MID",U2)))</f>
        <v>1</v>
      </c>
      <c r="F30" t="b">
        <f ca="1">AND(ISNUMBER(FIND("COD",V2)),ISNUMBER(FIND("MID",V2)))</f>
        <v>1</v>
      </c>
      <c r="G30" t="b">
        <f ca="1">AND(ISNUMBER(FIND("IF",W2)),ISNUMBER(FIND("MID",W2)))</f>
        <v>1</v>
      </c>
      <c r="H30" t="b">
        <f ca="1">AND(ISNUMBER(FIND("LOOK",X2)),ISNUMBER(FIND("LEF",X2)))</f>
        <v>1</v>
      </c>
      <c r="I30" t="b">
        <f ca="1">AND(ISNUMBER(FIND("ARAB",Y2)),ISNUMBER(FIND("MID",Y2)))</f>
        <v>1</v>
      </c>
      <c r="J30" t="b">
        <f ca="1">AND(ISNUMBER(FIND("HLO",Z2)),ISNUMBER(FIND("MID",Z2)))</f>
        <v>1</v>
      </c>
      <c r="K30" t="b">
        <f ca="1">AND(ISNUMBER(FIND("*",AA2)),ISNUMBER(FIND("-",AA2)))</f>
        <v>1</v>
      </c>
      <c r="L30" t="b">
        <f ca="1">OR(AND(ISNUMBER(FIND("IF",AB2)),ISNUMBER(FIND("MID",AB2))),AND(ISNUMBER(FIND("SW",AB2)),ISNUMBER(FIND("MID",AB2))))</f>
        <v>1</v>
      </c>
      <c r="O30">
        <v>9</v>
      </c>
      <c r="P30">
        <f ca="1">LEN(_xlfn.FORMULATEXT('XL-Test'!D64))</f>
        <v>23</v>
      </c>
      <c r="Q30">
        <f ca="1">LEN(_xlfn.FORMULATEXT('XL-Test'!F64))</f>
        <v>46</v>
      </c>
      <c r="R30">
        <f ca="1">LEN(_xlfn.FORMULATEXT('XL-Test'!G64))</f>
        <v>38</v>
      </c>
      <c r="S30">
        <f ca="1">LEN(_xlfn.FORMULATEXT('XL-Test'!H64))</f>
        <v>40</v>
      </c>
      <c r="T30">
        <f ca="1">LEN(_xlfn.FORMULATEXT('XL-Test'!I64))</f>
        <v>36</v>
      </c>
      <c r="U30">
        <f ca="1">LEN(_xlfn.FORMULATEXT('XL-Test'!J64))</f>
        <v>51</v>
      </c>
      <c r="V30">
        <f ca="1">LEN(_xlfn.FORMULATEXT('XL-Test'!K64))</f>
        <v>23</v>
      </c>
      <c r="W30">
        <f ca="1">LEN(_xlfn.FORMULATEXT('XL-Test'!L64))</f>
        <v>38</v>
      </c>
      <c r="X30">
        <f ca="1">LEN(_xlfn.FORMULATEXT('XL-Test'!M64))</f>
        <v>22</v>
      </c>
      <c r="Y30">
        <f ca="1">LEN(_xlfn.FORMULATEXT('XL-Test'!N64))</f>
        <v>60</v>
      </c>
    </row>
    <row r="31" spans="2:25">
      <c r="B31" t="s">
        <v>120</v>
      </c>
      <c r="C31">
        <f ca="1">IFERROR(LEN(S2)-LEN(SUBSTITUTE(S2,"(","")),99)</f>
        <v>1</v>
      </c>
      <c r="D31">
        <f t="shared" ref="D31:L31" ca="1" si="9">IFERROR(LEN(T2)-LEN(SUBSTITUTE(T2,"(","")),99)</f>
        <v>3</v>
      </c>
      <c r="E31">
        <f t="shared" ca="1" si="9"/>
        <v>2</v>
      </c>
      <c r="F31">
        <f t="shared" ca="1" si="9"/>
        <v>4</v>
      </c>
      <c r="G31">
        <f t="shared" ca="1" si="9"/>
        <v>2</v>
      </c>
      <c r="H31">
        <f t="shared" ca="1" si="9"/>
        <v>3</v>
      </c>
      <c r="I31">
        <f t="shared" ca="1" si="9"/>
        <v>2</v>
      </c>
      <c r="J31">
        <f t="shared" ca="1" si="9"/>
        <v>2</v>
      </c>
      <c r="K31">
        <f t="shared" ca="1" si="9"/>
        <v>1</v>
      </c>
      <c r="L31">
        <f t="shared" ca="1" si="9"/>
        <v>2</v>
      </c>
      <c r="O31">
        <v>10</v>
      </c>
      <c r="P31">
        <f ca="1">LEN(_xlfn.FORMULATEXT('XL-Test'!D65))</f>
        <v>23</v>
      </c>
      <c r="Q31">
        <f ca="1">LEN(_xlfn.FORMULATEXT('XL-Test'!F65))</f>
        <v>46</v>
      </c>
      <c r="R31">
        <f ca="1">LEN(_xlfn.FORMULATEXT('XL-Test'!G65))</f>
        <v>38</v>
      </c>
      <c r="S31">
        <f ca="1">LEN(_xlfn.FORMULATEXT('XL-Test'!H65))</f>
        <v>40</v>
      </c>
      <c r="T31">
        <f ca="1">LEN(_xlfn.FORMULATEXT('XL-Test'!I65))</f>
        <v>36</v>
      </c>
      <c r="U31">
        <f ca="1">LEN(_xlfn.FORMULATEXT('XL-Test'!J65))</f>
        <v>51</v>
      </c>
      <c r="V31">
        <f ca="1">LEN(_xlfn.FORMULATEXT('XL-Test'!K65))</f>
        <v>23</v>
      </c>
      <c r="W31">
        <f ca="1">LEN(_xlfn.FORMULATEXT('XL-Test'!L65))</f>
        <v>38</v>
      </c>
      <c r="X31">
        <f ca="1">LEN(_xlfn.FORMULATEXT('XL-Test'!M65))</f>
        <v>22</v>
      </c>
      <c r="Y31">
        <f ca="1">LEN(_xlfn.FORMULATEXT('XL-Test'!N65))</f>
        <v>60</v>
      </c>
    </row>
    <row r="32" spans="2:25">
      <c r="C32">
        <v>1</v>
      </c>
      <c r="D32">
        <v>3</v>
      </c>
      <c r="E32">
        <v>2</v>
      </c>
      <c r="F32">
        <v>4</v>
      </c>
      <c r="G32">
        <v>2</v>
      </c>
      <c r="H32">
        <v>3</v>
      </c>
      <c r="I32">
        <v>2</v>
      </c>
      <c r="J32">
        <v>2</v>
      </c>
      <c r="K32">
        <v>1</v>
      </c>
      <c r="L32">
        <v>4</v>
      </c>
      <c r="O32">
        <v>11</v>
      </c>
      <c r="P32">
        <f ca="1">LEN(_xlfn.FORMULATEXT('XL-Test'!D66))</f>
        <v>23</v>
      </c>
      <c r="Q32">
        <f ca="1">LEN(_xlfn.FORMULATEXT('XL-Test'!F66))</f>
        <v>46</v>
      </c>
      <c r="R32">
        <f ca="1">LEN(_xlfn.FORMULATEXT('XL-Test'!G66))</f>
        <v>38</v>
      </c>
      <c r="S32">
        <f ca="1">LEN(_xlfn.FORMULATEXT('XL-Test'!H66))</f>
        <v>40</v>
      </c>
      <c r="T32">
        <f ca="1">LEN(_xlfn.FORMULATEXT('XL-Test'!I66))</f>
        <v>36</v>
      </c>
      <c r="U32">
        <f ca="1">LEN(_xlfn.FORMULATEXT('XL-Test'!J66))</f>
        <v>51</v>
      </c>
      <c r="V32">
        <f ca="1">LEN(_xlfn.FORMULATEXT('XL-Test'!K66))</f>
        <v>23</v>
      </c>
      <c r="W32">
        <f ca="1">LEN(_xlfn.FORMULATEXT('XL-Test'!L66))</f>
        <v>38</v>
      </c>
      <c r="X32">
        <f ca="1">LEN(_xlfn.FORMULATEXT('XL-Test'!M66))</f>
        <v>22</v>
      </c>
      <c r="Y32">
        <f ca="1">LEN(_xlfn.FORMULATEXT('XL-Test'!N66))</f>
        <v>60</v>
      </c>
    </row>
    <row r="33" spans="2:25">
      <c r="C33" t="b">
        <f ca="1">C31&lt;=C32</f>
        <v>1</v>
      </c>
      <c r="D33" t="b">
        <f t="shared" ref="D33:L33" ca="1" si="10">D31&lt;=D32</f>
        <v>1</v>
      </c>
      <c r="E33" t="b">
        <f t="shared" ca="1" si="10"/>
        <v>1</v>
      </c>
      <c r="F33" t="b">
        <f t="shared" ca="1" si="10"/>
        <v>1</v>
      </c>
      <c r="G33" t="b">
        <f t="shared" ca="1" si="10"/>
        <v>1</v>
      </c>
      <c r="H33" t="b">
        <f t="shared" ca="1" si="10"/>
        <v>1</v>
      </c>
      <c r="I33" t="b">
        <f t="shared" ca="1" si="10"/>
        <v>1</v>
      </c>
      <c r="J33" t="b">
        <f t="shared" ca="1" si="10"/>
        <v>1</v>
      </c>
      <c r="K33" t="b">
        <f t="shared" ca="1" si="10"/>
        <v>1</v>
      </c>
      <c r="L33" t="b">
        <f t="shared" ca="1" si="10"/>
        <v>1</v>
      </c>
      <c r="O33">
        <v>12</v>
      </c>
      <c r="P33">
        <f ca="1">LEN(_xlfn.FORMULATEXT('XL-Test'!D67))</f>
        <v>23</v>
      </c>
      <c r="Q33">
        <f ca="1">LEN(_xlfn.FORMULATEXT('XL-Test'!F67))</f>
        <v>46</v>
      </c>
      <c r="R33">
        <f ca="1">LEN(_xlfn.FORMULATEXT('XL-Test'!G67))</f>
        <v>38</v>
      </c>
      <c r="S33">
        <f ca="1">LEN(_xlfn.FORMULATEXT('XL-Test'!H67))</f>
        <v>40</v>
      </c>
      <c r="T33">
        <f ca="1">LEN(_xlfn.FORMULATEXT('XL-Test'!I67))</f>
        <v>36</v>
      </c>
      <c r="U33">
        <f ca="1">LEN(_xlfn.FORMULATEXT('XL-Test'!J67))</f>
        <v>51</v>
      </c>
      <c r="V33">
        <f ca="1">LEN(_xlfn.FORMULATEXT('XL-Test'!K67))</f>
        <v>23</v>
      </c>
      <c r="W33">
        <f ca="1">LEN(_xlfn.FORMULATEXT('XL-Test'!L67))</f>
        <v>38</v>
      </c>
      <c r="X33">
        <f ca="1">LEN(_xlfn.FORMULATEXT('XL-Test'!M67))</f>
        <v>22</v>
      </c>
      <c r="Y33">
        <f ca="1">LEN(_xlfn.FORMULATEXT('XL-Test'!N67))</f>
        <v>60</v>
      </c>
    </row>
    <row r="34" spans="2:25">
      <c r="O34">
        <v>13</v>
      </c>
      <c r="P34">
        <f ca="1">LEN(_xlfn.FORMULATEXT('XL-Test'!D68))</f>
        <v>23</v>
      </c>
      <c r="Q34">
        <f ca="1">LEN(_xlfn.FORMULATEXT('XL-Test'!F68))</f>
        <v>46</v>
      </c>
      <c r="R34">
        <f ca="1">LEN(_xlfn.FORMULATEXT('XL-Test'!G68))</f>
        <v>38</v>
      </c>
      <c r="S34">
        <f ca="1">LEN(_xlfn.FORMULATEXT('XL-Test'!H68))</f>
        <v>40</v>
      </c>
      <c r="T34">
        <f ca="1">LEN(_xlfn.FORMULATEXT('XL-Test'!I68))</f>
        <v>36</v>
      </c>
      <c r="U34">
        <f ca="1">LEN(_xlfn.FORMULATEXT('XL-Test'!J68))</f>
        <v>51</v>
      </c>
      <c r="V34">
        <f ca="1">LEN(_xlfn.FORMULATEXT('XL-Test'!K68))</f>
        <v>23</v>
      </c>
      <c r="W34">
        <f ca="1">LEN(_xlfn.FORMULATEXT('XL-Test'!L68))</f>
        <v>38</v>
      </c>
      <c r="X34">
        <f ca="1">LEN(_xlfn.FORMULATEXT('XL-Test'!M68))</f>
        <v>22</v>
      </c>
      <c r="Y34">
        <f ca="1">LEN(_xlfn.FORMULATEXT('XL-Test'!N68))</f>
        <v>60</v>
      </c>
    </row>
    <row r="35" spans="2:25">
      <c r="B35" t="s">
        <v>121</v>
      </c>
      <c r="C35" t="str">
        <f ca="1">IFERROR(DEC2HEX(IF(AND(C26:C28),C19,C21)),"EEE")</f>
        <v>DFF</v>
      </c>
      <c r="D35" t="str">
        <f t="shared" ref="D35:L35" ca="1" si="11">IFERROR(DEC2HEX(IF(AND(D26:D28),D19,D21)),"EEE")</f>
        <v>7DD</v>
      </c>
      <c r="E35" t="str">
        <f t="shared" ca="1" si="11"/>
        <v>172A</v>
      </c>
      <c r="F35" t="str">
        <f t="shared" ca="1" si="11"/>
        <v>29B</v>
      </c>
      <c r="G35" t="str">
        <f t="shared" ca="1" si="11"/>
        <v>12EA</v>
      </c>
      <c r="H35" t="str">
        <f t="shared" ca="1" si="11"/>
        <v>D4A58</v>
      </c>
      <c r="I35" t="str">
        <f t="shared" ca="1" si="11"/>
        <v>64A</v>
      </c>
      <c r="J35" t="str">
        <f t="shared" ca="1" si="11"/>
        <v>3D80</v>
      </c>
      <c r="K35" t="str">
        <f t="shared" ca="1" si="11"/>
        <v>3BB02BC</v>
      </c>
      <c r="L35" t="str">
        <f t="shared" ca="1" si="11"/>
        <v>1362</v>
      </c>
      <c r="O35">
        <v>14</v>
      </c>
      <c r="P35">
        <f ca="1">LEN(_xlfn.FORMULATEXT('XL-Test'!D69))</f>
        <v>23</v>
      </c>
      <c r="Q35">
        <f ca="1">LEN(_xlfn.FORMULATEXT('XL-Test'!F69))</f>
        <v>46</v>
      </c>
      <c r="R35">
        <f ca="1">LEN(_xlfn.FORMULATEXT('XL-Test'!G69))</f>
        <v>38</v>
      </c>
      <c r="S35">
        <f ca="1">LEN(_xlfn.FORMULATEXT('XL-Test'!H69))</f>
        <v>40</v>
      </c>
      <c r="T35">
        <f ca="1">LEN(_xlfn.FORMULATEXT('XL-Test'!I69))</f>
        <v>36</v>
      </c>
      <c r="U35">
        <f ca="1">LEN(_xlfn.FORMULATEXT('XL-Test'!J69))</f>
        <v>51</v>
      </c>
      <c r="V35">
        <f ca="1">LEN(_xlfn.FORMULATEXT('XL-Test'!K69))</f>
        <v>23</v>
      </c>
      <c r="W35">
        <f ca="1">LEN(_xlfn.FORMULATEXT('XL-Test'!L69))</f>
        <v>38</v>
      </c>
      <c r="X35">
        <f ca="1">LEN(_xlfn.FORMULATEXT('XL-Test'!M69))</f>
        <v>22</v>
      </c>
      <c r="Y35">
        <f ca="1">LEN(_xlfn.FORMULATEXT('XL-Test'!N69))</f>
        <v>60</v>
      </c>
    </row>
    <row r="36" spans="2:25">
      <c r="B36" t="s">
        <v>122</v>
      </c>
      <c r="C36" t="str">
        <f ca="1">IF(AND(C33,C30),C23,C24)</f>
        <v>13</v>
      </c>
      <c r="D36" t="str">
        <f t="shared" ref="D36:K36" ca="1" si="12">IF(AND(D33,D30),D23,D24)</f>
        <v>5C</v>
      </c>
      <c r="E36" t="str">
        <f t="shared" ca="1" si="12"/>
        <v>55</v>
      </c>
      <c r="F36" t="str">
        <f t="shared" ca="1" si="12"/>
        <v>5C</v>
      </c>
      <c r="G36" t="str">
        <f t="shared" ca="1" si="12"/>
        <v>1B</v>
      </c>
      <c r="H36" t="str">
        <f t="shared" ca="1" si="12"/>
        <v>2C</v>
      </c>
      <c r="I36" t="str">
        <f t="shared" ca="1" si="12"/>
        <v>2B</v>
      </c>
      <c r="J36" t="str">
        <f t="shared" ca="1" si="12"/>
        <v>40</v>
      </c>
      <c r="K36" t="str">
        <f t="shared" ca="1" si="12"/>
        <v>2B</v>
      </c>
      <c r="L36" t="str">
        <f ca="1">IF(AND(L33,L30),L23,L24)</f>
        <v>35</v>
      </c>
      <c r="O36">
        <v>15</v>
      </c>
      <c r="P36">
        <f ca="1">LEN(_xlfn.FORMULATEXT('XL-Test'!D70))</f>
        <v>23</v>
      </c>
      <c r="Q36">
        <f ca="1">LEN(_xlfn.FORMULATEXT('XL-Test'!F70))</f>
        <v>46</v>
      </c>
      <c r="R36">
        <f ca="1">LEN(_xlfn.FORMULATEXT('XL-Test'!G70))</f>
        <v>38</v>
      </c>
      <c r="S36">
        <f ca="1">LEN(_xlfn.FORMULATEXT('XL-Test'!H70))</f>
        <v>40</v>
      </c>
      <c r="T36">
        <f ca="1">LEN(_xlfn.FORMULATEXT('XL-Test'!I70))</f>
        <v>36</v>
      </c>
      <c r="U36">
        <f ca="1">LEN(_xlfn.FORMULATEXT('XL-Test'!J70))</f>
        <v>51</v>
      </c>
      <c r="V36">
        <f ca="1">LEN(_xlfn.FORMULATEXT('XL-Test'!K70))</f>
        <v>23</v>
      </c>
      <c r="W36">
        <f ca="1">LEN(_xlfn.FORMULATEXT('XL-Test'!L70))</f>
        <v>38</v>
      </c>
      <c r="X36">
        <f ca="1">LEN(_xlfn.FORMULATEXT('XL-Test'!M70))</f>
        <v>22</v>
      </c>
      <c r="Y36">
        <f ca="1">LEN(_xlfn.FORMULATEXT('XL-Test'!N70))</f>
        <v>60</v>
      </c>
    </row>
    <row r="38" spans="2:25">
      <c r="C38" t="str">
        <f ca="1">C36&amp;"-"&amp;C35&amp;";"</f>
        <v>13-DFF;</v>
      </c>
      <c r="D38" t="str">
        <f t="shared" ref="D38:K38" ca="1" si="13">D36&amp;"-"&amp;D35&amp;";"</f>
        <v>5C-7DD;</v>
      </c>
      <c r="E38" t="str">
        <f t="shared" ca="1" si="13"/>
        <v>55-172A;</v>
      </c>
      <c r="F38" t="str">
        <f t="shared" ca="1" si="13"/>
        <v>5C-29B;</v>
      </c>
      <c r="G38" t="str">
        <f t="shared" ca="1" si="13"/>
        <v>1B-12EA;</v>
      </c>
      <c r="H38" t="str">
        <f t="shared" ca="1" si="13"/>
        <v>2C-D4A58;</v>
      </c>
      <c r="I38" t="str">
        <f t="shared" ca="1" si="13"/>
        <v>2B-64A;</v>
      </c>
      <c r="J38" t="str">
        <f t="shared" ca="1" si="13"/>
        <v>40-3D80;</v>
      </c>
      <c r="K38" t="str">
        <f t="shared" ca="1" si="13"/>
        <v>2B-3BB02BC;</v>
      </c>
      <c r="L38" t="str">
        <f ca="1">L36&amp;"-"&amp;L35</f>
        <v>35-1362</v>
      </c>
      <c r="O38" t="s">
        <v>117</v>
      </c>
      <c r="P38" t="b">
        <f ca="1">AVERAGE(P22:P36)=P22</f>
        <v>1</v>
      </c>
      <c r="Q38" t="b">
        <f t="shared" ref="Q38:Y38" ca="1" si="14">AVERAGE(Q22:Q36)=Q22</f>
        <v>1</v>
      </c>
      <c r="R38" t="b">
        <f t="shared" ca="1" si="14"/>
        <v>1</v>
      </c>
      <c r="S38" t="b">
        <f t="shared" ca="1" si="14"/>
        <v>1</v>
      </c>
      <c r="T38" t="b">
        <f t="shared" ca="1" si="14"/>
        <v>1</v>
      </c>
      <c r="U38" t="b">
        <f t="shared" ca="1" si="14"/>
        <v>1</v>
      </c>
      <c r="V38" t="b">
        <f t="shared" ca="1" si="14"/>
        <v>1</v>
      </c>
      <c r="W38" t="b">
        <f t="shared" ca="1" si="14"/>
        <v>1</v>
      </c>
      <c r="X38" t="b">
        <f t="shared" ca="1" si="14"/>
        <v>1</v>
      </c>
      <c r="Y38" t="b">
        <f t="shared" ca="1" si="14"/>
        <v>1</v>
      </c>
    </row>
    <row r="40" spans="2:25">
      <c r="C40" t="str">
        <f ca="1">A2&amp;"|"&amp;C38&amp;D38&amp;E38&amp;F38&amp;G38&amp;H38&amp;I38&amp;J38&amp;K38&amp;L38</f>
        <v>MN2|13-DFF;5C-7DD;55-172A;5C-29B;1B-12EA;2C-D4A58;2B-64A;40-3D80;2B-3BB02BC;35-1362</v>
      </c>
      <c r="O40" t="s">
        <v>118</v>
      </c>
      <c r="P40" t="b">
        <f t="shared" ref="P40:Y40" ca="1" si="15">IF(P22&gt;0,P26=0,C6&gt;0)</f>
        <v>0</v>
      </c>
      <c r="Q40" t="b">
        <f t="shared" ca="1" si="15"/>
        <v>0</v>
      </c>
      <c r="R40" t="b">
        <f t="shared" ca="1" si="15"/>
        <v>0</v>
      </c>
      <c r="S40" t="b">
        <f t="shared" ca="1" si="15"/>
        <v>0</v>
      </c>
      <c r="T40" t="b">
        <f t="shared" ca="1" si="15"/>
        <v>0</v>
      </c>
      <c r="U40" t="b">
        <f t="shared" ca="1" si="15"/>
        <v>0</v>
      </c>
      <c r="V40" t="b">
        <f t="shared" ca="1" si="15"/>
        <v>0</v>
      </c>
      <c r="W40" t="b">
        <f t="shared" ca="1" si="15"/>
        <v>0</v>
      </c>
      <c r="X40" t="b">
        <f t="shared" ca="1" si="15"/>
        <v>0</v>
      </c>
      <c r="Y40" t="b">
        <f t="shared" ca="1" si="15"/>
        <v>0</v>
      </c>
    </row>
    <row r="43" spans="2:25">
      <c r="C43" t="str" cm="1">
        <f t="array" aca="1" ref="C43" ca="1">INDIRECT(O47&amp;U17&amp;Y44)</f>
        <v>MN2|13-DFF;5C-7DD;55-172A;5C-29B;1B-12EA;2C-D4A58;2B-64A;40-3D80;2B-3BB02BC;35-1362</v>
      </c>
    </row>
    <row r="44" spans="2:25">
      <c r="Y44" t="s">
        <v>125</v>
      </c>
    </row>
    <row r="45" spans="2:25">
      <c r="C45" t="str">
        <f ca="1">C43</f>
        <v>MN2|13-DFF;5C-7DD;55-172A;5C-29B;1B-12EA;2C-D4A58;2B-64A;40-3D80;2B-3BB02BC;35-1362</v>
      </c>
    </row>
    <row r="47" spans="2:25">
      <c r="O47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D8CD-B4AC-4F6D-91B1-510007C7F7E8}">
  <sheetPr codeName="Sheet3"/>
  <dimension ref="B1:P32"/>
  <sheetViews>
    <sheetView showGridLines="0" workbookViewId="0">
      <selection activeCell="N13" sqref="N13"/>
    </sheetView>
  </sheetViews>
  <sheetFormatPr defaultColWidth="8.85546875" defaultRowHeight="15"/>
  <cols>
    <col min="1" max="1" width="5.7109375" style="64" customWidth="1"/>
    <col min="2" max="2" width="10" style="64" customWidth="1"/>
    <col min="3" max="6" width="8.85546875" style="64"/>
    <col min="7" max="8" width="4.28515625" style="64" customWidth="1"/>
    <col min="9" max="9" width="8.85546875" style="64"/>
    <col min="10" max="10" width="10.42578125" style="64" customWidth="1"/>
    <col min="11" max="11" width="9.28515625" style="64" customWidth="1"/>
    <col min="12" max="13" width="8.85546875" style="64"/>
    <col min="14" max="14" width="26.42578125" style="64" customWidth="1"/>
    <col min="15" max="16384" width="8.85546875" style="64"/>
  </cols>
  <sheetData>
    <row r="1" spans="7:16">
      <c r="H1" s="65"/>
      <c r="I1" s="65"/>
      <c r="J1" s="65"/>
      <c r="K1" s="65"/>
      <c r="L1" s="65"/>
      <c r="M1" s="65"/>
      <c r="N1" s="65"/>
      <c r="O1" s="65"/>
      <c r="P1" s="65"/>
    </row>
    <row r="2" spans="7:16">
      <c r="H2" s="65"/>
      <c r="I2" s="65"/>
      <c r="J2" s="65"/>
      <c r="K2" s="65"/>
      <c r="L2" s="65"/>
      <c r="M2" s="65"/>
      <c r="N2" s="65"/>
      <c r="O2" s="65"/>
      <c r="P2" s="65"/>
    </row>
    <row r="3" spans="7:16">
      <c r="G3" s="66"/>
      <c r="H3" s="67"/>
      <c r="I3" s="65"/>
      <c r="J3" s="65"/>
      <c r="K3" s="65"/>
      <c r="L3" s="65"/>
      <c r="M3" s="65"/>
      <c r="N3" s="65"/>
      <c r="O3" s="65"/>
      <c r="P3" s="65"/>
    </row>
    <row r="4" spans="7:16">
      <c r="G4" s="66"/>
      <c r="H4" s="67"/>
      <c r="I4" s="65"/>
      <c r="J4" s="65"/>
      <c r="K4" s="65"/>
      <c r="L4" s="65"/>
      <c r="M4" s="65"/>
      <c r="N4" s="65"/>
      <c r="O4" s="65"/>
      <c r="P4" s="65"/>
    </row>
    <row r="5" spans="7:16">
      <c r="G5" s="66"/>
      <c r="H5" s="67"/>
      <c r="I5" s="65"/>
      <c r="J5" s="65"/>
      <c r="K5" s="65"/>
      <c r="L5" s="65"/>
      <c r="M5" s="65"/>
      <c r="N5" s="65"/>
      <c r="O5" s="65"/>
      <c r="P5" s="65"/>
    </row>
    <row r="6" spans="7:16">
      <c r="G6" s="66"/>
      <c r="H6" s="67"/>
      <c r="I6" s="65" t="s">
        <v>127</v>
      </c>
      <c r="J6" s="65"/>
      <c r="K6" s="65"/>
      <c r="L6" s="65"/>
      <c r="M6" s="65"/>
      <c r="N6" s="65"/>
      <c r="O6" s="65"/>
      <c r="P6" s="65"/>
    </row>
    <row r="7" spans="7:16">
      <c r="G7" s="66"/>
      <c r="H7" s="67"/>
      <c r="I7" s="65" t="s">
        <v>128</v>
      </c>
      <c r="J7" s="65"/>
      <c r="K7" s="65"/>
      <c r="L7" s="65"/>
      <c r="M7" s="65"/>
      <c r="N7" s="65"/>
      <c r="O7" s="65"/>
      <c r="P7" s="65"/>
    </row>
    <row r="8" spans="7:16">
      <c r="G8" s="66"/>
      <c r="H8" s="67"/>
      <c r="I8" s="65"/>
      <c r="J8" s="65"/>
      <c r="K8" s="65"/>
      <c r="L8" s="65"/>
      <c r="M8" s="65"/>
      <c r="N8" s="65"/>
      <c r="O8" s="65"/>
      <c r="P8" s="65"/>
    </row>
    <row r="9" spans="7:16">
      <c r="G9" s="66"/>
      <c r="H9" s="67"/>
      <c r="I9" s="65"/>
      <c r="J9" s="65"/>
      <c r="K9" s="65"/>
      <c r="L9" s="65"/>
      <c r="M9" s="65"/>
      <c r="N9" s="65"/>
      <c r="O9" s="65"/>
      <c r="P9" s="65"/>
    </row>
    <row r="10" spans="7:16">
      <c r="G10" s="66"/>
      <c r="H10" s="67"/>
      <c r="I10" s="65" t="s">
        <v>129</v>
      </c>
      <c r="J10" s="65"/>
      <c r="K10" s="65"/>
      <c r="L10" s="65"/>
      <c r="M10" s="65"/>
      <c r="N10" s="65"/>
      <c r="O10" s="65"/>
      <c r="P10" s="65"/>
    </row>
    <row r="11" spans="7:16">
      <c r="G11" s="66"/>
      <c r="H11" s="67"/>
      <c r="I11" s="65"/>
      <c r="J11" s="65"/>
      <c r="K11" s="65"/>
      <c r="L11" s="65"/>
      <c r="M11" s="65"/>
      <c r="N11" s="65"/>
      <c r="O11" s="65"/>
      <c r="P11" s="65"/>
    </row>
    <row r="12" spans="7:16">
      <c r="G12" s="66"/>
      <c r="H12" s="67"/>
      <c r="I12" s="68"/>
      <c r="J12" s="93" t="s">
        <v>130</v>
      </c>
      <c r="K12" s="93"/>
      <c r="L12" s="92" t="s">
        <v>131</v>
      </c>
      <c r="M12" s="92"/>
      <c r="N12" s="65"/>
      <c r="O12" s="65"/>
      <c r="P12" s="65"/>
    </row>
    <row r="13" spans="7:16">
      <c r="G13" s="66"/>
      <c r="H13" s="67"/>
      <c r="I13" s="68"/>
      <c r="J13" s="93" t="s">
        <v>132</v>
      </c>
      <c r="K13" s="93"/>
      <c r="L13" s="69" t="s">
        <v>133</v>
      </c>
      <c r="M13" s="69"/>
      <c r="N13" s="65"/>
      <c r="O13" s="65"/>
      <c r="P13" s="65"/>
    </row>
    <row r="14" spans="7:16">
      <c r="G14" s="66"/>
      <c r="H14" s="67"/>
      <c r="I14" s="68"/>
      <c r="J14" s="93" t="s">
        <v>134</v>
      </c>
      <c r="K14" s="93"/>
      <c r="L14" s="69" t="s">
        <v>135</v>
      </c>
      <c r="M14" s="70"/>
      <c r="N14" s="65"/>
      <c r="O14" s="65"/>
      <c r="P14" s="65"/>
    </row>
    <row r="15" spans="7:16">
      <c r="G15" s="66"/>
      <c r="H15" s="67"/>
      <c r="I15" s="68"/>
      <c r="J15" s="93" t="s">
        <v>136</v>
      </c>
      <c r="K15" s="93"/>
      <c r="L15" s="69" t="s">
        <v>137</v>
      </c>
      <c r="M15" s="70"/>
      <c r="N15" s="65"/>
      <c r="O15" s="65"/>
      <c r="P15" s="65"/>
    </row>
    <row r="16" spans="7:16">
      <c r="G16" s="66"/>
      <c r="H16" s="67"/>
      <c r="I16" s="68"/>
      <c r="J16" s="93" t="s">
        <v>138</v>
      </c>
      <c r="K16" s="93"/>
      <c r="L16" s="69" t="s">
        <v>139</v>
      </c>
      <c r="M16" s="70"/>
      <c r="N16" s="65"/>
      <c r="O16" s="65"/>
      <c r="P16" s="65"/>
    </row>
    <row r="17" spans="2:16" ht="54.6" customHeight="1">
      <c r="B17" s="94" t="s">
        <v>140</v>
      </c>
      <c r="C17" s="94"/>
      <c r="D17" s="94"/>
      <c r="E17" s="94"/>
      <c r="F17" s="95"/>
      <c r="G17" s="71"/>
      <c r="H17" s="67"/>
      <c r="I17" s="65" t="s">
        <v>141</v>
      </c>
      <c r="J17" s="65"/>
      <c r="K17" s="65"/>
      <c r="L17" s="65"/>
      <c r="M17" s="65"/>
      <c r="N17" s="65"/>
      <c r="O17" s="65"/>
      <c r="P17" s="65"/>
    </row>
    <row r="18" spans="2:16" ht="54.6" customHeight="1">
      <c r="B18" s="96" t="s">
        <v>142</v>
      </c>
      <c r="C18" s="96"/>
      <c r="D18" s="96"/>
      <c r="E18" s="96"/>
      <c r="F18" s="97"/>
      <c r="G18" s="72"/>
      <c r="H18" s="67"/>
      <c r="I18" s="73" t="s">
        <v>143</v>
      </c>
      <c r="J18" s="65"/>
      <c r="K18" s="65"/>
      <c r="L18" s="65"/>
      <c r="M18" s="65"/>
      <c r="N18" s="65"/>
      <c r="O18" s="65"/>
      <c r="P18" s="65"/>
    </row>
    <row r="19" spans="2:16">
      <c r="B19" s="74" t="s">
        <v>144</v>
      </c>
      <c r="H19" s="65"/>
      <c r="J19" s="65"/>
      <c r="K19" s="65"/>
      <c r="L19" s="65"/>
      <c r="M19" s="65"/>
      <c r="N19" s="65"/>
      <c r="O19" s="65"/>
      <c r="P19" s="65"/>
    </row>
    <row r="20" spans="2:16">
      <c r="B20" s="75" t="s">
        <v>145</v>
      </c>
      <c r="C20" s="76" t="s">
        <v>146</v>
      </c>
      <c r="H20" s="65"/>
      <c r="J20" s="65"/>
      <c r="K20" s="65"/>
      <c r="L20" s="65"/>
      <c r="M20" s="65"/>
      <c r="N20" s="65"/>
      <c r="O20" s="65"/>
      <c r="P20" s="65"/>
    </row>
    <row r="21" spans="2:16">
      <c r="B21" s="77" t="s">
        <v>147</v>
      </c>
      <c r="C21" s="76" t="s">
        <v>148</v>
      </c>
      <c r="H21" s="65"/>
      <c r="I21" s="65"/>
      <c r="J21" s="65"/>
      <c r="K21" s="65"/>
      <c r="L21" s="65"/>
      <c r="M21" s="65"/>
      <c r="N21" s="65"/>
      <c r="O21" s="65"/>
      <c r="P21" s="65"/>
    </row>
    <row r="22" spans="2:16">
      <c r="H22" s="65"/>
      <c r="I22" s="65"/>
      <c r="J22" s="65"/>
      <c r="K22" s="65"/>
      <c r="L22" s="65"/>
      <c r="M22" s="65"/>
      <c r="N22" s="65"/>
      <c r="O22" s="65"/>
      <c r="P22" s="65"/>
    </row>
    <row r="23" spans="2:16">
      <c r="N23" s="65"/>
      <c r="O23" s="65"/>
      <c r="P23" s="65"/>
    </row>
    <row r="24" spans="2:16">
      <c r="N24" s="65"/>
      <c r="O24" s="65"/>
      <c r="P24" s="65"/>
    </row>
    <row r="25" spans="2:16">
      <c r="B25" s="98"/>
      <c r="C25" s="99"/>
      <c r="D25" s="99"/>
      <c r="E25" s="99"/>
      <c r="F25" s="99"/>
      <c r="G25" s="99"/>
      <c r="H25" s="99"/>
      <c r="I25" s="99"/>
      <c r="N25" s="65"/>
      <c r="O25" s="65"/>
      <c r="P25" s="65"/>
    </row>
    <row r="26" spans="2:16">
      <c r="B26" s="78"/>
      <c r="C26" s="79"/>
      <c r="D26" s="78"/>
      <c r="E26" s="78"/>
      <c r="F26" s="78"/>
      <c r="G26" s="78"/>
      <c r="H26" s="78"/>
      <c r="I26" s="78"/>
    </row>
    <row r="27" spans="2:16">
      <c r="B27" s="78"/>
      <c r="C27" s="78"/>
      <c r="D27" s="80" t="s">
        <v>149</v>
      </c>
      <c r="E27" s="78"/>
      <c r="F27" s="78"/>
      <c r="G27" s="78"/>
      <c r="H27" s="78"/>
      <c r="I27" s="78"/>
    </row>
    <row r="28" spans="2:16">
      <c r="B28" s="78"/>
      <c r="C28" s="78"/>
      <c r="D28" s="81" t="s">
        <v>150</v>
      </c>
      <c r="E28" s="78"/>
      <c r="F28" s="78"/>
      <c r="G28" s="78"/>
      <c r="H28" s="78"/>
      <c r="I28" s="78"/>
    </row>
    <row r="29" spans="2:16">
      <c r="B29" s="78"/>
      <c r="C29" s="78"/>
      <c r="D29" s="82" t="s">
        <v>151</v>
      </c>
      <c r="E29" s="78"/>
      <c r="F29" s="78"/>
      <c r="G29" s="78"/>
      <c r="H29" s="78"/>
      <c r="I29" s="78"/>
    </row>
    <row r="30" spans="2:16">
      <c r="B30" s="78"/>
      <c r="C30" s="78"/>
      <c r="D30" s="78"/>
      <c r="E30" s="78"/>
      <c r="F30" s="78"/>
      <c r="G30" s="78"/>
      <c r="H30" s="78"/>
      <c r="I30" s="78"/>
    </row>
    <row r="31" spans="2:16">
      <c r="B31" s="78"/>
      <c r="C31" s="78"/>
      <c r="D31" s="78"/>
      <c r="E31" s="78"/>
      <c r="F31" s="78"/>
      <c r="G31" s="78"/>
      <c r="H31" s="78"/>
      <c r="I31" s="78"/>
    </row>
    <row r="32" spans="2:16">
      <c r="B32" s="98"/>
      <c r="C32" s="99"/>
      <c r="D32" s="99"/>
      <c r="E32" s="99"/>
      <c r="F32" s="99"/>
      <c r="G32" s="99"/>
      <c r="H32" s="99"/>
      <c r="I32" s="99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CE1D5363-2BE4-4324-8D12-87C4E3B291AD}"/>
    <hyperlink ref="C21" r:id="rId2" xr:uid="{870601AC-E0EA-4F91-A790-7EBE7AF3826F}"/>
    <hyperlink ref="C20" r:id="rId3" xr:uid="{21F958F5-B10D-4283-86EF-E744A8CC38F3}"/>
    <hyperlink ref="D29" r:id="rId4" xr:uid="{70F45FBC-1C6B-4EEB-9598-5FB3312D8AD5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Kode_jawaban</vt:lpstr>
      <vt:lpstr>DF!sayajo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2026-03-13T06:33:07Z</dcterms:created>
  <dcterms:modified xsi:type="dcterms:W3CDTF">2026-06-11T05:02:39Z</dcterms:modified>
</cp:coreProperties>
</file>