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codeName="ThisWorkbook"/>
  <mc:AlternateContent xmlns:mc="http://schemas.openxmlformats.org/markup-compatibility/2006">
    <mc:Choice Requires="x15">
      <x15ac:absPath xmlns:x15ac="http://schemas.microsoft.com/office/spreadsheetml/2010/11/ac" url="D:\Portofolio Project\sql\Excel\"/>
    </mc:Choice>
  </mc:AlternateContent>
  <xr:revisionPtr revIDLastSave="32" documentId="13_ncr:1_{1A22F465-9724-4229-9133-40C455E48849}" xr6:coauthVersionLast="47" xr6:coauthVersionMax="47" xr10:uidLastSave="{08E13126-610D-4A33-95A4-D01E4ABAD513}"/>
  <workbookProtection workbookAlgorithmName="SHA-512" workbookHashValue="Yi245KvEYHWmYBcrw/1rWHcjtFOJ+wKVDLDnGXzxA7cidguOgwxF7bQ2nonUs2t9FzmYmj2/3PErukO6gs6qPw==" workbookSaltValue="N6Y63xgohgv3ktFt+wHBjw==" workbookSpinCount="100000" lockStructure="1"/>
  <bookViews>
    <workbookView xWindow="-120" yWindow="-120" windowWidth="20730" windowHeight="11760" xr2:uid="{C9E9840D-B25A-49ED-BB3C-65BABD4F5BC5}"/>
  </bookViews>
  <sheets>
    <sheet name="XL-Test" sheetId="1" r:id="rId1"/>
    <sheet name="DF" sheetId="3" state="veryHidden" r:id="rId2"/>
    <sheet name="About" sheetId="2" r:id="rId3"/>
  </sheets>
  <definedNames>
    <definedName name="kode_jawaban">DF!$D$56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8" i="1"/>
  <c r="H16" i="3"/>
  <c r="H14" i="3"/>
  <c r="H2" i="3"/>
  <c r="L9" i="1"/>
  <c r="L10" i="1"/>
  <c r="L11" i="1"/>
  <c r="L12" i="1"/>
  <c r="L13" i="1"/>
  <c r="L14" i="1"/>
  <c r="L15" i="1"/>
  <c r="J9" i="3" s="1"/>
  <c r="L16" i="1"/>
  <c r="L17" i="1"/>
  <c r="L18" i="1"/>
  <c r="L19" i="1"/>
  <c r="L20" i="1"/>
  <c r="L21" i="1"/>
  <c r="L22" i="1"/>
  <c r="L8" i="1"/>
  <c r="J2" i="3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8" i="1"/>
  <c r="J4" i="3"/>
  <c r="M9" i="1"/>
  <c r="M10" i="1"/>
  <c r="M11" i="1"/>
  <c r="M12" i="1"/>
  <c r="K6" i="3" s="1"/>
  <c r="M13" i="1"/>
  <c r="M14" i="1"/>
  <c r="M15" i="1"/>
  <c r="M16" i="1"/>
  <c r="K10" i="3" s="1"/>
  <c r="M17" i="1"/>
  <c r="M18" i="1"/>
  <c r="M19" i="1"/>
  <c r="M20" i="1"/>
  <c r="K14" i="3" s="1"/>
  <c r="M21" i="1"/>
  <c r="M22" i="1"/>
  <c r="M8" i="1"/>
  <c r="K2" i="3" s="1"/>
  <c r="G2" i="3"/>
  <c r="H9" i="1"/>
  <c r="H10" i="1"/>
  <c r="H11" i="1"/>
  <c r="H12" i="1"/>
  <c r="H13" i="1"/>
  <c r="H14" i="1"/>
  <c r="H15" i="1"/>
  <c r="H16" i="1"/>
  <c r="F10" i="3" s="1"/>
  <c r="H17" i="1"/>
  <c r="H18" i="1"/>
  <c r="H19" i="1"/>
  <c r="H20" i="1"/>
  <c r="F14" i="3" s="1"/>
  <c r="H21" i="1"/>
  <c r="H22" i="1"/>
  <c r="H8" i="1"/>
  <c r="G14" i="1"/>
  <c r="G8" i="1"/>
  <c r="G9" i="1"/>
  <c r="G10" i="1"/>
  <c r="G11" i="1"/>
  <c r="E5" i="3" s="1"/>
  <c r="G12" i="1"/>
  <c r="E6" i="3" s="1"/>
  <c r="G13" i="1"/>
  <c r="G15" i="1"/>
  <c r="E9" i="3" s="1"/>
  <c r="G16" i="1"/>
  <c r="E10" i="3" s="1"/>
  <c r="G17" i="1"/>
  <c r="G18" i="1"/>
  <c r="G19" i="1"/>
  <c r="G20" i="1"/>
  <c r="E14" i="3" s="1"/>
  <c r="G21" i="1"/>
  <c r="G22" i="1"/>
  <c r="E3" i="3"/>
  <c r="E4" i="3"/>
  <c r="E7" i="3"/>
  <c r="E11" i="3"/>
  <c r="E13" i="3"/>
  <c r="E15" i="3"/>
  <c r="E16" i="3"/>
  <c r="E2" i="3"/>
  <c r="F6" i="3"/>
  <c r="F9" i="1"/>
  <c r="F10" i="1"/>
  <c r="F11" i="1"/>
  <c r="F12" i="1"/>
  <c r="F13" i="1"/>
  <c r="F14" i="1"/>
  <c r="F15" i="1"/>
  <c r="F16" i="1"/>
  <c r="D10" i="3" s="1"/>
  <c r="F17" i="1"/>
  <c r="F18" i="1"/>
  <c r="F19" i="1"/>
  <c r="F20" i="1"/>
  <c r="D14" i="3" s="1"/>
  <c r="F21" i="1"/>
  <c r="F22" i="1"/>
  <c r="F8" i="1"/>
  <c r="D3" i="3"/>
  <c r="D2" i="3"/>
  <c r="D6" i="3"/>
  <c r="K9" i="3"/>
  <c r="G14" i="3"/>
  <c r="H7" i="3"/>
  <c r="H11" i="3"/>
  <c r="G3" i="3"/>
  <c r="H3" i="3"/>
  <c r="K3" i="3"/>
  <c r="I4" i="3"/>
  <c r="K4" i="3"/>
  <c r="K5" i="3"/>
  <c r="G7" i="3"/>
  <c r="I7" i="3"/>
  <c r="J7" i="3"/>
  <c r="K7" i="3"/>
  <c r="K8" i="3"/>
  <c r="I9" i="3"/>
  <c r="G11" i="3"/>
  <c r="K11" i="3"/>
  <c r="K12" i="3"/>
  <c r="K13" i="3"/>
  <c r="K15" i="3"/>
  <c r="G16" i="3"/>
  <c r="K16" i="3"/>
  <c r="F3" i="3"/>
  <c r="D4" i="3"/>
  <c r="F4" i="3"/>
  <c r="D5" i="3"/>
  <c r="F5" i="3"/>
  <c r="D7" i="3"/>
  <c r="F7" i="3"/>
  <c r="D8" i="3"/>
  <c r="E8" i="3"/>
  <c r="F8" i="3"/>
  <c r="D9" i="3"/>
  <c r="F9" i="3"/>
  <c r="D11" i="3"/>
  <c r="F2" i="3"/>
  <c r="F11" i="3"/>
  <c r="D12" i="3"/>
  <c r="E12" i="3"/>
  <c r="F12" i="3"/>
  <c r="D13" i="3"/>
  <c r="F13" i="3"/>
  <c r="D15" i="3"/>
  <c r="F15" i="3"/>
  <c r="D16" i="3"/>
  <c r="F16" i="3"/>
  <c r="A3" i="3"/>
  <c r="K24" i="3"/>
  <c r="J24" i="3"/>
  <c r="I24" i="3"/>
  <c r="H24" i="3"/>
  <c r="G24" i="3"/>
  <c r="F24" i="3"/>
  <c r="E24" i="3"/>
  <c r="D24" i="3"/>
  <c r="E23" i="3"/>
  <c r="F23" i="3"/>
  <c r="G23" i="3"/>
  <c r="H23" i="3"/>
  <c r="I23" i="3"/>
  <c r="J23" i="3"/>
  <c r="K23" i="3"/>
  <c r="D23" i="3"/>
  <c r="E38" i="3"/>
  <c r="G40" i="3"/>
  <c r="I42" i="3"/>
  <c r="K44" i="3"/>
  <c r="F47" i="3"/>
  <c r="D40" i="3"/>
  <c r="AA2" i="3"/>
  <c r="F37" i="3"/>
  <c r="I40" i="3"/>
  <c r="F45" i="3"/>
  <c r="D46" i="3"/>
  <c r="G37" i="3"/>
  <c r="G41" i="3"/>
  <c r="F44" i="3"/>
  <c r="H46" i="3"/>
  <c r="J48" i="3"/>
  <c r="V2" i="3"/>
  <c r="H36" i="3"/>
  <c r="J38" i="3"/>
  <c r="E41" i="3"/>
  <c r="G43" i="3"/>
  <c r="I45" i="3"/>
  <c r="K47" i="3"/>
  <c r="D45" i="3"/>
  <c r="T7" i="3"/>
  <c r="J41" i="3"/>
  <c r="J45" i="3"/>
  <c r="D42" i="3"/>
  <c r="K37" i="3"/>
  <c r="F39" i="3"/>
  <c r="J43" i="3"/>
  <c r="G48" i="3"/>
  <c r="T2" i="3"/>
  <c r="K42" i="3"/>
  <c r="T8" i="3"/>
  <c r="E43" i="3"/>
  <c r="I47" i="3"/>
  <c r="T5" i="3"/>
  <c r="K39" i="3"/>
  <c r="H44" i="3"/>
  <c r="D37" i="3"/>
  <c r="G38" i="3"/>
  <c r="E48" i="3"/>
  <c r="F40" i="3"/>
  <c r="J39" i="3"/>
  <c r="G44" i="3"/>
  <c r="K48" i="3"/>
  <c r="I36" i="3"/>
  <c r="E44" i="3"/>
  <c r="J36" i="3"/>
  <c r="I43" i="3"/>
  <c r="F48" i="3"/>
  <c r="T9" i="3"/>
  <c r="H40" i="3"/>
  <c r="E45" i="3"/>
  <c r="D41" i="3"/>
  <c r="E40" i="3"/>
  <c r="D38" i="3"/>
  <c r="H42" i="3"/>
  <c r="G36" i="3"/>
  <c r="I38" i="3"/>
  <c r="K40" i="3"/>
  <c r="F43" i="3"/>
  <c r="H45" i="3"/>
  <c r="J47" i="3"/>
  <c r="D44" i="3"/>
  <c r="T6" i="3"/>
  <c r="J37" i="3"/>
  <c r="F41" i="3"/>
  <c r="G46" i="3"/>
  <c r="Y2" i="3"/>
  <c r="H38" i="3"/>
  <c r="K41" i="3"/>
  <c r="J44" i="3"/>
  <c r="E47" i="3"/>
  <c r="D39" i="3"/>
  <c r="Z2" i="3"/>
  <c r="E37" i="3"/>
  <c r="G39" i="3"/>
  <c r="I41" i="3"/>
  <c r="K43" i="3"/>
  <c r="F46" i="3"/>
  <c r="H48" i="3"/>
  <c r="D36" i="3"/>
  <c r="E36" i="3"/>
  <c r="G42" i="3"/>
  <c r="K46" i="3"/>
  <c r="U2" i="3"/>
  <c r="E39" i="3"/>
  <c r="K36" i="3"/>
  <c r="H41" i="3"/>
  <c r="E46" i="3"/>
  <c r="D48" i="3"/>
  <c r="K38" i="3"/>
  <c r="H47" i="3"/>
  <c r="I39" i="3"/>
  <c r="G45" i="3"/>
  <c r="D43" i="3"/>
  <c r="I37" i="3"/>
  <c r="F42" i="3"/>
  <c r="J46" i="3"/>
  <c r="X2" i="3"/>
  <c r="H43" i="3"/>
  <c r="T4" i="3"/>
  <c r="H37" i="3"/>
  <c r="E42" i="3"/>
  <c r="I46" i="3"/>
  <c r="W2" i="3"/>
  <c r="H39" i="3"/>
  <c r="I48" i="3"/>
  <c r="J40" i="3"/>
  <c r="K45" i="3"/>
  <c r="D47" i="3"/>
  <c r="F38" i="3"/>
  <c r="J42" i="3"/>
  <c r="G47" i="3"/>
  <c r="T3" i="3"/>
  <c r="I44" i="3"/>
  <c r="F36" i="3"/>
  <c r="J10" i="3" l="1"/>
  <c r="I10" i="3"/>
  <c r="F50" i="3"/>
  <c r="F51" i="3" s="1"/>
  <c r="E50" i="3"/>
  <c r="E51" i="3" s="1"/>
  <c r="D50" i="3"/>
  <c r="D51" i="3" s="1"/>
  <c r="H50" i="3"/>
  <c r="H51" i="3" s="1"/>
  <c r="J50" i="3"/>
  <c r="J51" i="3" s="1"/>
  <c r="I50" i="3"/>
  <c r="I51" i="3" s="1"/>
  <c r="K50" i="3"/>
  <c r="K51" i="3" s="1"/>
  <c r="G50" i="3"/>
  <c r="G51" i="3" s="1"/>
  <c r="J3" i="3"/>
  <c r="I3" i="3"/>
  <c r="J5" i="3"/>
  <c r="I5" i="3"/>
  <c r="J6" i="3"/>
  <c r="I6" i="3"/>
  <c r="I8" i="3"/>
  <c r="J8" i="3"/>
  <c r="I11" i="3"/>
  <c r="J11" i="3"/>
  <c r="J12" i="3"/>
  <c r="I12" i="3"/>
  <c r="J13" i="3"/>
  <c r="I13" i="3"/>
  <c r="I14" i="3"/>
  <c r="J14" i="3"/>
  <c r="K18" i="3"/>
  <c r="H4" i="3"/>
  <c r="G4" i="3"/>
  <c r="H5" i="3"/>
  <c r="G5" i="3"/>
  <c r="H6" i="3"/>
  <c r="G6" i="3"/>
  <c r="H8" i="3"/>
  <c r="G8" i="3"/>
  <c r="H9" i="3"/>
  <c r="G9" i="3"/>
  <c r="G10" i="3"/>
  <c r="H10" i="3"/>
  <c r="G12" i="3"/>
  <c r="H12" i="3"/>
  <c r="G13" i="3"/>
  <c r="H13" i="3"/>
  <c r="H15" i="3"/>
  <c r="G15" i="3"/>
  <c r="I15" i="3"/>
  <c r="J15" i="3"/>
  <c r="I16" i="3"/>
  <c r="J16" i="3"/>
  <c r="D18" i="3"/>
  <c r="E18" i="3"/>
  <c r="F18" i="3"/>
  <c r="E33" i="3"/>
  <c r="E27" i="3"/>
  <c r="F33" i="3"/>
  <c r="F27" i="3"/>
  <c r="G33" i="3"/>
  <c r="G27" i="3"/>
  <c r="H33" i="3"/>
  <c r="H27" i="3"/>
  <c r="I33" i="3"/>
  <c r="I27" i="3"/>
  <c r="J33" i="3"/>
  <c r="J27" i="3"/>
  <c r="K33" i="3"/>
  <c r="K27" i="3"/>
  <c r="D33" i="3"/>
  <c r="D27" i="3"/>
  <c r="D29" i="3"/>
  <c r="D31" i="3" s="1"/>
  <c r="E29" i="3"/>
  <c r="E31" i="3" s="1"/>
  <c r="F29" i="3"/>
  <c r="F31" i="3" s="1"/>
  <c r="G29" i="3"/>
  <c r="G31" i="3" s="1"/>
  <c r="H29" i="3"/>
  <c r="H31" i="3" s="1"/>
  <c r="I29" i="3"/>
  <c r="I31" i="3" s="1"/>
  <c r="J29" i="3"/>
  <c r="J31" i="3" s="1"/>
  <c r="K29" i="3"/>
  <c r="K31" i="3" s="1"/>
  <c r="K52" i="3" l="1"/>
  <c r="J52" i="3"/>
  <c r="J18" i="3"/>
  <c r="H18" i="3"/>
  <c r="G18" i="3"/>
  <c r="K19" i="3"/>
  <c r="E34" i="3"/>
  <c r="F34" i="3"/>
  <c r="G34" i="3"/>
  <c r="H34" i="3"/>
  <c r="I34" i="3"/>
  <c r="J34" i="3"/>
  <c r="K34" i="3"/>
  <c r="D34" i="3"/>
  <c r="E52" i="3"/>
  <c r="E19" i="3" s="1"/>
  <c r="F52" i="3"/>
  <c r="F19" i="3" s="1"/>
  <c r="G52" i="3"/>
  <c r="G19" i="3" s="1"/>
  <c r="H52" i="3"/>
  <c r="I52" i="3"/>
  <c r="D52" i="3"/>
  <c r="D19" i="3" s="1"/>
  <c r="J19" i="3" l="1"/>
  <c r="H19" i="3"/>
  <c r="H54" i="3" s="1"/>
  <c r="K54" i="3"/>
  <c r="J54" i="3"/>
  <c r="G54" i="3"/>
  <c r="E54" i="3"/>
  <c r="F54" i="3"/>
  <c r="D54" i="3"/>
  <c r="I2" i="3" l="1"/>
  <c r="I18" i="3" l="1"/>
  <c r="I19" i="3" s="1"/>
  <c r="I54" i="3" s="1"/>
  <c r="D56" i="3" s="1"/>
  <c r="F2" i="1" s="1"/>
</calcChain>
</file>

<file path=xl/sharedStrings.xml><?xml version="1.0" encoding="utf-8"?>
<sst xmlns="http://schemas.openxmlformats.org/spreadsheetml/2006/main" count="99" uniqueCount="94">
  <si>
    <r>
      <t xml:space="preserve">Medium Level  </t>
    </r>
    <r>
      <rPr>
        <sz val="9"/>
        <color rgb="FFFFC000"/>
        <rFont val="Aptos Narrow"/>
        <family val="2"/>
        <scheme val="minor"/>
      </rPr>
      <t>(⭐⭐)</t>
    </r>
  </si>
  <si>
    <t>KODE SOAL</t>
  </si>
  <si>
    <t>SBEM009</t>
  </si>
  <si>
    <t>KODE JAWABAN</t>
  </si>
  <si>
    <t>Daftar Karyawan &amp; Kontak</t>
  </si>
  <si>
    <t>NO</t>
  </si>
  <si>
    <t>NAMA LENGKAP</t>
  </si>
  <si>
    <t>EMAIL</t>
  </si>
  <si>
    <t>JABATAN</t>
  </si>
  <si>
    <t>Posisi huruf "A/a"
(kecil atau besar)</t>
  </si>
  <si>
    <t>Posisi huruf "a"
(huruf kecil)</t>
  </si>
  <si>
    <t>Posisi huruf "A"
(huruf besar)</t>
  </si>
  <si>
    <t>Jumlah Karakter Username</t>
  </si>
  <si>
    <t>Username</t>
  </si>
  <si>
    <t>Domain</t>
  </si>
  <si>
    <t>TLD</t>
  </si>
  <si>
    <t>Level Jabatan</t>
  </si>
  <si>
    <t>Loka Wiranta</t>
  </si>
  <si>
    <t>loka.wiranta@maildummy.com</t>
  </si>
  <si>
    <t>Staff Admin</t>
  </si>
  <si>
    <t>Hana Lin</t>
  </si>
  <si>
    <t>hana.lin@techdummy.com</t>
  </si>
  <si>
    <t>Marketing Officer</t>
  </si>
  <si>
    <t>Antonio Maheswara</t>
  </si>
  <si>
    <t>antonio.maheswara@ruyitech.id</t>
  </si>
  <si>
    <t>Data Analyst</t>
  </si>
  <si>
    <t>Vanya Ruselina</t>
  </si>
  <si>
    <t>vanyareselina@techdummy.co.id</t>
  </si>
  <si>
    <t>Staff Keuangan</t>
  </si>
  <si>
    <t>Reza Tarmoko</t>
  </si>
  <si>
    <t>reza.tarmoko@dummymail.com</t>
  </si>
  <si>
    <t>HR Manager</t>
  </si>
  <si>
    <t>Dargo Mawesta</t>
  </si>
  <si>
    <t>dargo.mawesta@dummy.com</t>
  </si>
  <si>
    <t>Software Engineer</t>
  </si>
  <si>
    <t>Tisye Avendra</t>
  </si>
  <si>
    <t>tisyeavendra@mailtech.co.id</t>
  </si>
  <si>
    <t>Marketing Manager</t>
  </si>
  <si>
    <t>Erik Reno</t>
  </si>
  <si>
    <t>erik.reno@techdummy.com</t>
  </si>
  <si>
    <t>Jefro Malantara</t>
  </si>
  <si>
    <t>jefro.malantara@dummy.org</t>
  </si>
  <si>
    <t>Financial Analyst</t>
  </si>
  <si>
    <t>Binar Kendarta Amesti</t>
  </si>
  <si>
    <t>binarkendarta.amesti@maildummy.net</t>
  </si>
  <si>
    <t>IT Support</t>
  </si>
  <si>
    <t>Chika Yuresta</t>
  </si>
  <si>
    <t>chika.yuresta@maildummy.co.id</t>
  </si>
  <si>
    <t>Financial Manager</t>
  </si>
  <si>
    <t>Anitha Mei Zhang</t>
  </si>
  <si>
    <t>anitha.meizhang@yahootech.co.id</t>
  </si>
  <si>
    <t>Liu Shasha</t>
  </si>
  <si>
    <t>liu.shasha@domaindummy.com</t>
  </si>
  <si>
    <t>IT Manager</t>
  </si>
  <si>
    <t>Zhang Rounan</t>
  </si>
  <si>
    <t>zhang.rounan@fakedomain.org</t>
  </si>
  <si>
    <t>Song Zuer Yang</t>
  </si>
  <si>
    <t>songzueryang@yahoomy.com</t>
  </si>
  <si>
    <t>Sudah selesai mengerjakan?</t>
  </si>
  <si>
    <r>
      <t xml:space="preserve">Kirimkan </t>
    </r>
    <r>
      <rPr>
        <b/>
        <i/>
        <sz val="11"/>
        <color theme="4" tint="-0.249977111117893"/>
        <rFont val="Aptos Narrow"/>
        <family val="2"/>
        <scheme val="minor"/>
      </rPr>
      <t>Kode Soal</t>
    </r>
    <r>
      <rPr>
        <i/>
        <sz val="11"/>
        <color theme="4" tint="-0.249977111117893"/>
        <rFont val="Aptos Narrow"/>
        <family val="2"/>
        <scheme val="minor"/>
      </rPr>
      <t xml:space="preserve"> dan </t>
    </r>
    <r>
      <rPr>
        <b/>
        <i/>
        <sz val="11"/>
        <color theme="4" tint="-0.249977111117893"/>
        <rFont val="Aptos Narrow"/>
        <family val="2"/>
        <scheme val="minor"/>
      </rPr>
      <t>Kode Jawaban</t>
    </r>
    <r>
      <rPr>
        <i/>
        <sz val="11"/>
        <color theme="4" tint="-0.249977111117893"/>
        <rFont val="Aptos Narrow"/>
        <family val="2"/>
        <scheme val="minor"/>
      </rPr>
      <t xml:space="preserve"> ke alamat :  </t>
    </r>
    <r>
      <rPr>
        <b/>
        <i/>
        <u/>
        <sz val="11"/>
        <color theme="4" tint="-0.249977111117893"/>
        <rFont val="Aptos Narrow"/>
        <family val="2"/>
        <scheme val="minor"/>
      </rPr>
      <t>https://belajarexcel.id/xl-test/jawaban</t>
    </r>
    <r>
      <rPr>
        <i/>
        <sz val="11"/>
        <color theme="4" tint="-0.249977111117893"/>
        <rFont val="Aptos Narrow"/>
        <family val="2"/>
        <scheme val="minor"/>
      </rPr>
      <t xml:space="preserve">  untuk mengecek hasil benar/salah</t>
    </r>
  </si>
  <si>
    <t>Soal</t>
  </si>
  <si>
    <r>
      <t xml:space="preserve">Isi Posisi Hurup A (baik besar ataupun kecil) pertama di </t>
    </r>
    <r>
      <rPr>
        <b/>
        <sz val="11"/>
        <color theme="1"/>
        <rFont val="Aptos Narrow"/>
        <family val="2"/>
        <scheme val="minor"/>
      </rPr>
      <t>Nama Lengkap</t>
    </r>
    <r>
      <rPr>
        <sz val="11"/>
        <color theme="1"/>
        <rFont val="Aptos Narrow"/>
        <family val="2"/>
        <scheme val="minor"/>
      </rPr>
      <t xml:space="preserve"> jika tidak ada, isi dengan 0</t>
    </r>
  </si>
  <si>
    <r>
      <t xml:space="preserve">Isi Posisi Hurup a (Hurup Kecil) pertama di </t>
    </r>
    <r>
      <rPr>
        <b/>
        <sz val="11"/>
        <color theme="1"/>
        <rFont val="Aptos Narrow"/>
        <family val="2"/>
        <scheme val="minor"/>
      </rPr>
      <t>Nama Lengkap</t>
    </r>
    <r>
      <rPr>
        <sz val="11"/>
        <color theme="1"/>
        <rFont val="Aptos Narrow"/>
        <family val="2"/>
        <scheme val="minor"/>
      </rPr>
      <t xml:space="preserve"> jika tidak ada, isi dengan 0</t>
    </r>
  </si>
  <si>
    <r>
      <t xml:space="preserve">Isi Posisi Hurup A (Hurup Besar) pertama di </t>
    </r>
    <r>
      <rPr>
        <b/>
        <sz val="11"/>
        <color theme="1"/>
        <rFont val="Aptos Narrow"/>
        <family val="2"/>
        <scheme val="minor"/>
      </rPr>
      <t>Nama Lengkap</t>
    </r>
    <r>
      <rPr>
        <sz val="11"/>
        <color theme="1"/>
        <rFont val="Aptos Narrow"/>
        <family val="2"/>
        <scheme val="minor"/>
      </rPr>
      <t xml:space="preserve"> jika tidak ada, isi dengan 0</t>
    </r>
  </si>
  <si>
    <t>Berapa Jumlah Karakter Username Email</t>
  </si>
  <si>
    <t>Isi Kolom Username dengan Username Email</t>
  </si>
  <si>
    <t>Isi Kolom Domain dengan Domain Email</t>
  </si>
  <si>
    <t>Isi Kolom TLD dengan TLD Domain Email</t>
  </si>
  <si>
    <t xml:space="preserve">Isi kolom Lebel Jabatan jika Jabatan yang mengandung kata "Manager", maka tampilkan "Manajerial", jika tidak tampilkan "Staff"	
	</t>
  </si>
  <si>
    <t>DEF</t>
  </si>
  <si>
    <t>MI2</t>
  </si>
  <si>
    <t>value</t>
  </si>
  <si>
    <t>**</t>
  </si>
  <si>
    <t>Random</t>
  </si>
  <si>
    <t>Manual</t>
  </si>
  <si>
    <t>Cek Banyak</t>
  </si>
  <si>
    <t>Bol</t>
  </si>
  <si>
    <t>Cek rumus</t>
  </si>
  <si>
    <t>xx</t>
  </si>
  <si>
    <t>XL-TEST adalah platform inovatif yang menyediakan latihan Excel interaktif dengan pemeriksaan otomatis,</t>
  </si>
  <si>
    <t>sehingga pengguna dapat langsung mengetahui jawaban yang benar maupun salah.</t>
  </si>
  <si>
    <t>Terdapat 5 Level soal :</t>
  </si>
  <si>
    <t xml:space="preserve">Easy Level  </t>
  </si>
  <si>
    <t>(⭐)</t>
  </si>
  <si>
    <t xml:space="preserve">Medium Level        </t>
  </si>
  <si>
    <t>(⭐⭐)</t>
  </si>
  <si>
    <t xml:space="preserve">Hard Level </t>
  </si>
  <si>
    <t>(⭐⭐⭐)</t>
  </si>
  <si>
    <t xml:space="preserve">Extreme Level </t>
  </si>
  <si>
    <t>(⭐⭐⭐⭐)</t>
  </si>
  <si>
    <t xml:space="preserve">Championship Level </t>
  </si>
  <si>
    <t>(⭐⭐⭐⭐⭐)</t>
  </si>
  <si>
    <t>Free Access</t>
  </si>
  <si>
    <t>https://belajarexcel.id/xl-test/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</si>
</sst>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i/>
      <sz val="11"/>
      <color rgb="FFFFC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theme="0"/>
      <name val="Aptos Narrow"/>
      <family val="2"/>
      <scheme val="minor"/>
    </font>
    <font>
      <sz val="9"/>
      <color rgb="FFFFC000"/>
      <name val="Aptos Narrow"/>
      <family val="2"/>
      <scheme val="minor"/>
    </font>
    <font>
      <sz val="14"/>
      <color theme="0"/>
      <name val="Aptos Narrow"/>
      <family val="2"/>
      <scheme val="minor"/>
    </font>
    <font>
      <b/>
      <sz val="16"/>
      <color rgb="FF0070C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i/>
      <sz val="11"/>
      <color theme="4" tint="-0.249977111117893"/>
      <name val="Aptos Narrow"/>
      <family val="2"/>
      <scheme val="minor"/>
    </font>
    <font>
      <b/>
      <i/>
      <sz val="11"/>
      <color theme="4" tint="-0.249977111117893"/>
      <name val="Aptos Narrow"/>
      <family val="2"/>
      <scheme val="minor"/>
    </font>
    <font>
      <b/>
      <i/>
      <u/>
      <sz val="11"/>
      <color theme="4" tint="-0.249977111117893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0"/>
      <color theme="6" tint="-0.249977111117893"/>
      <name val="Aptos Narrow"/>
      <family val="2"/>
      <scheme val="minor"/>
    </font>
    <font>
      <sz val="9"/>
      <color theme="6" tint="-0.249977111117893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BE5F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0.89999084444715716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4">
    <xf numFmtId="0" fontId="0" fillId="0" borderId="0"/>
    <xf numFmtId="0" fontId="1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26">
    <xf numFmtId="0" fontId="0" fillId="0" borderId="0" xfId="0"/>
    <xf numFmtId="0" fontId="4" fillId="4" borderId="1" xfId="0" applyFont="1" applyFill="1" applyBorder="1" applyAlignment="1">
      <alignment horizontal="center" wrapText="1"/>
    </xf>
    <xf numFmtId="0" fontId="4" fillId="5" borderId="1" xfId="0" applyFont="1" applyFill="1" applyBorder="1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left" wrapText="1" indent="1"/>
    </xf>
    <xf numFmtId="0" fontId="5" fillId="0" borderId="0" xfId="0" applyFont="1"/>
    <xf numFmtId="0" fontId="7" fillId="6" borderId="0" xfId="0" applyFont="1" applyFill="1"/>
    <xf numFmtId="0" fontId="9" fillId="3" borderId="0" xfId="0" applyFont="1" applyFill="1" applyAlignment="1">
      <alignment vertical="center"/>
    </xf>
    <xf numFmtId="0" fontId="10" fillId="7" borderId="0" xfId="0" applyFont="1" applyFill="1"/>
    <xf numFmtId="0" fontId="11" fillId="0" borderId="0" xfId="0" applyFont="1"/>
    <xf numFmtId="0" fontId="12" fillId="0" borderId="0" xfId="0" applyFont="1"/>
    <xf numFmtId="0" fontId="15" fillId="0" borderId="0" xfId="0" applyFont="1"/>
    <xf numFmtId="0" fontId="0" fillId="7" borderId="0" xfId="0" applyFill="1"/>
    <xf numFmtId="0" fontId="1" fillId="0" borderId="1" xfId="1" applyBorder="1"/>
    <xf numFmtId="0" fontId="1" fillId="0" borderId="0" xfId="1"/>
    <xf numFmtId="0" fontId="18" fillId="0" borderId="1" xfId="1" applyFont="1" applyBorder="1" applyAlignment="1">
      <alignment horizontal="left"/>
    </xf>
    <xf numFmtId="0" fontId="18" fillId="0" borderId="1" xfId="1" applyFont="1" applyBorder="1"/>
    <xf numFmtId="0" fontId="6" fillId="0" borderId="1" xfId="2" applyBorder="1"/>
    <xf numFmtId="0" fontId="6" fillId="4" borderId="1" xfId="3" applyFill="1" applyBorder="1" applyAlignment="1">
      <alignment horizontal="left" wrapText="1" indent="1"/>
    </xf>
    <xf numFmtId="0" fontId="17" fillId="0" borderId="1" xfId="1" applyFont="1" applyBorder="1" applyAlignment="1">
      <alignment horizontal="left"/>
    </xf>
    <xf numFmtId="0" fontId="3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6" fillId="0" borderId="1" xfId="1" applyFont="1" applyBorder="1" applyAlignment="1">
      <alignment horizontal="left"/>
    </xf>
    <xf numFmtId="0" fontId="17" fillId="0" borderId="1" xfId="1" applyFont="1" applyBorder="1" applyAlignment="1">
      <alignment horizontal="left"/>
    </xf>
  </cellXfs>
  <cellStyles count="4">
    <cellStyle name="Hyperlink" xfId="3" builtinId="8"/>
    <cellStyle name="Hyperlink 2" xfId="2" xr:uid="{F4A32567-037D-43B9-A473-82141D91FFC7}"/>
    <cellStyle name="Normal" xfId="0" builtinId="0"/>
    <cellStyle name="Normal 2" xfId="1" xr:uid="{673B71AA-D5F3-4D65-A8B7-FA025A7526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belajarexcel.id/xl-test/jawaban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853440</xdr:colOff>
      <xdr:row>24</xdr:row>
      <xdr:rowOff>0</xdr:rowOff>
    </xdr:from>
    <xdr:to>
      <xdr:col>8</xdr:col>
      <xdr:colOff>22860</xdr:colOff>
      <xdr:row>25</xdr:row>
      <xdr:rowOff>76200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16E7F7-59C9-4307-95F3-F23CFAE7C79B}"/>
            </a:ext>
          </a:extLst>
        </xdr:cNvPr>
        <xdr:cNvSpPr/>
      </xdr:nvSpPr>
      <xdr:spPr>
        <a:xfrm>
          <a:off x="8252460" y="5692140"/>
          <a:ext cx="1569720" cy="259080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1100"/>
            <a:t>Cek hasil Jawaban</a:t>
          </a:r>
        </a:p>
      </xdr:txBody>
    </xdr:sp>
    <xdr:clientData/>
  </xdr:twoCellAnchor>
  <xdr:twoCellAnchor editAs="oneCell">
    <xdr:from>
      <xdr:col>3</xdr:col>
      <xdr:colOff>487680</xdr:colOff>
      <xdr:row>36</xdr:row>
      <xdr:rowOff>7620</xdr:rowOff>
    </xdr:from>
    <xdr:to>
      <xdr:col>6</xdr:col>
      <xdr:colOff>853913</xdr:colOff>
      <xdr:row>48</xdr:row>
      <xdr:rowOff>30672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F0CED51-C645-188E-8D24-661DCF3401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88920" y="7894320"/>
          <a:ext cx="5464013" cy="2217612"/>
        </a:xfrm>
        <a:prstGeom prst="rect">
          <a:avLst/>
        </a:prstGeom>
      </xdr:spPr>
    </xdr:pic>
    <xdr:clientData/>
  </xdr:twoCellAnchor>
  <xdr:twoCellAnchor editAs="oneCell">
    <xdr:from>
      <xdr:col>1</xdr:col>
      <xdr:colOff>220980</xdr:colOff>
      <xdr:row>37</xdr:row>
      <xdr:rowOff>68580</xdr:rowOff>
    </xdr:from>
    <xdr:to>
      <xdr:col>3</xdr:col>
      <xdr:colOff>192583</xdr:colOff>
      <xdr:row>40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767E1B5-C132-4BCB-B223-1A9732E3D2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580" y="8138160"/>
          <a:ext cx="1663243" cy="5943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502920</xdr:colOff>
      <xdr:row>1</xdr:row>
      <xdr:rowOff>53340</xdr:rowOff>
    </xdr:from>
    <xdr:to>
      <xdr:col>4</xdr:col>
      <xdr:colOff>121919</xdr:colOff>
      <xdr:row>4</xdr:row>
      <xdr:rowOff>91542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86483F-B72A-418B-BC09-63EE25E9E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2520" y="236220"/>
          <a:ext cx="1562099" cy="5868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loka.wiranta@maildummy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belajarexcel.id/xl-te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A4095-A567-4923-87FF-3E8479CBE920}">
  <sheetPr codeName="Sheet1"/>
  <dimension ref="B1:M35"/>
  <sheetViews>
    <sheetView tabSelected="1" workbookViewId="0">
      <selection activeCell="F2" sqref="F2"/>
    </sheetView>
  </sheetViews>
  <sheetFormatPr defaultRowHeight="15"/>
  <cols>
    <col min="2" max="2" width="4.140625" customWidth="1"/>
    <col min="3" max="3" width="20.5703125" customWidth="1"/>
    <col min="4" max="4" width="35.7109375" customWidth="1"/>
    <col min="5" max="5" width="20" customWidth="1"/>
    <col min="6" max="6" width="18.5703125" customWidth="1"/>
    <col min="7" max="7" width="17.28515625" customWidth="1"/>
    <col min="8" max="8" width="17.7109375" customWidth="1"/>
    <col min="9" max="9" width="15.7109375" customWidth="1"/>
    <col min="10" max="10" width="25.5703125" customWidth="1"/>
    <col min="11" max="11" width="19" bestFit="1" customWidth="1"/>
    <col min="12" max="12" width="27.140625" bestFit="1" customWidth="1"/>
    <col min="13" max="13" width="18.140625" customWidth="1"/>
  </cols>
  <sheetData>
    <row r="1" spans="2:13">
      <c r="C1" s="6" t="s">
        <v>0</v>
      </c>
    </row>
    <row r="2" spans="2:13" ht="21">
      <c r="C2" s="7" t="s">
        <v>1</v>
      </c>
      <c r="D2" s="8" t="s">
        <v>2</v>
      </c>
      <c r="E2" s="7" t="s">
        <v>3</v>
      </c>
      <c r="F2" s="8" t="str">
        <f ca="1">kode_jawaban</f>
        <v>MI2|1C1-1BBA1;B41-27EA1;111-F3C1;151-559E1;201-C631;C21-CBF1;1F1-C301;211-CC61</v>
      </c>
      <c r="G2" s="12"/>
      <c r="H2" s="12"/>
      <c r="I2" s="12"/>
      <c r="J2" s="12"/>
      <c r="K2" s="12"/>
      <c r="L2" s="12"/>
      <c r="M2" s="12"/>
    </row>
    <row r="5" spans="2:13" ht="22.15" customHeight="1">
      <c r="B5" s="21" t="s">
        <v>4</v>
      </c>
      <c r="C5" s="21"/>
      <c r="D5" s="21"/>
      <c r="E5" s="3"/>
      <c r="F5" s="5">
        <v>1</v>
      </c>
      <c r="G5" s="5">
        <v>2</v>
      </c>
      <c r="H5" s="5">
        <v>3</v>
      </c>
      <c r="I5" s="5">
        <v>4</v>
      </c>
      <c r="J5" s="5">
        <v>5</v>
      </c>
      <c r="K5" s="5">
        <v>6</v>
      </c>
      <c r="L5" s="5">
        <v>7</v>
      </c>
      <c r="M5" s="5">
        <v>8</v>
      </c>
    </row>
    <row r="6" spans="2:13" ht="18.600000000000001" customHeight="1">
      <c r="B6" s="20" t="s">
        <v>5</v>
      </c>
      <c r="C6" s="20" t="s">
        <v>6</v>
      </c>
      <c r="D6" s="20" t="s">
        <v>7</v>
      </c>
      <c r="E6" s="22" t="s">
        <v>8</v>
      </c>
      <c r="F6" s="20" t="s">
        <v>9</v>
      </c>
      <c r="G6" s="20" t="s">
        <v>10</v>
      </c>
      <c r="H6" s="20" t="s">
        <v>11</v>
      </c>
      <c r="I6" s="20" t="s">
        <v>12</v>
      </c>
      <c r="J6" s="20" t="s">
        <v>13</v>
      </c>
      <c r="K6" s="20" t="s">
        <v>14</v>
      </c>
      <c r="L6" s="20" t="s">
        <v>15</v>
      </c>
      <c r="M6" s="20" t="s">
        <v>16</v>
      </c>
    </row>
    <row r="7" spans="2:13" ht="17.45" customHeight="1">
      <c r="B7" s="20"/>
      <c r="C7" s="20"/>
      <c r="D7" s="20"/>
      <c r="E7" s="23"/>
      <c r="F7" s="20"/>
      <c r="G7" s="20"/>
      <c r="H7" s="20"/>
      <c r="I7" s="20"/>
      <c r="J7" s="20"/>
      <c r="K7" s="20"/>
      <c r="L7" s="20"/>
      <c r="M7" s="20"/>
    </row>
    <row r="8" spans="2:13" ht="19.899999999999999" customHeight="1">
      <c r="B8" s="1">
        <v>1</v>
      </c>
      <c r="C8" s="4" t="s">
        <v>17</v>
      </c>
      <c r="D8" s="18" t="s">
        <v>18</v>
      </c>
      <c r="E8" s="4" t="s">
        <v>19</v>
      </c>
      <c r="F8" s="2">
        <f>IFERROR(SEARCH("a",C8),0)</f>
        <v>4</v>
      </c>
      <c r="G8" s="2">
        <f>IFERROR(FIND("a",C8),0)</f>
        <v>4</v>
      </c>
      <c r="H8" s="2">
        <f>IFERROR(FIND("A",C8),0)</f>
        <v>0</v>
      </c>
      <c r="I8" s="2">
        <f>FIND("@",D8,1)-1</f>
        <v>12</v>
      </c>
      <c r="J8" s="2" t="str">
        <f>LEFT(D8,I8)</f>
        <v>loka.wiranta</v>
      </c>
      <c r="K8" s="2" t="str">
        <f>RIGHT(D8,LEN(D8)-FIND("@",D8))</f>
        <v>maildummy.com</v>
      </c>
      <c r="L8" s="2" t="str">
        <f>RIGHT(K8,LEN(K8)-FIND(".",K8))</f>
        <v>com</v>
      </c>
      <c r="M8" s="2" t="str">
        <f>IF(ISNUMBER(SEARCH("Manager",E8)),"Manajerial","Staff")</f>
        <v>Staff</v>
      </c>
    </row>
    <row r="9" spans="2:13" ht="19.899999999999999" customHeight="1">
      <c r="B9" s="1">
        <v>2</v>
      </c>
      <c r="C9" s="4" t="s">
        <v>20</v>
      </c>
      <c r="D9" s="4" t="s">
        <v>21</v>
      </c>
      <c r="E9" s="4" t="s">
        <v>22</v>
      </c>
      <c r="F9" s="2">
        <f t="shared" ref="F9:F22" si="0">IFERROR(SEARCH("a",C9),0)</f>
        <v>2</v>
      </c>
      <c r="G9" s="2">
        <f t="shared" ref="G9:G22" si="1">IFERROR(FIND("a",C9),0)</f>
        <v>2</v>
      </c>
      <c r="H9" s="2">
        <f t="shared" ref="H9:H22" si="2">IFERROR(FIND("A",C9),0)</f>
        <v>0</v>
      </c>
      <c r="I9" s="2">
        <f t="shared" ref="I9:I22" si="3">FIND("@",D9,1)-1</f>
        <v>8</v>
      </c>
      <c r="J9" s="2" t="str">
        <f t="shared" ref="J9:J22" si="4">LEFT(D9,I9)</f>
        <v>hana.lin</v>
      </c>
      <c r="K9" s="2" t="str">
        <f t="shared" ref="K9:K22" si="5">RIGHT(D9,LEN(D9)-FIND("@",D9))</f>
        <v>techdummy.com</v>
      </c>
      <c r="L9" s="2" t="str">
        <f t="shared" ref="L9:L22" si="6">RIGHT(K9,LEN(K9)-FIND(".",K9))</f>
        <v>com</v>
      </c>
      <c r="M9" s="2" t="str">
        <f t="shared" ref="M9:M22" si="7">IF(ISNUMBER(SEARCH("Manager",E9)),"Manajerial","Staff")</f>
        <v>Staff</v>
      </c>
    </row>
    <row r="10" spans="2:13" ht="19.899999999999999" customHeight="1">
      <c r="B10" s="1">
        <v>3</v>
      </c>
      <c r="C10" s="4" t="s">
        <v>23</v>
      </c>
      <c r="D10" s="4" t="s">
        <v>24</v>
      </c>
      <c r="E10" s="4" t="s">
        <v>25</v>
      </c>
      <c r="F10" s="2">
        <f t="shared" si="0"/>
        <v>1</v>
      </c>
      <c r="G10" s="2">
        <f t="shared" si="1"/>
        <v>10</v>
      </c>
      <c r="H10" s="2">
        <f t="shared" si="2"/>
        <v>1</v>
      </c>
      <c r="I10" s="2">
        <f t="shared" si="3"/>
        <v>17</v>
      </c>
      <c r="J10" s="2" t="str">
        <f t="shared" si="4"/>
        <v>antonio.maheswara</v>
      </c>
      <c r="K10" s="2" t="str">
        <f t="shared" si="5"/>
        <v>ruyitech.id</v>
      </c>
      <c r="L10" s="2" t="str">
        <f t="shared" si="6"/>
        <v>id</v>
      </c>
      <c r="M10" s="2" t="str">
        <f t="shared" si="7"/>
        <v>Staff</v>
      </c>
    </row>
    <row r="11" spans="2:13" ht="19.899999999999999" customHeight="1">
      <c r="B11" s="1">
        <v>4</v>
      </c>
      <c r="C11" s="4" t="s">
        <v>26</v>
      </c>
      <c r="D11" s="4" t="s">
        <v>27</v>
      </c>
      <c r="E11" s="4" t="s">
        <v>28</v>
      </c>
      <c r="F11" s="2">
        <f t="shared" si="0"/>
        <v>2</v>
      </c>
      <c r="G11" s="2">
        <f t="shared" si="1"/>
        <v>2</v>
      </c>
      <c r="H11" s="2">
        <f t="shared" si="2"/>
        <v>0</v>
      </c>
      <c r="I11" s="2">
        <f t="shared" si="3"/>
        <v>13</v>
      </c>
      <c r="J11" s="2" t="str">
        <f t="shared" si="4"/>
        <v>vanyareselina</v>
      </c>
      <c r="K11" s="2" t="str">
        <f t="shared" si="5"/>
        <v>techdummy.co.id</v>
      </c>
      <c r="L11" s="2" t="str">
        <f t="shared" si="6"/>
        <v>co.id</v>
      </c>
      <c r="M11" s="2" t="str">
        <f t="shared" si="7"/>
        <v>Staff</v>
      </c>
    </row>
    <row r="12" spans="2:13" ht="19.899999999999999" customHeight="1">
      <c r="B12" s="1">
        <v>5</v>
      </c>
      <c r="C12" s="4" t="s">
        <v>29</v>
      </c>
      <c r="D12" s="4" t="s">
        <v>30</v>
      </c>
      <c r="E12" s="4" t="s">
        <v>31</v>
      </c>
      <c r="F12" s="2">
        <f t="shared" si="0"/>
        <v>4</v>
      </c>
      <c r="G12" s="2">
        <f t="shared" si="1"/>
        <v>4</v>
      </c>
      <c r="H12" s="2">
        <f t="shared" si="2"/>
        <v>0</v>
      </c>
      <c r="I12" s="2">
        <f t="shared" si="3"/>
        <v>12</v>
      </c>
      <c r="J12" s="2" t="str">
        <f t="shared" si="4"/>
        <v>reza.tarmoko</v>
      </c>
      <c r="K12" s="2" t="str">
        <f t="shared" si="5"/>
        <v>dummymail.com</v>
      </c>
      <c r="L12" s="2" t="str">
        <f t="shared" si="6"/>
        <v>com</v>
      </c>
      <c r="M12" s="2" t="str">
        <f t="shared" si="7"/>
        <v>Manajerial</v>
      </c>
    </row>
    <row r="13" spans="2:13" ht="19.899999999999999" customHeight="1">
      <c r="B13" s="1">
        <v>6</v>
      </c>
      <c r="C13" s="4" t="s">
        <v>32</v>
      </c>
      <c r="D13" s="4" t="s">
        <v>33</v>
      </c>
      <c r="E13" s="4" t="s">
        <v>34</v>
      </c>
      <c r="F13" s="2">
        <f t="shared" si="0"/>
        <v>2</v>
      </c>
      <c r="G13" s="2">
        <f t="shared" si="1"/>
        <v>2</v>
      </c>
      <c r="H13" s="2">
        <f t="shared" si="2"/>
        <v>0</v>
      </c>
      <c r="I13" s="2">
        <f t="shared" si="3"/>
        <v>13</v>
      </c>
      <c r="J13" s="2" t="str">
        <f t="shared" si="4"/>
        <v>dargo.mawesta</v>
      </c>
      <c r="K13" s="2" t="str">
        <f t="shared" si="5"/>
        <v>dummy.com</v>
      </c>
      <c r="L13" s="2" t="str">
        <f t="shared" si="6"/>
        <v>com</v>
      </c>
      <c r="M13" s="2" t="str">
        <f t="shared" si="7"/>
        <v>Staff</v>
      </c>
    </row>
    <row r="14" spans="2:13" ht="19.899999999999999" customHeight="1">
      <c r="B14" s="1">
        <v>7</v>
      </c>
      <c r="C14" s="4" t="s">
        <v>35</v>
      </c>
      <c r="D14" s="4" t="s">
        <v>36</v>
      </c>
      <c r="E14" s="4" t="s">
        <v>37</v>
      </c>
      <c r="F14" s="2">
        <f t="shared" si="0"/>
        <v>7</v>
      </c>
      <c r="G14" s="2">
        <f>IFERROR(FIND("a",C14),0)</f>
        <v>13</v>
      </c>
      <c r="H14" s="2">
        <f t="shared" si="2"/>
        <v>7</v>
      </c>
      <c r="I14" s="2">
        <f t="shared" si="3"/>
        <v>12</v>
      </c>
      <c r="J14" s="2" t="str">
        <f t="shared" si="4"/>
        <v>tisyeavendra</v>
      </c>
      <c r="K14" s="2" t="str">
        <f t="shared" si="5"/>
        <v>mailtech.co.id</v>
      </c>
      <c r="L14" s="2" t="str">
        <f t="shared" si="6"/>
        <v>co.id</v>
      </c>
      <c r="M14" s="2" t="str">
        <f t="shared" si="7"/>
        <v>Manajerial</v>
      </c>
    </row>
    <row r="15" spans="2:13" ht="19.899999999999999" customHeight="1">
      <c r="B15" s="1">
        <v>8</v>
      </c>
      <c r="C15" s="4" t="s">
        <v>38</v>
      </c>
      <c r="D15" s="4" t="s">
        <v>39</v>
      </c>
      <c r="E15" s="4" t="s">
        <v>19</v>
      </c>
      <c r="F15" s="2">
        <f t="shared" si="0"/>
        <v>0</v>
      </c>
      <c r="G15" s="2">
        <f t="shared" si="1"/>
        <v>0</v>
      </c>
      <c r="H15" s="2">
        <f t="shared" si="2"/>
        <v>0</v>
      </c>
      <c r="I15" s="2">
        <f t="shared" si="3"/>
        <v>9</v>
      </c>
      <c r="J15" s="2" t="str">
        <f t="shared" si="4"/>
        <v>erik.reno</v>
      </c>
      <c r="K15" s="2" t="str">
        <f t="shared" si="5"/>
        <v>techdummy.com</v>
      </c>
      <c r="L15" s="2" t="str">
        <f t="shared" si="6"/>
        <v>com</v>
      </c>
      <c r="M15" s="2" t="str">
        <f t="shared" si="7"/>
        <v>Staff</v>
      </c>
    </row>
    <row r="16" spans="2:13" ht="19.899999999999999" customHeight="1">
      <c r="B16" s="1">
        <v>9</v>
      </c>
      <c r="C16" s="4" t="s">
        <v>40</v>
      </c>
      <c r="D16" s="4" t="s">
        <v>41</v>
      </c>
      <c r="E16" s="4" t="s">
        <v>42</v>
      </c>
      <c r="F16" s="2">
        <f t="shared" si="0"/>
        <v>8</v>
      </c>
      <c r="G16" s="2">
        <f t="shared" si="1"/>
        <v>8</v>
      </c>
      <c r="H16" s="2">
        <f t="shared" si="2"/>
        <v>0</v>
      </c>
      <c r="I16" s="2">
        <f t="shared" si="3"/>
        <v>15</v>
      </c>
      <c r="J16" s="2" t="str">
        <f t="shared" si="4"/>
        <v>jefro.malantara</v>
      </c>
      <c r="K16" s="2" t="str">
        <f t="shared" si="5"/>
        <v>dummy.org</v>
      </c>
      <c r="L16" s="2" t="str">
        <f t="shared" si="6"/>
        <v>org</v>
      </c>
      <c r="M16" s="2" t="str">
        <f t="shared" si="7"/>
        <v>Staff</v>
      </c>
    </row>
    <row r="17" spans="2:13">
      <c r="B17" s="1">
        <v>10</v>
      </c>
      <c r="C17" s="4" t="s">
        <v>43</v>
      </c>
      <c r="D17" s="4" t="s">
        <v>44</v>
      </c>
      <c r="E17" s="4" t="s">
        <v>45</v>
      </c>
      <c r="F17" s="2">
        <f t="shared" si="0"/>
        <v>4</v>
      </c>
      <c r="G17" s="2">
        <f t="shared" si="1"/>
        <v>4</v>
      </c>
      <c r="H17" s="2">
        <f t="shared" si="2"/>
        <v>16</v>
      </c>
      <c r="I17" s="2">
        <f t="shared" si="3"/>
        <v>20</v>
      </c>
      <c r="J17" s="2" t="str">
        <f t="shared" si="4"/>
        <v>binarkendarta.amesti</v>
      </c>
      <c r="K17" s="2" t="str">
        <f t="shared" si="5"/>
        <v>maildummy.net</v>
      </c>
      <c r="L17" s="2" t="str">
        <f t="shared" si="6"/>
        <v>net</v>
      </c>
      <c r="M17" s="2" t="str">
        <f t="shared" si="7"/>
        <v>Staff</v>
      </c>
    </row>
    <row r="18" spans="2:13" ht="19.899999999999999" customHeight="1">
      <c r="B18" s="1">
        <v>11</v>
      </c>
      <c r="C18" s="4" t="s">
        <v>46</v>
      </c>
      <c r="D18" s="4" t="s">
        <v>47</v>
      </c>
      <c r="E18" s="4" t="s">
        <v>48</v>
      </c>
      <c r="F18" s="2">
        <f t="shared" si="0"/>
        <v>5</v>
      </c>
      <c r="G18" s="2">
        <f t="shared" si="1"/>
        <v>5</v>
      </c>
      <c r="H18" s="2">
        <f t="shared" si="2"/>
        <v>0</v>
      </c>
      <c r="I18" s="2">
        <f t="shared" si="3"/>
        <v>13</v>
      </c>
      <c r="J18" s="2" t="str">
        <f t="shared" si="4"/>
        <v>chika.yuresta</v>
      </c>
      <c r="K18" s="2" t="str">
        <f t="shared" si="5"/>
        <v>maildummy.co.id</v>
      </c>
      <c r="L18" s="2" t="str">
        <f t="shared" si="6"/>
        <v>co.id</v>
      </c>
      <c r="M18" s="2" t="str">
        <f t="shared" si="7"/>
        <v>Manajerial</v>
      </c>
    </row>
    <row r="19" spans="2:13" ht="19.899999999999999" customHeight="1">
      <c r="B19" s="1">
        <v>12</v>
      </c>
      <c r="C19" s="4" t="s">
        <v>49</v>
      </c>
      <c r="D19" s="4" t="s">
        <v>50</v>
      </c>
      <c r="E19" s="4" t="s">
        <v>22</v>
      </c>
      <c r="F19" s="2">
        <f t="shared" si="0"/>
        <v>1</v>
      </c>
      <c r="G19" s="2">
        <f t="shared" si="1"/>
        <v>6</v>
      </c>
      <c r="H19" s="2">
        <f t="shared" si="2"/>
        <v>1</v>
      </c>
      <c r="I19" s="2">
        <f t="shared" si="3"/>
        <v>15</v>
      </c>
      <c r="J19" s="2" t="str">
        <f t="shared" si="4"/>
        <v>anitha.meizhang</v>
      </c>
      <c r="K19" s="2" t="str">
        <f t="shared" si="5"/>
        <v>yahootech.co.id</v>
      </c>
      <c r="L19" s="2" t="str">
        <f t="shared" si="6"/>
        <v>co.id</v>
      </c>
      <c r="M19" s="2" t="str">
        <f t="shared" si="7"/>
        <v>Staff</v>
      </c>
    </row>
    <row r="20" spans="2:13" ht="19.899999999999999" customHeight="1">
      <c r="B20" s="1">
        <v>13</v>
      </c>
      <c r="C20" s="4" t="s">
        <v>51</v>
      </c>
      <c r="D20" s="4" t="s">
        <v>52</v>
      </c>
      <c r="E20" s="4" t="s">
        <v>53</v>
      </c>
      <c r="F20" s="2">
        <f t="shared" si="0"/>
        <v>7</v>
      </c>
      <c r="G20" s="2">
        <f t="shared" si="1"/>
        <v>7</v>
      </c>
      <c r="H20" s="2">
        <f t="shared" si="2"/>
        <v>0</v>
      </c>
      <c r="I20" s="2">
        <f t="shared" si="3"/>
        <v>10</v>
      </c>
      <c r="J20" s="2" t="str">
        <f t="shared" si="4"/>
        <v>liu.shasha</v>
      </c>
      <c r="K20" s="2" t="str">
        <f t="shared" si="5"/>
        <v>domaindummy.com</v>
      </c>
      <c r="L20" s="2" t="str">
        <f t="shared" si="6"/>
        <v>com</v>
      </c>
      <c r="M20" s="2" t="str">
        <f t="shared" si="7"/>
        <v>Manajerial</v>
      </c>
    </row>
    <row r="21" spans="2:13" ht="19.899999999999999" customHeight="1">
      <c r="B21" s="1">
        <v>14</v>
      </c>
      <c r="C21" s="4" t="s">
        <v>54</v>
      </c>
      <c r="D21" s="4" t="s">
        <v>55</v>
      </c>
      <c r="E21" s="4" t="s">
        <v>34</v>
      </c>
      <c r="F21" s="2">
        <f t="shared" si="0"/>
        <v>3</v>
      </c>
      <c r="G21" s="2">
        <f t="shared" si="1"/>
        <v>3</v>
      </c>
      <c r="H21" s="2">
        <f t="shared" si="2"/>
        <v>0</v>
      </c>
      <c r="I21" s="2">
        <f t="shared" si="3"/>
        <v>12</v>
      </c>
      <c r="J21" s="2" t="str">
        <f t="shared" si="4"/>
        <v>zhang.rounan</v>
      </c>
      <c r="K21" s="2" t="str">
        <f t="shared" si="5"/>
        <v>fakedomain.org</v>
      </c>
      <c r="L21" s="2" t="str">
        <f t="shared" si="6"/>
        <v>org</v>
      </c>
      <c r="M21" s="2" t="str">
        <f t="shared" si="7"/>
        <v>Staff</v>
      </c>
    </row>
    <row r="22" spans="2:13" ht="19.899999999999999" customHeight="1">
      <c r="B22" s="1">
        <v>15</v>
      </c>
      <c r="C22" s="4" t="s">
        <v>56</v>
      </c>
      <c r="D22" s="4" t="s">
        <v>57</v>
      </c>
      <c r="E22" s="4" t="s">
        <v>28</v>
      </c>
      <c r="F22" s="2">
        <f t="shared" si="0"/>
        <v>12</v>
      </c>
      <c r="G22" s="2">
        <f t="shared" si="1"/>
        <v>12</v>
      </c>
      <c r="H22" s="2">
        <f t="shared" si="2"/>
        <v>0</v>
      </c>
      <c r="I22" s="2">
        <f t="shared" si="3"/>
        <v>12</v>
      </c>
      <c r="J22" s="2" t="str">
        <f t="shared" si="4"/>
        <v>songzueryang</v>
      </c>
      <c r="K22" s="2" t="str">
        <f t="shared" si="5"/>
        <v>yahoomy.com</v>
      </c>
      <c r="L22" s="2" t="str">
        <f t="shared" si="6"/>
        <v>com</v>
      </c>
      <c r="M22" s="2" t="str">
        <f t="shared" si="7"/>
        <v>Staff</v>
      </c>
    </row>
    <row r="24" spans="2:13">
      <c r="C24" s="10" t="s">
        <v>58</v>
      </c>
    </row>
    <row r="25" spans="2:13">
      <c r="C25" s="10" t="s">
        <v>59</v>
      </c>
    </row>
    <row r="27" spans="2:13">
      <c r="C27" s="9" t="s">
        <v>60</v>
      </c>
    </row>
    <row r="28" spans="2:13">
      <c r="B28" s="11">
        <v>1</v>
      </c>
      <c r="C28" t="s">
        <v>61</v>
      </c>
    </row>
    <row r="29" spans="2:13">
      <c r="B29" s="11">
        <v>2</v>
      </c>
      <c r="C29" t="s">
        <v>62</v>
      </c>
    </row>
    <row r="30" spans="2:13">
      <c r="B30" s="11">
        <v>3</v>
      </c>
      <c r="C30" t="s">
        <v>63</v>
      </c>
    </row>
    <row r="31" spans="2:13">
      <c r="B31" s="11">
        <v>4</v>
      </c>
      <c r="C31" t="s">
        <v>64</v>
      </c>
    </row>
    <row r="32" spans="2:13">
      <c r="B32" s="11">
        <v>5</v>
      </c>
      <c r="C32" t="s">
        <v>65</v>
      </c>
    </row>
    <row r="33" spans="2:3">
      <c r="B33" s="11">
        <v>6</v>
      </c>
      <c r="C33" t="s">
        <v>66</v>
      </c>
    </row>
    <row r="34" spans="2:3">
      <c r="B34" s="11">
        <v>7</v>
      </c>
      <c r="C34" t="s">
        <v>67</v>
      </c>
    </row>
    <row r="35" spans="2:3">
      <c r="B35" s="11">
        <v>8</v>
      </c>
      <c r="C35" t="s">
        <v>68</v>
      </c>
    </row>
  </sheetData>
  <mergeCells count="13">
    <mergeCell ref="M6:M7"/>
    <mergeCell ref="H6:H7"/>
    <mergeCell ref="B5:D5"/>
    <mergeCell ref="B6:B7"/>
    <mergeCell ref="C6:C7"/>
    <mergeCell ref="D6:D7"/>
    <mergeCell ref="F6:F7"/>
    <mergeCell ref="G6:G7"/>
    <mergeCell ref="I6:I7"/>
    <mergeCell ref="J6:J7"/>
    <mergeCell ref="K6:K7"/>
    <mergeCell ref="L6:L7"/>
    <mergeCell ref="E6:E7"/>
  </mergeCells>
  <hyperlinks>
    <hyperlink ref="D8" r:id="rId1" xr:uid="{43DDDB04-580E-4081-88BA-D201601269BF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742DE-7012-4CF3-AFBD-E234C512FC1F}">
  <sheetPr codeName="Sheet2"/>
  <dimension ref="A1:AA56"/>
  <sheetViews>
    <sheetView topLeftCell="A31" workbookViewId="0">
      <selection activeCell="D56" sqref="D56"/>
    </sheetView>
  </sheetViews>
  <sheetFormatPr defaultRowHeight="15"/>
  <cols>
    <col min="3" max="3" width="11.85546875" customWidth="1"/>
    <col min="8" max="8" width="16.42578125" customWidth="1"/>
    <col min="9" max="9" width="17.28515625" customWidth="1"/>
    <col min="10" max="10" width="10.85546875" customWidth="1"/>
    <col min="11" max="11" width="12.28515625" customWidth="1"/>
    <col min="12" max="12" width="10.140625" customWidth="1"/>
    <col min="20" max="20" width="50.140625" bestFit="1" customWidth="1"/>
    <col min="21" max="21" width="19.28515625" customWidth="1"/>
    <col min="22" max="22" width="9.7109375" customWidth="1"/>
  </cols>
  <sheetData>
    <row r="1" spans="1:27">
      <c r="A1" t="s">
        <v>69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T1">
        <v>1</v>
      </c>
      <c r="U1">
        <v>2</v>
      </c>
      <c r="V1">
        <v>3</v>
      </c>
      <c r="W1">
        <v>4</v>
      </c>
      <c r="X1">
        <v>5</v>
      </c>
      <c r="Y1">
        <v>6</v>
      </c>
      <c r="Z1">
        <v>7</v>
      </c>
      <c r="AA1">
        <v>8</v>
      </c>
    </row>
    <row r="2" spans="1:27">
      <c r="A2" t="s">
        <v>70</v>
      </c>
      <c r="C2">
        <v>1</v>
      </c>
      <c r="D2">
        <f>'XL-Test'!F8</f>
        <v>4</v>
      </c>
      <c r="E2">
        <f>'XL-Test'!G8</f>
        <v>4</v>
      </c>
      <c r="F2">
        <f>'XL-Test'!H8</f>
        <v>0</v>
      </c>
      <c r="G2">
        <f>'XL-Test'!I8</f>
        <v>12</v>
      </c>
      <c r="H2" t="str">
        <f>LOWER('XL-Test'!J8)</f>
        <v>loka.wiranta</v>
      </c>
      <c r="I2" t="str">
        <f>LOWER('XL-Test'!K8)</f>
        <v>maildummy.com</v>
      </c>
      <c r="J2" t="str">
        <f>LOWER('XL-Test'!L8)</f>
        <v>com</v>
      </c>
      <c r="K2" t="str">
        <f>LOWER('XL-Test'!M8)</f>
        <v>staff</v>
      </c>
      <c r="S2">
        <v>1</v>
      </c>
      <c r="T2" t="str">
        <f ca="1">_xlfn.FORMULATEXT('XL-Test'!F8)</f>
        <v>=IFERROR(SEARCH("a";C8);0)</v>
      </c>
      <c r="U2" t="str">
        <f ca="1">_xlfn.FORMULATEXT('XL-Test'!G8)</f>
        <v>=IFERROR(FIND("a";C8);0)</v>
      </c>
      <c r="V2" t="str">
        <f ca="1">_xlfn.FORMULATEXT('XL-Test'!H8)</f>
        <v>=IFERROR(FIND("A";C8);0)</v>
      </c>
      <c r="W2" t="str">
        <f ca="1">_xlfn.FORMULATEXT('XL-Test'!I8)</f>
        <v>=FIND("@";D8;1)-1</v>
      </c>
      <c r="X2" t="str">
        <f ca="1">_xlfn.FORMULATEXT('XL-Test'!J8)</f>
        <v>=LEFT(D8;I8)</v>
      </c>
      <c r="Y2" t="str">
        <f ca="1">_xlfn.FORMULATEXT('XL-Test'!K8)</f>
        <v>=RIGHT(D8;LEN(D8)-FIND("@";D8))</v>
      </c>
      <c r="Z2" t="str">
        <f ca="1">_xlfn.FORMULATEXT('XL-Test'!L8)</f>
        <v>=RIGHT(K8;LEN(K8)-FIND(".";K8))</v>
      </c>
      <c r="AA2" t="str">
        <f ca="1">_xlfn.FORMULATEXT('XL-Test'!M8)</f>
        <v>=IF(ISNUMBER(SEARCH("Manager";E8));"Manajerial";"Staff")</v>
      </c>
    </row>
    <row r="3" spans="1:27">
      <c r="A3" t="str">
        <f>A2&amp;"|"</f>
        <v>MI2|</v>
      </c>
      <c r="C3">
        <v>2</v>
      </c>
      <c r="D3">
        <f>'XL-Test'!F9</f>
        <v>2</v>
      </c>
      <c r="E3">
        <f>'XL-Test'!G9</f>
        <v>2</v>
      </c>
      <c r="F3">
        <f>'XL-Test'!H9</f>
        <v>0</v>
      </c>
      <c r="G3">
        <f>'XL-Test'!I9</f>
        <v>8</v>
      </c>
      <c r="H3" t="str">
        <f>LOWER('XL-Test'!J9)</f>
        <v>hana.lin</v>
      </c>
      <c r="I3" t="str">
        <f>LOWER('XL-Test'!K9)</f>
        <v>techdummy.com</v>
      </c>
      <c r="J3" t="str">
        <f>LOWER('XL-Test'!L9)</f>
        <v>com</v>
      </c>
      <c r="K3" t="str">
        <f>LOWER('XL-Test'!M9)</f>
        <v>staff</v>
      </c>
      <c r="S3">
        <v>2</v>
      </c>
      <c r="T3" t="str">
        <f ca="1">_xlfn.FORMULATEXT('XL-Test'!G8)</f>
        <v>=IFERROR(FIND("a";C8);0)</v>
      </c>
    </row>
    <row r="4" spans="1:27">
      <c r="C4">
        <v>3</v>
      </c>
      <c r="D4">
        <f>'XL-Test'!F10</f>
        <v>1</v>
      </c>
      <c r="E4">
        <f>'XL-Test'!G10</f>
        <v>10</v>
      </c>
      <c r="F4">
        <f>'XL-Test'!H10</f>
        <v>1</v>
      </c>
      <c r="G4">
        <f>'XL-Test'!I10</f>
        <v>17</v>
      </c>
      <c r="H4" t="str">
        <f>LOWER('XL-Test'!J10)</f>
        <v>antonio.maheswara</v>
      </c>
      <c r="I4" t="str">
        <f>LOWER('XL-Test'!K10)</f>
        <v>ruyitech.id</v>
      </c>
      <c r="J4" t="str">
        <f>LOWER('XL-Test'!L10)</f>
        <v>id</v>
      </c>
      <c r="K4" t="str">
        <f>LOWER('XL-Test'!M10)</f>
        <v>staff</v>
      </c>
      <c r="S4">
        <v>3</v>
      </c>
      <c r="T4" t="str">
        <f ca="1">_xlfn.FORMULATEXT('XL-Test'!H8)</f>
        <v>=IFERROR(FIND("A";C8);0)</v>
      </c>
    </row>
    <row r="5" spans="1:27">
      <c r="C5">
        <v>4</v>
      </c>
      <c r="D5">
        <f>'XL-Test'!F11</f>
        <v>2</v>
      </c>
      <c r="E5">
        <f>'XL-Test'!G11</f>
        <v>2</v>
      </c>
      <c r="F5">
        <f>'XL-Test'!H11</f>
        <v>0</v>
      </c>
      <c r="G5">
        <f>'XL-Test'!I11</f>
        <v>13</v>
      </c>
      <c r="H5" t="str">
        <f>LOWER('XL-Test'!J11)</f>
        <v>vanyareselina</v>
      </c>
      <c r="I5" t="str">
        <f>LOWER('XL-Test'!K11)</f>
        <v>techdummy.co.id</v>
      </c>
      <c r="J5" t="str">
        <f>LOWER('XL-Test'!L11)</f>
        <v>co.id</v>
      </c>
      <c r="K5" t="str">
        <f>LOWER('XL-Test'!M11)</f>
        <v>staff</v>
      </c>
      <c r="S5">
        <v>4</v>
      </c>
      <c r="T5" t="str">
        <f ca="1">_xlfn.FORMULATEXT('XL-Test'!I8)</f>
        <v>=FIND("@";D8;1)-1</v>
      </c>
    </row>
    <row r="6" spans="1:27">
      <c r="C6">
        <v>5</v>
      </c>
      <c r="D6">
        <f>'XL-Test'!F12</f>
        <v>4</v>
      </c>
      <c r="E6">
        <f>'XL-Test'!G12</f>
        <v>4</v>
      </c>
      <c r="F6">
        <f>'XL-Test'!H12</f>
        <v>0</v>
      </c>
      <c r="G6">
        <f>'XL-Test'!I12</f>
        <v>12</v>
      </c>
      <c r="H6" t="str">
        <f>LOWER('XL-Test'!J12)</f>
        <v>reza.tarmoko</v>
      </c>
      <c r="I6" t="str">
        <f>LOWER('XL-Test'!K12)</f>
        <v>dummymail.com</v>
      </c>
      <c r="J6" t="str">
        <f>LOWER('XL-Test'!L12)</f>
        <v>com</v>
      </c>
      <c r="K6" t="str">
        <f>LOWER('XL-Test'!M12)</f>
        <v>manajerial</v>
      </c>
      <c r="S6">
        <v>5</v>
      </c>
      <c r="T6" t="str">
        <f ca="1">_xlfn.FORMULATEXT('XL-Test'!J8)</f>
        <v>=LEFT(D8;I8)</v>
      </c>
    </row>
    <row r="7" spans="1:27">
      <c r="C7">
        <v>6</v>
      </c>
      <c r="D7">
        <f>'XL-Test'!F13</f>
        <v>2</v>
      </c>
      <c r="E7">
        <f>'XL-Test'!G13</f>
        <v>2</v>
      </c>
      <c r="F7">
        <f>'XL-Test'!H13</f>
        <v>0</v>
      </c>
      <c r="G7">
        <f>'XL-Test'!I13</f>
        <v>13</v>
      </c>
      <c r="H7" t="str">
        <f>LOWER('XL-Test'!J13)</f>
        <v>dargo.mawesta</v>
      </c>
      <c r="I7" t="str">
        <f>LOWER('XL-Test'!K13)</f>
        <v>dummy.com</v>
      </c>
      <c r="J7" t="str">
        <f>LOWER('XL-Test'!L13)</f>
        <v>com</v>
      </c>
      <c r="K7" t="str">
        <f>LOWER('XL-Test'!M13)</f>
        <v>staff</v>
      </c>
      <c r="S7">
        <v>6</v>
      </c>
      <c r="T7" t="str">
        <f ca="1">_xlfn.FORMULATEXT('XL-Test'!K8)</f>
        <v>=RIGHT(D8;LEN(D8)-FIND("@";D8))</v>
      </c>
    </row>
    <row r="8" spans="1:27">
      <c r="C8">
        <v>7</v>
      </c>
      <c r="D8">
        <f>'XL-Test'!F14</f>
        <v>7</v>
      </c>
      <c r="E8">
        <f>'XL-Test'!G14</f>
        <v>13</v>
      </c>
      <c r="F8">
        <f>'XL-Test'!H14</f>
        <v>7</v>
      </c>
      <c r="G8">
        <f>'XL-Test'!I14</f>
        <v>12</v>
      </c>
      <c r="H8" t="str">
        <f>LOWER('XL-Test'!J14)</f>
        <v>tisyeavendra</v>
      </c>
      <c r="I8" t="str">
        <f>LOWER('XL-Test'!K14)</f>
        <v>mailtech.co.id</v>
      </c>
      <c r="J8" t="str">
        <f>LOWER('XL-Test'!L14)</f>
        <v>co.id</v>
      </c>
      <c r="K8" t="str">
        <f>LOWER('XL-Test'!M14)</f>
        <v>manajerial</v>
      </c>
      <c r="S8">
        <v>7</v>
      </c>
      <c r="T8" t="str">
        <f ca="1">_xlfn.FORMULATEXT('XL-Test'!L8)</f>
        <v>=RIGHT(K8;LEN(K8)-FIND(".";K8))</v>
      </c>
    </row>
    <row r="9" spans="1:27">
      <c r="C9">
        <v>8</v>
      </c>
      <c r="D9">
        <f>'XL-Test'!F15</f>
        <v>0</v>
      </c>
      <c r="E9">
        <f>'XL-Test'!G15</f>
        <v>0</v>
      </c>
      <c r="F9">
        <f>'XL-Test'!H15</f>
        <v>0</v>
      </c>
      <c r="G9">
        <f>'XL-Test'!I15</f>
        <v>9</v>
      </c>
      <c r="H9" t="str">
        <f>LOWER('XL-Test'!J15)</f>
        <v>erik.reno</v>
      </c>
      <c r="I9" t="str">
        <f>LOWER('XL-Test'!K15)</f>
        <v>techdummy.com</v>
      </c>
      <c r="J9" t="str">
        <f>LOWER('XL-Test'!L15)</f>
        <v>com</v>
      </c>
      <c r="K9" t="str">
        <f>LOWER('XL-Test'!M15)</f>
        <v>staff</v>
      </c>
      <c r="S9">
        <v>8</v>
      </c>
      <c r="T9" t="str">
        <f ca="1">_xlfn.FORMULATEXT('XL-Test'!M8)</f>
        <v>=IF(ISNUMBER(SEARCH("Manager";E8));"Manajerial";"Staff")</v>
      </c>
    </row>
    <row r="10" spans="1:27">
      <c r="C10">
        <v>9</v>
      </c>
      <c r="D10">
        <f>'XL-Test'!F16</f>
        <v>8</v>
      </c>
      <c r="E10">
        <f>'XL-Test'!G16</f>
        <v>8</v>
      </c>
      <c r="F10">
        <f>'XL-Test'!H16</f>
        <v>0</v>
      </c>
      <c r="G10">
        <f>'XL-Test'!I16</f>
        <v>15</v>
      </c>
      <c r="H10" t="str">
        <f>LOWER('XL-Test'!J16)</f>
        <v>jefro.malantara</v>
      </c>
      <c r="I10" t="str">
        <f>LOWER('XL-Test'!K16)</f>
        <v>dummy.org</v>
      </c>
      <c r="J10" t="str">
        <f>LOWER('XL-Test'!L16)</f>
        <v>org</v>
      </c>
      <c r="K10" t="str">
        <f>LOWER('XL-Test'!M16)</f>
        <v>staff</v>
      </c>
    </row>
    <row r="11" spans="1:27">
      <c r="C11">
        <v>10</v>
      </c>
      <c r="D11">
        <f>'XL-Test'!F17</f>
        <v>4</v>
      </c>
      <c r="E11">
        <f>'XL-Test'!G17</f>
        <v>4</v>
      </c>
      <c r="F11">
        <f>'XL-Test'!H17</f>
        <v>16</v>
      </c>
      <c r="G11">
        <f>'XL-Test'!I17</f>
        <v>20</v>
      </c>
      <c r="H11" t="str">
        <f>LOWER('XL-Test'!J17)</f>
        <v>binarkendarta.amesti</v>
      </c>
      <c r="I11" t="str">
        <f>LOWER('XL-Test'!K17)</f>
        <v>maildummy.net</v>
      </c>
      <c r="J11" t="str">
        <f>LOWER('XL-Test'!L17)</f>
        <v>net</v>
      </c>
      <c r="K11" t="str">
        <f>LOWER('XL-Test'!M17)</f>
        <v>staff</v>
      </c>
    </row>
    <row r="12" spans="1:27">
      <c r="C12">
        <v>11</v>
      </c>
      <c r="D12">
        <f>'XL-Test'!F18</f>
        <v>5</v>
      </c>
      <c r="E12">
        <f>'XL-Test'!G18</f>
        <v>5</v>
      </c>
      <c r="F12">
        <f>'XL-Test'!H18</f>
        <v>0</v>
      </c>
      <c r="G12">
        <f>'XL-Test'!I18</f>
        <v>13</v>
      </c>
      <c r="H12" t="str">
        <f>LOWER('XL-Test'!J18)</f>
        <v>chika.yuresta</v>
      </c>
      <c r="I12" t="str">
        <f>LOWER('XL-Test'!K18)</f>
        <v>maildummy.co.id</v>
      </c>
      <c r="J12" t="str">
        <f>LOWER('XL-Test'!L18)</f>
        <v>co.id</v>
      </c>
      <c r="K12" t="str">
        <f>LOWER('XL-Test'!M18)</f>
        <v>manajerial</v>
      </c>
    </row>
    <row r="13" spans="1:27">
      <c r="C13">
        <v>12</v>
      </c>
      <c r="D13">
        <f>'XL-Test'!F19</f>
        <v>1</v>
      </c>
      <c r="E13">
        <f>'XL-Test'!G19</f>
        <v>6</v>
      </c>
      <c r="F13">
        <f>'XL-Test'!H19</f>
        <v>1</v>
      </c>
      <c r="G13">
        <f>'XL-Test'!I19</f>
        <v>15</v>
      </c>
      <c r="H13" t="str">
        <f>LOWER('XL-Test'!J19)</f>
        <v>anitha.meizhang</v>
      </c>
      <c r="I13" t="str">
        <f>LOWER('XL-Test'!K19)</f>
        <v>yahootech.co.id</v>
      </c>
      <c r="J13" t="str">
        <f>LOWER('XL-Test'!L19)</f>
        <v>co.id</v>
      </c>
      <c r="K13" t="str">
        <f>LOWER('XL-Test'!M19)</f>
        <v>staff</v>
      </c>
    </row>
    <row r="14" spans="1:27">
      <c r="C14">
        <v>13</v>
      </c>
      <c r="D14">
        <f>'XL-Test'!F20</f>
        <v>7</v>
      </c>
      <c r="E14">
        <f>'XL-Test'!G20</f>
        <v>7</v>
      </c>
      <c r="F14">
        <f>'XL-Test'!H20</f>
        <v>0</v>
      </c>
      <c r="G14">
        <f>'XL-Test'!I20</f>
        <v>10</v>
      </c>
      <c r="H14" t="str">
        <f>LOWER('XL-Test'!J20)</f>
        <v>liu.shasha</v>
      </c>
      <c r="I14" t="str">
        <f>LOWER('XL-Test'!K20)</f>
        <v>domaindummy.com</v>
      </c>
      <c r="J14" t="str">
        <f>LOWER('XL-Test'!L20)</f>
        <v>com</v>
      </c>
      <c r="K14" t="str">
        <f>LOWER('XL-Test'!M20)</f>
        <v>manajerial</v>
      </c>
    </row>
    <row r="15" spans="1:27">
      <c r="C15">
        <v>14</v>
      </c>
      <c r="D15">
        <f>'XL-Test'!F21</f>
        <v>3</v>
      </c>
      <c r="E15">
        <f>'XL-Test'!G21</f>
        <v>3</v>
      </c>
      <c r="F15">
        <f>'XL-Test'!H21</f>
        <v>0</v>
      </c>
      <c r="G15">
        <f>'XL-Test'!I21</f>
        <v>12</v>
      </c>
      <c r="H15" t="str">
        <f>LOWER('XL-Test'!J21)</f>
        <v>zhang.rounan</v>
      </c>
      <c r="I15" t="str">
        <f>LOWER('XL-Test'!K21)</f>
        <v>fakedomain.org</v>
      </c>
      <c r="J15" t="str">
        <f>LOWER('XL-Test'!L21)</f>
        <v>org</v>
      </c>
      <c r="K15" t="str">
        <f>LOWER('XL-Test'!M21)</f>
        <v>staff</v>
      </c>
    </row>
    <row r="16" spans="1:27">
      <c r="C16">
        <v>15</v>
      </c>
      <c r="D16">
        <f>'XL-Test'!F22</f>
        <v>12</v>
      </c>
      <c r="E16">
        <f>'XL-Test'!G22</f>
        <v>12</v>
      </c>
      <c r="F16">
        <f>'XL-Test'!H22</f>
        <v>0</v>
      </c>
      <c r="G16">
        <f>'XL-Test'!I22</f>
        <v>12</v>
      </c>
      <c r="H16" t="str">
        <f>LOWER('XL-Test'!J22)</f>
        <v>songzueryang</v>
      </c>
      <c r="I16" t="str">
        <f>LOWER('XL-Test'!K22)</f>
        <v>yahoomy.com</v>
      </c>
      <c r="J16" t="str">
        <f>LOWER('XL-Test'!L22)</f>
        <v>com</v>
      </c>
      <c r="K16" t="str">
        <f>LOWER('XL-Test'!M22)</f>
        <v>staff</v>
      </c>
    </row>
    <row r="18" spans="2:11">
      <c r="C18" t="s">
        <v>71</v>
      </c>
      <c r="D18">
        <f>(SUM(D2:D16)+D2+D4+D8+D11+D13+D16)*78</f>
        <v>7098</v>
      </c>
      <c r="E18">
        <f t="shared" ref="E18:G18" si="0">(SUM(E2:E16)+E2+E4+E8+E11+E13+E16)*78</f>
        <v>10218</v>
      </c>
      <c r="F18">
        <f t="shared" si="0"/>
        <v>3900</v>
      </c>
      <c r="G18">
        <f t="shared" si="0"/>
        <v>21918</v>
      </c>
      <c r="H18">
        <f>CODE(LEFT(H2))+CODE(RIGHT(H2))+CODE(LEFT(H3))+CODE(RIGHT(H3))+CODE(LEFT(H4))+CODE(RIGHT(H4))+CODE(LEFT(H5))+CODE(RIGHT(H5))+CODE(LEFT(H6))+CODE(RIGHT(H6))+CODE(LEFT(H7))+CODE(RIGHT(H7))+CODE(LEFT(H8))+CODE(RIGHT(H8))+CODE(LEFT(H9))+CODE(RIGHT(H9))+CODE(LEFT(H10))+CODE(RIGHT(H10))+CODE(LEFT(H11))+CODE(RIGHT(H11))+CODE(LEFT(H12))+CODE(RIGHT(H12))+CODE(LEFT(H13))+CODE(RIGHT(H13))+CODE(LEFT(H14))+CODE(RIGHT(H14))+CODE(LEFT(H15))+CODE(RIGHT(H15))+CODE(LEFT(H16))+CODE(RIGHT(H16))+LEN(H2)+LEN(H10)+LEN(H15)</f>
        <v>3171</v>
      </c>
      <c r="I18">
        <f>CODE(LEFT(I2))+CODE(RIGHT(I2))+CODE(LEFT(I3))+CODE(RIGHT(I3))+CODE(LEFT(I4))+CODE(RIGHT(I4))+CODE(LEFT(I5))+CODE(RIGHT(I5))+CODE(LEFT(I6))+CODE(RIGHT(I6))+CODE(LEFT(I7))+CODE(RIGHT(I7))+CODE(LEFT(I8))+CODE(RIGHT(I8))+CODE(LEFT(I9))+CODE(RIGHT(I9))+CODE(LEFT(I10))+CODE(RIGHT(I10))+CODE(LEFT(I11))+CODE(RIGHT(I11))+CODE(LEFT(I12))+CODE(RIGHT(I12))+CODE(LEFT(I13))+CODE(RIGHT(I13))+CODE(LEFT(I14))+CODE(RIGHT(I14))+CODE(LEFT(I15))+CODE(RIGHT(I15))+CODE(LEFT(I16))+CODE(RIGHT(I16))+LEN(I2)+LEN(I10)+LEN(I15)</f>
        <v>3263</v>
      </c>
      <c r="J18">
        <f>CODE(LEFT(J2))+CODE(RIGHT(J2))+CODE(LEFT(J3))+CODE(RIGHT(J3))+CODE(LEFT(J4))+CODE(RIGHT(J4))+CODE(LEFT(J5))+CODE(RIGHT(J5))+CODE(LEFT(J6))+CODE(RIGHT(J6))+CODE(LEFT(J7))+CODE(RIGHT(J7))+CODE(LEFT(J8))+CODE(RIGHT(J8))+CODE(LEFT(J9))+CODE(RIGHT(J9))+CODE(LEFT(J10))+CODE(RIGHT(J10))+CODE(LEFT(J11))+CODE(RIGHT(J11))+CODE(LEFT(J12))+CODE(RIGHT(J12))+CODE(LEFT(J13))+CODE(RIGHT(J13))+CODE(LEFT(J14))+CODE(RIGHT(J14))+CODE(LEFT(J15))+CODE(RIGHT(J15))+CODE(LEFT(J16))+CODE(RIGHT(J16))+LEN(J2)+LEN(J10)+LEN(J15)</f>
        <v>3120</v>
      </c>
      <c r="K18">
        <f>CODE(LEFT(K2))+CODE(RIGHT(K2))+CODE(LEFT(K3))+CODE(RIGHT(K3))+CODE(LEFT(K4))+CODE(RIGHT(K4))+CODE(LEFT(K5))+CODE(RIGHT(K5))+CODE(LEFT(K6))+CODE(RIGHT(K6))+CODE(LEFT(K7))+CODE(RIGHT(K7))+CODE(LEFT(K8))+CODE(RIGHT(K8))+CODE(LEFT(K9))+CODE(RIGHT(K9))+CODE(LEFT(K10))+CODE(RIGHT(K10))+CODE(LEFT(K11))+CODE(RIGHT(K11))+CODE(LEFT(K12))+CODE(RIGHT(K12))+CODE(LEFT(K13))+CODE(RIGHT(K13))+CODE(LEFT(K14))+CODE(RIGHT(K14))+CODE(LEFT(K15))+CODE(RIGHT(K15))+CODE(LEFT(K16))+CODE(RIGHT(K16))+LEN(K2)+LEN(K10)+LEN(K15)</f>
        <v>3270</v>
      </c>
    </row>
    <row r="19" spans="2:11">
      <c r="B19" t="s">
        <v>72</v>
      </c>
      <c r="D19" t="str">
        <f ca="1">IFERROR(DEC2HEX(IF(OR(D2=0,D2=""),D21,D18)),"EEEE")&amp;D52</f>
        <v>1BBA1</v>
      </c>
      <c r="E19" t="str">
        <f t="shared" ref="E19:K19" ca="1" si="1">IFERROR(DEC2HEX(IF(OR(E2=0,E2=""),E21,E18)),"EEEE")&amp;E52</f>
        <v>27EA1</v>
      </c>
      <c r="F19" t="str">
        <f ca="1">IFERROR(DEC2HEX(IF(OR(F4=0,F4=""),F21,F18)),"EEEE")&amp;F52</f>
        <v>F3C1</v>
      </c>
      <c r="G19" t="str">
        <f t="shared" ca="1" si="1"/>
        <v>559E1</v>
      </c>
      <c r="H19" t="str">
        <f t="shared" ca="1" si="1"/>
        <v>C631</v>
      </c>
      <c r="I19" t="str">
        <f t="shared" ca="1" si="1"/>
        <v>CBF1</v>
      </c>
      <c r="J19" t="str">
        <f t="shared" ca="1" si="1"/>
        <v>C301</v>
      </c>
      <c r="K19" t="str">
        <f t="shared" ca="1" si="1"/>
        <v>CC61</v>
      </c>
    </row>
    <row r="21" spans="2:11">
      <c r="C21" t="s">
        <v>73</v>
      </c>
      <c r="D21">
        <v>7275</v>
      </c>
      <c r="E21">
        <v>2890</v>
      </c>
      <c r="F21">
        <v>4509</v>
      </c>
      <c r="G21">
        <v>5435</v>
      </c>
      <c r="H21">
        <v>8218</v>
      </c>
      <c r="I21">
        <v>3106</v>
      </c>
      <c r="J21">
        <v>8164</v>
      </c>
      <c r="K21">
        <v>8558</v>
      </c>
    </row>
    <row r="23" spans="2:11">
      <c r="C23" t="b">
        <v>1</v>
      </c>
      <c r="D23" t="str">
        <f>LEFT(DEC2HEX(D21),2)</f>
        <v>1C</v>
      </c>
      <c r="E23" t="str">
        <f t="shared" ref="E23:K23" si="2">LEFT(DEC2HEX(E21),2)</f>
        <v>B4</v>
      </c>
      <c r="F23" t="str">
        <f t="shared" si="2"/>
        <v>11</v>
      </c>
      <c r="G23" t="str">
        <f t="shared" si="2"/>
        <v>15</v>
      </c>
      <c r="H23" t="str">
        <f t="shared" si="2"/>
        <v>20</v>
      </c>
      <c r="I23" t="str">
        <f t="shared" si="2"/>
        <v>C2</v>
      </c>
      <c r="J23" t="str">
        <f t="shared" si="2"/>
        <v>1F</v>
      </c>
      <c r="K23" t="str">
        <f t="shared" si="2"/>
        <v>21</v>
      </c>
    </row>
    <row r="24" spans="2:11">
      <c r="C24" t="b">
        <v>0</v>
      </c>
      <c r="D24" t="str">
        <f>RIGHT(DEC2HEX(D21),2)</f>
        <v>6B</v>
      </c>
      <c r="E24" t="str">
        <f t="shared" ref="E24:K24" si="3">RIGHT(DEC2HEX(E21),2)</f>
        <v>4A</v>
      </c>
      <c r="F24" t="str">
        <f t="shared" si="3"/>
        <v>9D</v>
      </c>
      <c r="G24" t="str">
        <f t="shared" si="3"/>
        <v>3B</v>
      </c>
      <c r="H24" t="str">
        <f t="shared" si="3"/>
        <v>1A</v>
      </c>
      <c r="I24" t="str">
        <f t="shared" si="3"/>
        <v>22</v>
      </c>
      <c r="J24" t="str">
        <f t="shared" si="3"/>
        <v>E4</v>
      </c>
      <c r="K24" t="str">
        <f t="shared" si="3"/>
        <v>6E</v>
      </c>
    </row>
    <row r="27" spans="2:11">
      <c r="C27" t="s">
        <v>74</v>
      </c>
      <c r="D27" t="b">
        <f ca="1">AND(ISNUMBER(FIND("=",T2)),ISNUMBER(FIND("(",T2)))</f>
        <v>1</v>
      </c>
      <c r="E27" t="b">
        <f t="shared" ref="E27:K27" ca="1" si="4">AND(ISNUMBER(FIND("=",U2)),ISNUMBER(FIND("(",U2)))</f>
        <v>1</v>
      </c>
      <c r="F27" t="b">
        <f t="shared" ca="1" si="4"/>
        <v>1</v>
      </c>
      <c r="G27" t="b">
        <f t="shared" ca="1" si="4"/>
        <v>1</v>
      </c>
      <c r="H27" t="b">
        <f t="shared" ca="1" si="4"/>
        <v>1</v>
      </c>
      <c r="I27" t="b">
        <f t="shared" ca="1" si="4"/>
        <v>1</v>
      </c>
      <c r="J27" t="b">
        <f t="shared" ca="1" si="4"/>
        <v>1</v>
      </c>
      <c r="K27" t="b">
        <f t="shared" ca="1" si="4"/>
        <v>1</v>
      </c>
    </row>
    <row r="29" spans="2:11">
      <c r="C29" t="s">
        <v>75</v>
      </c>
      <c r="D29">
        <f ca="1">IFERROR(LEN(T2)-LEN(SUBSTITUTE(T2,"(","")),99)</f>
        <v>2</v>
      </c>
      <c r="E29">
        <f t="shared" ref="E29:K29" ca="1" si="5">IFERROR(LEN(U2)-LEN(SUBSTITUTE(U2,"(","")),99)</f>
        <v>2</v>
      </c>
      <c r="F29">
        <f t="shared" ca="1" si="5"/>
        <v>2</v>
      </c>
      <c r="G29">
        <f t="shared" ca="1" si="5"/>
        <v>1</v>
      </c>
      <c r="H29">
        <f t="shared" ca="1" si="5"/>
        <v>1</v>
      </c>
      <c r="I29">
        <f t="shared" ca="1" si="5"/>
        <v>3</v>
      </c>
      <c r="J29">
        <f t="shared" ca="1" si="5"/>
        <v>3</v>
      </c>
      <c r="K29">
        <f t="shared" ca="1" si="5"/>
        <v>3</v>
      </c>
    </row>
    <row r="30" spans="2:11">
      <c r="D30">
        <v>2</v>
      </c>
      <c r="E30">
        <v>2</v>
      </c>
      <c r="F30">
        <v>2</v>
      </c>
      <c r="G30">
        <v>1</v>
      </c>
      <c r="H30">
        <v>1</v>
      </c>
      <c r="I30">
        <v>3</v>
      </c>
      <c r="J30">
        <v>3</v>
      </c>
      <c r="K30">
        <v>3</v>
      </c>
    </row>
    <row r="31" spans="2:11">
      <c r="C31" t="s">
        <v>76</v>
      </c>
      <c r="D31">
        <f ca="1">(D29&lt;=D30)+0</f>
        <v>1</v>
      </c>
      <c r="E31">
        <f t="shared" ref="E31:K31" ca="1" si="6">(E29&lt;=E30)+0</f>
        <v>1</v>
      </c>
      <c r="F31">
        <f t="shared" ca="1" si="6"/>
        <v>1</v>
      </c>
      <c r="G31">
        <f t="shared" ca="1" si="6"/>
        <v>1</v>
      </c>
      <c r="H31">
        <f t="shared" ca="1" si="6"/>
        <v>1</v>
      </c>
      <c r="I31">
        <f t="shared" ca="1" si="6"/>
        <v>1</v>
      </c>
      <c r="J31">
        <f t="shared" ca="1" si="6"/>
        <v>1</v>
      </c>
      <c r="K31">
        <f t="shared" ca="1" si="6"/>
        <v>1</v>
      </c>
    </row>
    <row r="33" spans="2:11">
      <c r="C33" t="s">
        <v>77</v>
      </c>
      <c r="D33" t="b">
        <f ca="1">AND(ISNUMBER(FIND("IFER",T2)),ISNUMBER(FIND("SEAR",T2)))</f>
        <v>1</v>
      </c>
      <c r="E33" t="b">
        <f ca="1">AND(ISNUMBER(FIND("IFER",U2)),ISNUMBER(FIND("FIN",U2)))</f>
        <v>1</v>
      </c>
      <c r="F33" t="b">
        <f t="shared" ref="F33" ca="1" si="7">AND(ISNUMBER(FIND("IFER",V2)),ISNUMBER(FIND("FIN",V2)))</f>
        <v>1</v>
      </c>
      <c r="G33" t="b">
        <f ca="1">AND(ISNUMBER(FIND("@",W2)),ISNUMBER(FIND("FIN",W2)))</f>
        <v>1</v>
      </c>
      <c r="H33" t="b">
        <f ca="1">AND(ISNUMBER(FIND("LEFT",X2)))</f>
        <v>1</v>
      </c>
      <c r="I33" t="b">
        <f ca="1">AND(OR(ISNUMBER(FIND("FIND",Y2)),ISNUMBER(FIND("SEAR",Y2))),ISNUMBER(FIND("RIGH",Y2)))</f>
        <v>1</v>
      </c>
      <c r="J33" t="b">
        <f ca="1">AND(OR(ISNUMBER(FIND("FIND",Z2)),ISNUMBER(FIND("SEAR",Z2))),ISNUMBER(FIND("RIGH",Z2)))</f>
        <v>1</v>
      </c>
      <c r="K33" t="b">
        <f ca="1">AND(OR(ISNUMBER(FIND("FIND",AA2)),ISNUMBER(FIND("SEAR",AA2))),ISNUMBER(FIND("IF",AA2)),ISNUMBER(FIND("IS",AA2)))</f>
        <v>1</v>
      </c>
    </row>
    <row r="34" spans="2:11">
      <c r="B34" t="s">
        <v>72</v>
      </c>
      <c r="D34" t="str">
        <f ca="1">IF(D33,D23,D24)&amp;D31</f>
        <v>1C1</v>
      </c>
      <c r="E34" t="str">
        <f t="shared" ref="E34:K34" ca="1" si="8">IF(E33,E23,E24)&amp;E31</f>
        <v>B41</v>
      </c>
      <c r="F34" t="str">
        <f t="shared" ca="1" si="8"/>
        <v>111</v>
      </c>
      <c r="G34" t="str">
        <f t="shared" ca="1" si="8"/>
        <v>151</v>
      </c>
      <c r="H34" t="str">
        <f t="shared" ca="1" si="8"/>
        <v>201</v>
      </c>
      <c r="I34" t="str">
        <f t="shared" ca="1" si="8"/>
        <v>C21</v>
      </c>
      <c r="J34" t="str">
        <f t="shared" ca="1" si="8"/>
        <v>1F1</v>
      </c>
      <c r="K34" t="str">
        <f t="shared" ca="1" si="8"/>
        <v>211</v>
      </c>
    </row>
    <row r="36" spans="2:11">
      <c r="C36">
        <v>10</v>
      </c>
      <c r="D36">
        <f ca="1">LEN(_xlfn.FORMULATEXT('XL-Test'!F10))</f>
        <v>27</v>
      </c>
      <c r="E36">
        <f ca="1">LEN(_xlfn.FORMULATEXT('XL-Test'!G10))</f>
        <v>25</v>
      </c>
      <c r="F36">
        <f ca="1">LEN(_xlfn.FORMULATEXT('XL-Test'!H10))</f>
        <v>25</v>
      </c>
      <c r="G36">
        <f ca="1">LEN(_xlfn.FORMULATEXT('XL-Test'!I10))</f>
        <v>18</v>
      </c>
      <c r="H36">
        <f ca="1">LEN(_xlfn.FORMULATEXT('XL-Test'!J10))</f>
        <v>14</v>
      </c>
      <c r="I36">
        <f ca="1">LEN(_xlfn.FORMULATEXT('XL-Test'!K10))</f>
        <v>34</v>
      </c>
      <c r="J36">
        <f ca="1">LEN(_xlfn.FORMULATEXT('XL-Test'!L10))</f>
        <v>34</v>
      </c>
      <c r="K36">
        <f ca="1">LEN(_xlfn.FORMULATEXT('XL-Test'!M10))</f>
        <v>57</v>
      </c>
    </row>
    <row r="37" spans="2:11">
      <c r="C37">
        <v>11</v>
      </c>
      <c r="D37">
        <f ca="1">LEN(_xlfn.FORMULATEXT('XL-Test'!F11))</f>
        <v>27</v>
      </c>
      <c r="E37">
        <f ca="1">LEN(_xlfn.FORMULATEXT('XL-Test'!G11))</f>
        <v>25</v>
      </c>
      <c r="F37">
        <f ca="1">LEN(_xlfn.FORMULATEXT('XL-Test'!H11))</f>
        <v>25</v>
      </c>
      <c r="G37">
        <f ca="1">LEN(_xlfn.FORMULATEXT('XL-Test'!I11))</f>
        <v>18</v>
      </c>
      <c r="H37">
        <f ca="1">LEN(_xlfn.FORMULATEXT('XL-Test'!J11))</f>
        <v>14</v>
      </c>
      <c r="I37">
        <f ca="1">LEN(_xlfn.FORMULATEXT('XL-Test'!K11))</f>
        <v>34</v>
      </c>
      <c r="J37">
        <f ca="1">LEN(_xlfn.FORMULATEXT('XL-Test'!L11))</f>
        <v>34</v>
      </c>
      <c r="K37">
        <f ca="1">LEN(_xlfn.FORMULATEXT('XL-Test'!M11))</f>
        <v>57</v>
      </c>
    </row>
    <row r="38" spans="2:11">
      <c r="C38">
        <v>12</v>
      </c>
      <c r="D38">
        <f ca="1">LEN(_xlfn.FORMULATEXT('XL-Test'!F12))</f>
        <v>27</v>
      </c>
      <c r="E38">
        <f ca="1">LEN(_xlfn.FORMULATEXT('XL-Test'!G12))</f>
        <v>25</v>
      </c>
      <c r="F38">
        <f ca="1">LEN(_xlfn.FORMULATEXT('XL-Test'!H12))</f>
        <v>25</v>
      </c>
      <c r="G38">
        <f ca="1">LEN(_xlfn.FORMULATEXT('XL-Test'!I12))</f>
        <v>18</v>
      </c>
      <c r="H38">
        <f ca="1">LEN(_xlfn.FORMULATEXT('XL-Test'!J12))</f>
        <v>14</v>
      </c>
      <c r="I38">
        <f ca="1">LEN(_xlfn.FORMULATEXT('XL-Test'!K12))</f>
        <v>34</v>
      </c>
      <c r="J38">
        <f ca="1">LEN(_xlfn.FORMULATEXT('XL-Test'!L12))</f>
        <v>34</v>
      </c>
      <c r="K38">
        <f ca="1">LEN(_xlfn.FORMULATEXT('XL-Test'!M12))</f>
        <v>57</v>
      </c>
    </row>
    <row r="39" spans="2:11">
      <c r="C39">
        <v>13</v>
      </c>
      <c r="D39">
        <f ca="1">LEN(_xlfn.FORMULATEXT('XL-Test'!F13))</f>
        <v>27</v>
      </c>
      <c r="E39">
        <f ca="1">LEN(_xlfn.FORMULATEXT('XL-Test'!G13))</f>
        <v>25</v>
      </c>
      <c r="F39">
        <f ca="1">LEN(_xlfn.FORMULATEXT('XL-Test'!H13))</f>
        <v>25</v>
      </c>
      <c r="G39">
        <f ca="1">LEN(_xlfn.FORMULATEXT('XL-Test'!I13))</f>
        <v>18</v>
      </c>
      <c r="H39">
        <f ca="1">LEN(_xlfn.FORMULATEXT('XL-Test'!J13))</f>
        <v>14</v>
      </c>
      <c r="I39">
        <f ca="1">LEN(_xlfn.FORMULATEXT('XL-Test'!K13))</f>
        <v>34</v>
      </c>
      <c r="J39">
        <f ca="1">LEN(_xlfn.FORMULATEXT('XL-Test'!L13))</f>
        <v>34</v>
      </c>
      <c r="K39">
        <f ca="1">LEN(_xlfn.FORMULATEXT('XL-Test'!M13))</f>
        <v>57</v>
      </c>
    </row>
    <row r="40" spans="2:11">
      <c r="C40">
        <v>14</v>
      </c>
      <c r="D40">
        <f ca="1">LEN(_xlfn.FORMULATEXT('XL-Test'!F14))</f>
        <v>27</v>
      </c>
      <c r="E40">
        <f ca="1">LEN(_xlfn.FORMULATEXT('XL-Test'!G14))</f>
        <v>25</v>
      </c>
      <c r="F40">
        <f ca="1">LEN(_xlfn.FORMULATEXT('XL-Test'!H14))</f>
        <v>25</v>
      </c>
      <c r="G40">
        <f ca="1">LEN(_xlfn.FORMULATEXT('XL-Test'!I14))</f>
        <v>18</v>
      </c>
      <c r="H40">
        <f ca="1">LEN(_xlfn.FORMULATEXT('XL-Test'!J14))</f>
        <v>14</v>
      </c>
      <c r="I40">
        <f ca="1">LEN(_xlfn.FORMULATEXT('XL-Test'!K14))</f>
        <v>34</v>
      </c>
      <c r="J40">
        <f ca="1">LEN(_xlfn.FORMULATEXT('XL-Test'!L14))</f>
        <v>34</v>
      </c>
      <c r="K40">
        <f ca="1">LEN(_xlfn.FORMULATEXT('XL-Test'!M14))</f>
        <v>57</v>
      </c>
    </row>
    <row r="41" spans="2:11">
      <c r="C41">
        <v>15</v>
      </c>
      <c r="D41">
        <f ca="1">LEN(_xlfn.FORMULATEXT('XL-Test'!F15))</f>
        <v>27</v>
      </c>
      <c r="E41">
        <f ca="1">LEN(_xlfn.FORMULATEXT('XL-Test'!G15))</f>
        <v>25</v>
      </c>
      <c r="F41">
        <f ca="1">LEN(_xlfn.FORMULATEXT('XL-Test'!H15))</f>
        <v>25</v>
      </c>
      <c r="G41">
        <f ca="1">LEN(_xlfn.FORMULATEXT('XL-Test'!I15))</f>
        <v>18</v>
      </c>
      <c r="H41">
        <f ca="1">LEN(_xlfn.FORMULATEXT('XL-Test'!J15))</f>
        <v>14</v>
      </c>
      <c r="I41">
        <f ca="1">LEN(_xlfn.FORMULATEXT('XL-Test'!K15))</f>
        <v>34</v>
      </c>
      <c r="J41">
        <f ca="1">LEN(_xlfn.FORMULATEXT('XL-Test'!L15))</f>
        <v>34</v>
      </c>
      <c r="K41">
        <f ca="1">LEN(_xlfn.FORMULATEXT('XL-Test'!M15))</f>
        <v>57</v>
      </c>
    </row>
    <row r="42" spans="2:11">
      <c r="C42">
        <v>16</v>
      </c>
      <c r="D42">
        <f ca="1">LEN(_xlfn.FORMULATEXT('XL-Test'!F16))</f>
        <v>27</v>
      </c>
      <c r="E42">
        <f ca="1">LEN(_xlfn.FORMULATEXT('XL-Test'!G16))</f>
        <v>25</v>
      </c>
      <c r="F42">
        <f ca="1">LEN(_xlfn.FORMULATEXT('XL-Test'!H16))</f>
        <v>25</v>
      </c>
      <c r="G42">
        <f ca="1">LEN(_xlfn.FORMULATEXT('XL-Test'!I16))</f>
        <v>18</v>
      </c>
      <c r="H42">
        <f ca="1">LEN(_xlfn.FORMULATEXT('XL-Test'!J16))</f>
        <v>14</v>
      </c>
      <c r="I42">
        <f ca="1">LEN(_xlfn.FORMULATEXT('XL-Test'!K16))</f>
        <v>34</v>
      </c>
      <c r="J42">
        <f ca="1">LEN(_xlfn.FORMULATEXT('XL-Test'!L16))</f>
        <v>34</v>
      </c>
      <c r="K42">
        <f ca="1">LEN(_xlfn.FORMULATEXT('XL-Test'!M16))</f>
        <v>57</v>
      </c>
    </row>
    <row r="43" spans="2:11">
      <c r="C43">
        <v>17</v>
      </c>
      <c r="D43">
        <f ca="1">LEN(_xlfn.FORMULATEXT('XL-Test'!F17))</f>
        <v>27</v>
      </c>
      <c r="E43">
        <f ca="1">LEN(_xlfn.FORMULATEXT('XL-Test'!G17))</f>
        <v>25</v>
      </c>
      <c r="F43">
        <f ca="1">LEN(_xlfn.FORMULATEXT('XL-Test'!H17))</f>
        <v>25</v>
      </c>
      <c r="G43">
        <f ca="1">LEN(_xlfn.FORMULATEXT('XL-Test'!I17))</f>
        <v>18</v>
      </c>
      <c r="H43">
        <f ca="1">LEN(_xlfn.FORMULATEXT('XL-Test'!J17))</f>
        <v>14</v>
      </c>
      <c r="I43">
        <f ca="1">LEN(_xlfn.FORMULATEXT('XL-Test'!K17))</f>
        <v>34</v>
      </c>
      <c r="J43">
        <f ca="1">LEN(_xlfn.FORMULATEXT('XL-Test'!L17))</f>
        <v>34</v>
      </c>
      <c r="K43">
        <f ca="1">LEN(_xlfn.FORMULATEXT('XL-Test'!M17))</f>
        <v>57</v>
      </c>
    </row>
    <row r="44" spans="2:11">
      <c r="C44">
        <v>18</v>
      </c>
      <c r="D44">
        <f ca="1">LEN(_xlfn.FORMULATEXT('XL-Test'!F18))</f>
        <v>27</v>
      </c>
      <c r="E44">
        <f ca="1">LEN(_xlfn.FORMULATEXT('XL-Test'!G18))</f>
        <v>25</v>
      </c>
      <c r="F44">
        <f ca="1">LEN(_xlfn.FORMULATEXT('XL-Test'!H18))</f>
        <v>25</v>
      </c>
      <c r="G44">
        <f ca="1">LEN(_xlfn.FORMULATEXT('XL-Test'!I18))</f>
        <v>18</v>
      </c>
      <c r="H44">
        <f ca="1">LEN(_xlfn.FORMULATEXT('XL-Test'!J18))</f>
        <v>14</v>
      </c>
      <c r="I44">
        <f ca="1">LEN(_xlfn.FORMULATEXT('XL-Test'!K18))</f>
        <v>34</v>
      </c>
      <c r="J44">
        <f ca="1">LEN(_xlfn.FORMULATEXT('XL-Test'!L18))</f>
        <v>34</v>
      </c>
      <c r="K44">
        <f ca="1">LEN(_xlfn.FORMULATEXT('XL-Test'!M18))</f>
        <v>57</v>
      </c>
    </row>
    <row r="45" spans="2:11">
      <c r="C45">
        <v>19</v>
      </c>
      <c r="D45">
        <f ca="1">LEN(_xlfn.FORMULATEXT('XL-Test'!F19))</f>
        <v>27</v>
      </c>
      <c r="E45">
        <f ca="1">LEN(_xlfn.FORMULATEXT('XL-Test'!G19))</f>
        <v>25</v>
      </c>
      <c r="F45">
        <f ca="1">LEN(_xlfn.FORMULATEXT('XL-Test'!H19))</f>
        <v>25</v>
      </c>
      <c r="G45">
        <f ca="1">LEN(_xlfn.FORMULATEXT('XL-Test'!I19))</f>
        <v>18</v>
      </c>
      <c r="H45">
        <f ca="1">LEN(_xlfn.FORMULATEXT('XL-Test'!J19))</f>
        <v>14</v>
      </c>
      <c r="I45">
        <f ca="1">LEN(_xlfn.FORMULATEXT('XL-Test'!K19))</f>
        <v>34</v>
      </c>
      <c r="J45">
        <f ca="1">LEN(_xlfn.FORMULATEXT('XL-Test'!L19))</f>
        <v>34</v>
      </c>
      <c r="K45">
        <f ca="1">LEN(_xlfn.FORMULATEXT('XL-Test'!M19))</f>
        <v>57</v>
      </c>
    </row>
    <row r="46" spans="2:11">
      <c r="C46">
        <v>20</v>
      </c>
      <c r="D46">
        <f ca="1">LEN(_xlfn.FORMULATEXT('XL-Test'!F20))</f>
        <v>27</v>
      </c>
      <c r="E46">
        <f ca="1">LEN(_xlfn.FORMULATEXT('XL-Test'!G20))</f>
        <v>25</v>
      </c>
      <c r="F46">
        <f ca="1">LEN(_xlfn.FORMULATEXT('XL-Test'!H20))</f>
        <v>25</v>
      </c>
      <c r="G46">
        <f ca="1">LEN(_xlfn.FORMULATEXT('XL-Test'!I20))</f>
        <v>18</v>
      </c>
      <c r="H46">
        <f ca="1">LEN(_xlfn.FORMULATEXT('XL-Test'!J20))</f>
        <v>14</v>
      </c>
      <c r="I46">
        <f ca="1">LEN(_xlfn.FORMULATEXT('XL-Test'!K20))</f>
        <v>34</v>
      </c>
      <c r="J46">
        <f ca="1">LEN(_xlfn.FORMULATEXT('XL-Test'!L20))</f>
        <v>34</v>
      </c>
      <c r="K46">
        <f ca="1">LEN(_xlfn.FORMULATEXT('XL-Test'!M20))</f>
        <v>57</v>
      </c>
    </row>
    <row r="47" spans="2:11">
      <c r="C47">
        <v>21</v>
      </c>
      <c r="D47">
        <f ca="1">LEN(_xlfn.FORMULATEXT('XL-Test'!F21))</f>
        <v>27</v>
      </c>
      <c r="E47">
        <f ca="1">LEN(_xlfn.FORMULATEXT('XL-Test'!G21))</f>
        <v>25</v>
      </c>
      <c r="F47">
        <f ca="1">LEN(_xlfn.FORMULATEXT('XL-Test'!H21))</f>
        <v>25</v>
      </c>
      <c r="G47">
        <f ca="1">LEN(_xlfn.FORMULATEXT('XL-Test'!I21))</f>
        <v>18</v>
      </c>
      <c r="H47">
        <f ca="1">LEN(_xlfn.FORMULATEXT('XL-Test'!J21))</f>
        <v>14</v>
      </c>
      <c r="I47">
        <f ca="1">LEN(_xlfn.FORMULATEXT('XL-Test'!K21))</f>
        <v>34</v>
      </c>
      <c r="J47">
        <f ca="1">LEN(_xlfn.FORMULATEXT('XL-Test'!L21))</f>
        <v>34</v>
      </c>
      <c r="K47">
        <f ca="1">LEN(_xlfn.FORMULATEXT('XL-Test'!M21))</f>
        <v>57</v>
      </c>
    </row>
    <row r="48" spans="2:11">
      <c r="C48">
        <v>22</v>
      </c>
      <c r="D48">
        <f ca="1">LEN(_xlfn.FORMULATEXT('XL-Test'!F22))</f>
        <v>27</v>
      </c>
      <c r="E48">
        <f ca="1">LEN(_xlfn.FORMULATEXT('XL-Test'!G22))</f>
        <v>25</v>
      </c>
      <c r="F48">
        <f ca="1">LEN(_xlfn.FORMULATEXT('XL-Test'!H22))</f>
        <v>25</v>
      </c>
      <c r="G48">
        <f ca="1">LEN(_xlfn.FORMULATEXT('XL-Test'!I22))</f>
        <v>18</v>
      </c>
      <c r="H48">
        <f ca="1">LEN(_xlfn.FORMULATEXT('XL-Test'!J22))</f>
        <v>14</v>
      </c>
      <c r="I48">
        <f ca="1">LEN(_xlfn.FORMULATEXT('XL-Test'!K22))</f>
        <v>34</v>
      </c>
      <c r="J48">
        <f ca="1">LEN(_xlfn.FORMULATEXT('XL-Test'!L22))</f>
        <v>34</v>
      </c>
      <c r="K48">
        <f ca="1">LEN(_xlfn.FORMULATEXT('XL-Test'!M22))</f>
        <v>57</v>
      </c>
    </row>
    <row r="50" spans="2:11">
      <c r="D50">
        <f ca="1">AVERAGE(D36:D48)</f>
        <v>27</v>
      </c>
      <c r="E50">
        <f t="shared" ref="E50:K50" ca="1" si="9">AVERAGE(E36:E48)</f>
        <v>25</v>
      </c>
      <c r="F50">
        <f t="shared" ca="1" si="9"/>
        <v>25</v>
      </c>
      <c r="G50">
        <f t="shared" ca="1" si="9"/>
        <v>18</v>
      </c>
      <c r="H50">
        <f t="shared" ca="1" si="9"/>
        <v>14</v>
      </c>
      <c r="I50">
        <f t="shared" ca="1" si="9"/>
        <v>34</v>
      </c>
      <c r="J50">
        <f t="shared" ca="1" si="9"/>
        <v>34</v>
      </c>
      <c r="K50">
        <f t="shared" ca="1" si="9"/>
        <v>57</v>
      </c>
    </row>
    <row r="51" spans="2:11">
      <c r="D51" t="b">
        <f ca="1">IFERROR(D50=D36,FALSE)</f>
        <v>1</v>
      </c>
      <c r="E51" t="b">
        <f t="shared" ref="E51:K51" ca="1" si="10">IFERROR(E50=E36,FALSE)</f>
        <v>1</v>
      </c>
      <c r="F51" t="b">
        <f t="shared" ca="1" si="10"/>
        <v>1</v>
      </c>
      <c r="G51" t="b">
        <f t="shared" ca="1" si="10"/>
        <v>1</v>
      </c>
      <c r="H51" t="b">
        <f t="shared" ca="1" si="10"/>
        <v>1</v>
      </c>
      <c r="I51" t="b">
        <f t="shared" ca="1" si="10"/>
        <v>1</v>
      </c>
      <c r="J51" t="b">
        <f t="shared" ca="1" si="10"/>
        <v>1</v>
      </c>
      <c r="K51" t="b">
        <f t="shared" ca="1" si="10"/>
        <v>1</v>
      </c>
    </row>
    <row r="52" spans="2:11">
      <c r="B52" t="s">
        <v>78</v>
      </c>
      <c r="D52">
        <f ca="1">AND(D51,D27)+0</f>
        <v>1</v>
      </c>
      <c r="E52">
        <f t="shared" ref="E52:K52" ca="1" si="11">AND(E51,E27)+0</f>
        <v>1</v>
      </c>
      <c r="F52">
        <f t="shared" ca="1" si="11"/>
        <v>1</v>
      </c>
      <c r="G52">
        <f t="shared" ca="1" si="11"/>
        <v>1</v>
      </c>
      <c r="H52">
        <f t="shared" ca="1" si="11"/>
        <v>1</v>
      </c>
      <c r="I52">
        <f t="shared" ca="1" si="11"/>
        <v>1</v>
      </c>
      <c r="J52">
        <f t="shared" ca="1" si="11"/>
        <v>1</v>
      </c>
      <c r="K52">
        <f t="shared" ca="1" si="11"/>
        <v>1</v>
      </c>
    </row>
    <row r="54" spans="2:11">
      <c r="D54" t="str">
        <f ca="1">D34&amp;"-"&amp;D19&amp;";"</f>
        <v>1C1-1BBA1;</v>
      </c>
      <c r="E54" t="str">
        <f t="shared" ref="E54:J54" ca="1" si="12">E34&amp;"-"&amp;E19&amp;";"</f>
        <v>B41-27EA1;</v>
      </c>
      <c r="F54" t="str">
        <f t="shared" ca="1" si="12"/>
        <v>111-F3C1;</v>
      </c>
      <c r="G54" t="str">
        <f t="shared" ca="1" si="12"/>
        <v>151-559E1;</v>
      </c>
      <c r="H54" t="str">
        <f t="shared" ca="1" si="12"/>
        <v>201-C631;</v>
      </c>
      <c r="I54" t="str">
        <f t="shared" ca="1" si="12"/>
        <v>C21-CBF1;</v>
      </c>
      <c r="J54" t="str">
        <f t="shared" ca="1" si="12"/>
        <v>1F1-C301;</v>
      </c>
      <c r="K54" t="str">
        <f ca="1">K34&amp;"-"&amp;K19</f>
        <v>211-CC61</v>
      </c>
    </row>
    <row r="56" spans="2:11">
      <c r="D56" t="str">
        <f ca="1">A3&amp;D54&amp;E54&amp;F54&amp;G54&amp;H54&amp;I54&amp;J54&amp;K54</f>
        <v>MI2|1C1-1BBA1;B41-27EA1;111-F3C1;151-559E1;201-C631;C21-CBF1;1F1-C301;211-CC61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2520-9939-455C-9E6D-F504FEEEF7F4}">
  <sheetPr codeName="Sheet3"/>
  <dimension ref="A1:J25"/>
  <sheetViews>
    <sheetView showGridLines="0" workbookViewId="0">
      <selection activeCell="N23" sqref="N23"/>
    </sheetView>
  </sheetViews>
  <sheetFormatPr defaultColWidth="8.85546875" defaultRowHeight="15"/>
  <cols>
    <col min="1" max="3" width="8.85546875" style="14"/>
    <col min="4" max="4" width="10.5703125" style="14" customWidth="1"/>
    <col min="5" max="5" width="9.28515625" style="14" customWidth="1"/>
    <col min="6" max="7" width="8.85546875" style="14"/>
    <col min="8" max="8" width="26.42578125" style="14" customWidth="1"/>
    <col min="9" max="16384" width="8.85546875" style="14"/>
  </cols>
  <sheetData>
    <row r="1" spans="1:10">
      <c r="A1" s="13"/>
      <c r="B1" s="13"/>
      <c r="C1" s="13"/>
      <c r="D1" s="13"/>
      <c r="E1" s="13"/>
      <c r="F1" s="13"/>
      <c r="G1" s="13"/>
      <c r="H1" s="13"/>
      <c r="I1" s="13"/>
      <c r="J1" s="13"/>
    </row>
    <row r="2" spans="1:10">
      <c r="A2" s="13"/>
      <c r="B2" s="13"/>
      <c r="C2" s="13"/>
      <c r="D2" s="13"/>
      <c r="E2" s="13"/>
      <c r="F2" s="13"/>
      <c r="G2" s="13"/>
      <c r="H2" s="13"/>
      <c r="I2" s="13"/>
      <c r="J2" s="13"/>
    </row>
    <row r="3" spans="1:10">
      <c r="A3" s="13"/>
      <c r="B3" s="13"/>
      <c r="C3" s="13"/>
      <c r="D3" s="13"/>
      <c r="E3" s="13"/>
      <c r="F3" s="13"/>
      <c r="G3" s="13"/>
      <c r="H3" s="13"/>
      <c r="I3" s="13"/>
      <c r="J3" s="13"/>
    </row>
    <row r="4" spans="1:10">
      <c r="A4" s="13"/>
      <c r="B4" s="13"/>
      <c r="C4" s="13"/>
      <c r="D4" s="13"/>
      <c r="E4" s="13"/>
      <c r="F4" s="13"/>
      <c r="G4" s="13"/>
      <c r="H4" s="13"/>
      <c r="I4" s="13"/>
      <c r="J4" s="13"/>
    </row>
    <row r="5" spans="1:10">
      <c r="A5" s="13"/>
      <c r="B5" s="13"/>
      <c r="C5" s="13"/>
      <c r="D5" s="13"/>
      <c r="E5" s="13"/>
      <c r="F5" s="13"/>
      <c r="G5" s="13"/>
      <c r="H5" s="13"/>
      <c r="I5" s="13"/>
      <c r="J5" s="13"/>
    </row>
    <row r="6" spans="1:10">
      <c r="A6" s="13"/>
      <c r="B6" s="13"/>
      <c r="C6" s="13" t="s">
        <v>79</v>
      </c>
      <c r="D6" s="13"/>
      <c r="E6" s="13"/>
      <c r="F6" s="13"/>
      <c r="G6" s="13"/>
      <c r="H6" s="13"/>
      <c r="I6" s="13"/>
      <c r="J6" s="13"/>
    </row>
    <row r="7" spans="1:10">
      <c r="A7" s="13"/>
      <c r="B7" s="13"/>
      <c r="C7" s="13" t="s">
        <v>80</v>
      </c>
      <c r="D7" s="13"/>
      <c r="E7" s="13"/>
      <c r="F7" s="13"/>
      <c r="G7" s="13"/>
      <c r="H7" s="13"/>
      <c r="I7" s="13"/>
      <c r="J7" s="13"/>
    </row>
    <row r="8" spans="1:10">
      <c r="A8" s="13"/>
      <c r="B8" s="13"/>
      <c r="C8" s="13"/>
      <c r="D8" s="13"/>
      <c r="E8" s="13"/>
      <c r="F8" s="13"/>
      <c r="G8" s="13"/>
      <c r="H8" s="13"/>
      <c r="I8" s="13"/>
      <c r="J8" s="13"/>
    </row>
    <row r="9" spans="1:10">
      <c r="A9" s="13"/>
      <c r="B9" s="13"/>
      <c r="C9" s="13"/>
      <c r="D9" s="13"/>
      <c r="E9" s="13"/>
      <c r="F9" s="13"/>
      <c r="G9" s="13"/>
      <c r="H9" s="13"/>
      <c r="I9" s="13"/>
      <c r="J9" s="13"/>
    </row>
    <row r="10" spans="1:10">
      <c r="A10" s="13"/>
      <c r="B10" s="13"/>
      <c r="C10" s="13" t="s">
        <v>81</v>
      </c>
      <c r="D10" s="13"/>
      <c r="E10" s="13"/>
      <c r="F10" s="13"/>
      <c r="G10" s="13"/>
      <c r="H10" s="13"/>
      <c r="I10" s="13"/>
      <c r="J10" s="13"/>
    </row>
    <row r="11" spans="1:10">
      <c r="A11" s="13"/>
      <c r="B11" s="13"/>
      <c r="C11" s="13"/>
      <c r="D11" s="13"/>
      <c r="E11" s="13"/>
      <c r="F11" s="13"/>
      <c r="G11" s="13"/>
      <c r="H11" s="13"/>
      <c r="I11" s="13"/>
      <c r="J11" s="13"/>
    </row>
    <row r="12" spans="1:10">
      <c r="A12" s="13"/>
      <c r="B12" s="13"/>
      <c r="C12" s="13"/>
      <c r="D12" s="24" t="s">
        <v>82</v>
      </c>
      <c r="E12" s="24"/>
      <c r="F12" s="25" t="s">
        <v>83</v>
      </c>
      <c r="G12" s="25"/>
      <c r="H12" s="13"/>
      <c r="I12" s="13"/>
      <c r="J12" s="13"/>
    </row>
    <row r="13" spans="1:10">
      <c r="A13" s="13"/>
      <c r="B13" s="13"/>
      <c r="C13" s="13"/>
      <c r="D13" s="24" t="s">
        <v>84</v>
      </c>
      <c r="E13" s="24"/>
      <c r="F13" s="19" t="s">
        <v>85</v>
      </c>
      <c r="G13" s="15"/>
      <c r="H13" s="13"/>
      <c r="I13" s="13"/>
      <c r="J13" s="13"/>
    </row>
    <row r="14" spans="1:10">
      <c r="A14" s="13"/>
      <c r="B14" s="13"/>
      <c r="C14" s="13"/>
      <c r="D14" s="24" t="s">
        <v>86</v>
      </c>
      <c r="E14" s="24"/>
      <c r="F14" s="19" t="s">
        <v>87</v>
      </c>
      <c r="G14" s="16"/>
      <c r="H14" s="13"/>
      <c r="I14" s="13"/>
      <c r="J14" s="13"/>
    </row>
    <row r="15" spans="1:10">
      <c r="A15" s="13"/>
      <c r="B15" s="13"/>
      <c r="C15" s="13"/>
      <c r="D15" s="24" t="s">
        <v>88</v>
      </c>
      <c r="E15" s="24"/>
      <c r="F15" s="19" t="s">
        <v>89</v>
      </c>
      <c r="G15" s="16"/>
      <c r="H15" s="13"/>
      <c r="I15" s="13"/>
      <c r="J15" s="13"/>
    </row>
    <row r="16" spans="1:10">
      <c r="A16" s="13"/>
      <c r="B16" s="13"/>
      <c r="C16" s="13"/>
      <c r="D16" s="24" t="s">
        <v>90</v>
      </c>
      <c r="E16" s="24"/>
      <c r="F16" s="19" t="s">
        <v>91</v>
      </c>
      <c r="G16" s="16"/>
      <c r="H16" s="13"/>
      <c r="I16" s="13"/>
      <c r="J16" s="13"/>
    </row>
    <row r="17" spans="1:10">
      <c r="A17" s="13"/>
      <c r="B17" s="13"/>
      <c r="C17" s="13"/>
      <c r="D17" s="13"/>
      <c r="E17" s="13"/>
      <c r="F17" s="13"/>
      <c r="G17" s="13"/>
      <c r="H17" s="13"/>
      <c r="I17" s="13"/>
      <c r="J17" s="13"/>
    </row>
    <row r="18" spans="1:10">
      <c r="A18" s="13"/>
      <c r="B18" s="13"/>
      <c r="C18" s="13"/>
      <c r="D18" s="13"/>
      <c r="E18" s="13"/>
      <c r="F18" s="13"/>
      <c r="G18" s="13"/>
      <c r="H18" s="13"/>
      <c r="I18" s="13"/>
      <c r="J18" s="13"/>
    </row>
    <row r="19" spans="1:10">
      <c r="A19" s="13"/>
      <c r="B19" s="13"/>
      <c r="C19" s="13" t="s">
        <v>92</v>
      </c>
      <c r="D19" s="13"/>
      <c r="E19" s="13"/>
      <c r="F19" s="13"/>
      <c r="G19" s="13"/>
      <c r="H19" s="13"/>
      <c r="I19" s="13"/>
      <c r="J19" s="13"/>
    </row>
    <row r="20" spans="1:10">
      <c r="A20" s="13"/>
      <c r="B20" s="13"/>
      <c r="C20" s="17" t="s">
        <v>93</v>
      </c>
      <c r="D20" s="13"/>
      <c r="E20" s="13"/>
      <c r="F20" s="13"/>
      <c r="G20" s="13"/>
      <c r="H20" s="13"/>
      <c r="I20" s="13"/>
      <c r="J20" s="13"/>
    </row>
    <row r="21" spans="1:10">
      <c r="A21" s="13"/>
      <c r="B21" s="13"/>
      <c r="C21" s="13"/>
      <c r="D21" s="13"/>
      <c r="E21" s="13"/>
      <c r="F21" s="13"/>
      <c r="G21" s="13"/>
      <c r="H21" s="13"/>
      <c r="I21" s="13"/>
      <c r="J21" s="13"/>
    </row>
    <row r="22" spans="1:10">
      <c r="A22" s="13"/>
      <c r="B22" s="13"/>
      <c r="C22" s="13"/>
      <c r="D22" s="13"/>
      <c r="E22" s="13"/>
      <c r="F22" s="13"/>
      <c r="G22" s="13"/>
      <c r="H22" s="13"/>
      <c r="I22" s="13"/>
      <c r="J22" s="13"/>
    </row>
    <row r="23" spans="1:10">
      <c r="A23" s="13"/>
      <c r="B23" s="13"/>
      <c r="C23" s="13"/>
      <c r="D23" s="13"/>
      <c r="E23" s="13"/>
      <c r="F23" s="13"/>
      <c r="G23" s="13"/>
      <c r="H23" s="13"/>
      <c r="I23" s="13"/>
      <c r="J23" s="13"/>
    </row>
    <row r="24" spans="1:10">
      <c r="A24" s="13"/>
      <c r="B24" s="13"/>
      <c r="C24" s="13"/>
      <c r="D24" s="13"/>
      <c r="E24" s="13"/>
      <c r="F24" s="13"/>
      <c r="G24" s="13"/>
      <c r="H24" s="13"/>
      <c r="I24" s="13"/>
      <c r="J24" s="13"/>
    </row>
    <row r="25" spans="1:10">
      <c r="A25" s="13"/>
      <c r="B25" s="13"/>
      <c r="C25" s="13"/>
      <c r="D25" s="13"/>
      <c r="E25" s="13"/>
      <c r="F25" s="13"/>
      <c r="G25" s="13"/>
      <c r="H25" s="13"/>
      <c r="I25" s="13"/>
      <c r="J25" s="13"/>
    </row>
  </sheetData>
  <mergeCells count="6">
    <mergeCell ref="D16:E16"/>
    <mergeCell ref="D12:E12"/>
    <mergeCell ref="F12:G12"/>
    <mergeCell ref="D13:E13"/>
    <mergeCell ref="D14:E14"/>
    <mergeCell ref="D15:E15"/>
  </mergeCells>
  <hyperlinks>
    <hyperlink ref="C20" r:id="rId1" xr:uid="{02BA2019-FB0C-402F-9F94-4DFAFDB71A8D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andi setiadi</dc:creator>
  <cp:keywords/>
  <dc:description/>
  <cp:lastModifiedBy>Siti Rukoyah Al Munazalah</cp:lastModifiedBy>
  <cp:revision/>
  <dcterms:created xsi:type="dcterms:W3CDTF">2025-09-28T15:54:44Z</dcterms:created>
  <dcterms:modified xsi:type="dcterms:W3CDTF">2026-03-19T06:56:14Z</dcterms:modified>
  <cp:category/>
  <cp:contentStatus/>
</cp:coreProperties>
</file>