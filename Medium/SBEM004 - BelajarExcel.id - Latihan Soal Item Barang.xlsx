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304" documentId="8_{A9C76321-8141-41FD-84DE-F3FA88D3098C}" xr6:coauthVersionLast="47" xr6:coauthVersionMax="47" xr10:uidLastSave="{D2E2786C-D206-4A0B-89E8-B09F4082DE75}"/>
  <workbookProtection workbookAlgorithmName="SHA-512" workbookHashValue="lp9S6yizT5ASB6yENLeSfe2+Eu+1D69QNCsy/Q82LTDndSkG2nsyYa9+OE+ZG5DqBSBt4zGxxrj5mVz8m4HvZw==" workbookSaltValue="ZPEapJyQzu5XvJhkmC+ZXw==" workbookSpinCount="100000" lockStructure="1"/>
  <bookViews>
    <workbookView xWindow="28692" yWindow="-108" windowWidth="29016" windowHeight="15696" xr2:uid="{9EDC6ECD-BAA6-4FAE-B614-A8BD4954A29A}"/>
  </bookViews>
  <sheets>
    <sheet name="XL-Test" sheetId="1" r:id="rId1"/>
    <sheet name="DF" sheetId="2" state="veryHidden" r:id="rId2"/>
  </sheets>
  <definedNames>
    <definedName name="Kode_jawaban">DF!$C$27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 a="1"/>
  <c r="G10" i="1"/>
  <c r="G9" i="1" a="1"/>
  <c r="G9" i="1"/>
  <c r="G8" i="1" a="1"/>
  <c r="G8" i="1"/>
  <c r="G7" i="1" a="1"/>
  <c r="G7" i="1"/>
  <c r="D11" i="2"/>
  <c r="R2" i="2"/>
  <c r="G21" i="2" s="1"/>
  <c r="Q2" i="2"/>
  <c r="F21" i="2" s="1"/>
  <c r="P2" i="2"/>
  <c r="E21" i="2" s="1"/>
  <c r="O5" i="2"/>
  <c r="O4" i="2"/>
  <c r="O3" i="2"/>
  <c r="O2" i="2"/>
  <c r="D21" i="2" s="1"/>
  <c r="E11" i="2"/>
  <c r="F11" i="2"/>
  <c r="G11" i="2"/>
  <c r="E10" i="2"/>
  <c r="F10" i="2"/>
  <c r="G10" i="2"/>
  <c r="D10" i="2"/>
  <c r="G19" i="2" l="1"/>
  <c r="F19" i="2"/>
  <c r="E19" i="2"/>
  <c r="D19" i="2"/>
  <c r="G17" i="2"/>
  <c r="F17" i="2"/>
  <c r="E17" i="2"/>
  <c r="D17" i="2"/>
  <c r="G2" i="2"/>
  <c r="F2" i="2"/>
  <c r="E2" i="2"/>
  <c r="D2" i="2"/>
  <c r="E13" i="2"/>
  <c r="E15" i="2" s="1"/>
  <c r="F13" i="2"/>
  <c r="F15" i="2" s="1"/>
  <c r="G13" i="2"/>
  <c r="G15" i="2" s="1"/>
  <c r="D13" i="2"/>
  <c r="D15" i="2" s="1"/>
  <c r="G24" i="2" l="1"/>
  <c r="F24" i="2"/>
  <c r="E24" i="2"/>
  <c r="D24" i="2"/>
  <c r="D22" i="2"/>
  <c r="D6" i="2" s="1"/>
  <c r="F22" i="2"/>
  <c r="F6" i="2" s="1"/>
  <c r="E22" i="2"/>
  <c r="E6" i="2" s="1"/>
  <c r="G22" i="2"/>
  <c r="G6" i="2" s="1"/>
  <c r="E25" i="2" l="1"/>
  <c r="D25" i="2"/>
  <c r="F25" i="2"/>
  <c r="G25" i="2"/>
  <c r="C27" i="2" l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<sst xmlns="http://schemas.openxmlformats.org/spreadsheetml/2006/main" count="123" uniqueCount="74">
  <si>
    <r>
      <t xml:space="preserve">Medium Level  </t>
    </r>
    <r>
      <rPr>
        <sz val="9"/>
        <color rgb="FFFFC000"/>
        <rFont val="Aptos Narrow"/>
        <family val="2"/>
        <scheme val="minor"/>
      </rPr>
      <t>(⭐⭐)</t>
    </r>
  </si>
  <si>
    <t>KODE SOAL</t>
  </si>
  <si>
    <t>SBEM004</t>
  </si>
  <si>
    <t>KODE JAWABAN</t>
  </si>
  <si>
    <t>Barang</t>
  </si>
  <si>
    <t>Metode Pembayaran</t>
  </si>
  <si>
    <t>Jumlah Biaya</t>
  </si>
  <si>
    <t>Jaket Musim Dingin</t>
  </si>
  <si>
    <t>Kartu Kredit</t>
  </si>
  <si>
    <t>Soal</t>
  </si>
  <si>
    <t>Jawaban</t>
  </si>
  <si>
    <t>Makanan</t>
  </si>
  <si>
    <t>Sandwich</t>
  </si>
  <si>
    <t>Tunai</t>
  </si>
  <si>
    <t>1. Hitung Jumlah Biaya diluar makanan</t>
  </si>
  <si>
    <t>Tiket Konser</t>
  </si>
  <si>
    <t>Cek</t>
  </si>
  <si>
    <t>2. Hitung Jumlah Biaya Hanya Makanan</t>
  </si>
  <si>
    <t>Air Soda</t>
  </si>
  <si>
    <t>Ongkos Ojek Online</t>
  </si>
  <si>
    <t>3. Hitung Jumlah Biaya diluar makanan dengan pembayaran Tunai</t>
  </si>
  <si>
    <t>Cokelat</t>
  </si>
  <si>
    <t>Tiket Kereta</t>
  </si>
  <si>
    <t>4. Hitung Jumlah Biaya diluar makanan dengan pembayaran Tunai dan Cek</t>
  </si>
  <si>
    <t>Teh Botol</t>
  </si>
  <si>
    <t>Kopi</t>
  </si>
  <si>
    <t>Gunakan range/table  yang sudah disediakan!</t>
  </si>
  <si>
    <t>Roti</t>
  </si>
  <si>
    <t>Cincin</t>
  </si>
  <si>
    <t>Tanpa menggunakan range/kolom bantuan baru</t>
  </si>
  <si>
    <t>Nasi</t>
  </si>
  <si>
    <t>Charger HP</t>
  </si>
  <si>
    <t>Sosis</t>
  </si>
  <si>
    <t>Kamera Digital</t>
  </si>
  <si>
    <t>Sudah selesai mengerjakan?</t>
  </si>
  <si>
    <r>
      <t xml:space="preserve">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u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 benar/salah</t>
    </r>
  </si>
  <si>
    <t>Sepatu Kantor</t>
  </si>
  <si>
    <t>Buku Tulis</t>
  </si>
  <si>
    <t>Smartwatch</t>
  </si>
  <si>
    <t>Laptop</t>
  </si>
  <si>
    <t>Headset</t>
  </si>
  <si>
    <t>https://belajarexcel.id/xl-test/</t>
  </si>
  <si>
    <t>Printer</t>
  </si>
  <si>
    <t>Kemeja</t>
  </si>
  <si>
    <t>Celana Jeans</t>
  </si>
  <si>
    <t>Tas Ransel</t>
  </si>
  <si>
    <t>Mouse Wireless</t>
  </si>
  <si>
    <t>Keyboard</t>
  </si>
  <si>
    <t>Topi</t>
  </si>
  <si>
    <t>Dompet</t>
  </si>
  <si>
    <t>Buku Novel</t>
  </si>
  <si>
    <t>Kamera Polaroid</t>
  </si>
  <si>
    <t>Kulkas</t>
  </si>
  <si>
    <t>Televisi</t>
  </si>
  <si>
    <t>Kipas Angin</t>
  </si>
  <si>
    <t>Dispenser</t>
  </si>
  <si>
    <t>Mesin Cuci</t>
  </si>
  <si>
    <t>Kompor Gas</t>
  </si>
  <si>
    <t>Oven Listrik</t>
  </si>
  <si>
    <t>Mixer</t>
  </si>
  <si>
    <t>Blender</t>
  </si>
  <si>
    <t>DEF</t>
  </si>
  <si>
    <t>MD2</t>
  </si>
  <si>
    <t>V</t>
  </si>
  <si>
    <t>Rand</t>
  </si>
  <si>
    <t>Kurung</t>
  </si>
  <si>
    <t>Nilai</t>
  </si>
  <si>
    <t>*</t>
  </si>
  <si>
    <t>Boolean</t>
  </si>
  <si>
    <t>Cek Manual</t>
  </si>
  <si>
    <t>Formula</t>
  </si>
  <si>
    <t>Cek Wajib</t>
  </si>
  <si>
    <t>BV</t>
  </si>
  <si>
    <t>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</si>
</sst>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Rp-3809]* #,##0_-;\-[$Rp-3809]* #,##0_-;_-[$Rp-3809]* &quot;-&quot;??_-;_-@_-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u/>
      <sz val="11"/>
      <color rgb="FF0070C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B05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5" fontId="0" fillId="3" borderId="0" xfId="1" applyNumberFormat="1" applyFont="1" applyFill="1" applyAlignment="1">
      <alignment vertical="center" wrapText="1"/>
    </xf>
    <xf numFmtId="0" fontId="3" fillId="0" borderId="0" xfId="0" applyFont="1"/>
    <xf numFmtId="0" fontId="4" fillId="0" borderId="0" xfId="2"/>
    <xf numFmtId="0" fontId="5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left" vertical="center" wrapText="1" indent="2"/>
    </xf>
    <xf numFmtId="0" fontId="6" fillId="8" borderId="0" xfId="0" applyFont="1" applyFill="1"/>
    <xf numFmtId="0" fontId="8" fillId="7" borderId="0" xfId="0" applyFont="1" applyFill="1"/>
    <xf numFmtId="0" fontId="9" fillId="9" borderId="0" xfId="0" applyFont="1" applyFill="1"/>
    <xf numFmtId="0" fontId="0" fillId="9" borderId="0" xfId="0" applyFill="1"/>
    <xf numFmtId="0" fontId="10" fillId="0" borderId="0" xfId="0" applyFont="1"/>
    <xf numFmtId="165" fontId="0" fillId="3" borderId="0" xfId="1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 indent="2"/>
    </xf>
    <xf numFmtId="165" fontId="0" fillId="3" borderId="1" xfId="1" applyNumberFormat="1" applyFont="1" applyFill="1" applyBorder="1" applyAlignment="1">
      <alignment vertical="center" wrapText="1"/>
    </xf>
    <xf numFmtId="0" fontId="13" fillId="0" borderId="0" xfId="0" applyFont="1"/>
    <xf numFmtId="0" fontId="0" fillId="3" borderId="0" xfId="0" applyFill="1" applyBorder="1" applyAlignment="1">
      <alignment horizontal="left" vertical="center" wrapText="1" indent="2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16</xdr:row>
      <xdr:rowOff>91440</xdr:rowOff>
    </xdr:from>
    <xdr:to>
      <xdr:col>5</xdr:col>
      <xdr:colOff>1417982</xdr:colOff>
      <xdr:row>17</xdr:row>
      <xdr:rowOff>124570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41464C-7BC8-4EA3-9533-E51ED3B1DD1F}"/>
            </a:ext>
          </a:extLst>
        </xdr:cNvPr>
        <xdr:cNvSpPr/>
      </xdr:nvSpPr>
      <xdr:spPr>
        <a:xfrm>
          <a:off x="6263640" y="3337560"/>
          <a:ext cx="1387502" cy="26173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5</xdr:col>
      <xdr:colOff>76200</xdr:colOff>
      <xdr:row>23</xdr:row>
      <xdr:rowOff>15240</xdr:rowOff>
    </xdr:from>
    <xdr:to>
      <xdr:col>5</xdr:col>
      <xdr:colOff>1580914</xdr:colOff>
      <xdr:row>25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912D8E-40B6-4493-B1CD-F4E15063F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9360" y="5798820"/>
          <a:ext cx="1504714" cy="53340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</xdr:colOff>
      <xdr:row>19</xdr:row>
      <xdr:rowOff>60960</xdr:rowOff>
    </xdr:from>
    <xdr:to>
      <xdr:col>5</xdr:col>
      <xdr:colOff>1693723</xdr:colOff>
      <xdr:row>21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B025C5-7190-4951-9931-58B72E557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3640" y="4838700"/>
          <a:ext cx="1663243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F881-089C-4C6A-A0F1-8351A16F0FAC}">
  <sheetPr codeName="Sheet1"/>
  <dimension ref="B1:I47"/>
  <sheetViews>
    <sheetView tabSelected="1" topLeftCell="A6" workbookViewId="0">
      <selection activeCell="E2" sqref="E2"/>
    </sheetView>
  </sheetViews>
  <sheetFormatPr defaultRowHeight="14.45"/>
  <cols>
    <col min="2" max="2" width="22.5703125" customWidth="1"/>
    <col min="3" max="3" width="24.7109375" customWidth="1"/>
    <col min="4" max="4" width="23.5703125" customWidth="1"/>
    <col min="5" max="5" width="11.140625" customWidth="1"/>
    <col min="6" max="6" width="63.7109375" customWidth="1"/>
    <col min="7" max="7" width="24.140625" customWidth="1"/>
    <col min="8" max="8" width="3.28515625" customWidth="1"/>
    <col min="9" max="9" width="24.7109375" customWidth="1"/>
  </cols>
  <sheetData>
    <row r="1" spans="2:9">
      <c r="B1" s="8" t="s">
        <v>0</v>
      </c>
    </row>
    <row r="2" spans="2:9" ht="23.45">
      <c r="B2" s="9" t="s">
        <v>1</v>
      </c>
      <c r="C2" s="10" t="s">
        <v>2</v>
      </c>
      <c r="D2" s="9" t="s">
        <v>3</v>
      </c>
      <c r="E2" s="10" t="str">
        <f ca="1">Kode_jawaban</f>
        <v>MD2|4A1-2947DF01;8C1-9A8A81;971-29ABF81;6B1-16685401</v>
      </c>
      <c r="F2" s="11"/>
      <c r="G2" s="11"/>
    </row>
    <row r="5" spans="2:9" ht="32.450000000000003" customHeight="1">
      <c r="B5" s="1" t="s">
        <v>4</v>
      </c>
      <c r="C5" s="1" t="s">
        <v>5</v>
      </c>
      <c r="D5" s="1" t="s">
        <v>6</v>
      </c>
    </row>
    <row r="6" spans="2:9" ht="19.899999999999999" customHeight="1">
      <c r="B6" s="17" t="s">
        <v>7</v>
      </c>
      <c r="C6" s="17" t="s">
        <v>8</v>
      </c>
      <c r="D6" s="13">
        <v>430000</v>
      </c>
      <c r="F6" s="3" t="s">
        <v>9</v>
      </c>
      <c r="G6" s="5" t="s">
        <v>10</v>
      </c>
      <c r="I6" s="6" t="s">
        <v>11</v>
      </c>
    </row>
    <row r="7" spans="2:9" ht="19.899999999999999" customHeight="1">
      <c r="B7" s="17" t="s">
        <v>12</v>
      </c>
      <c r="C7" s="17" t="s">
        <v>13</v>
      </c>
      <c r="D7" s="13">
        <v>75000</v>
      </c>
      <c r="F7" t="s">
        <v>14</v>
      </c>
      <c r="G7" s="2" cm="1">
        <f t="array" ref="G7">SUMPRODUCT(D6:D46*ISNA(MATCH(B6:B46,I7:I14,0)))</f>
        <v>43286000</v>
      </c>
      <c r="I7" s="7" t="s">
        <v>12</v>
      </c>
    </row>
    <row r="8" spans="2:9" ht="19.899999999999999" customHeight="1">
      <c r="B8" s="17" t="s">
        <v>15</v>
      </c>
      <c r="C8" s="17" t="s">
        <v>16</v>
      </c>
      <c r="D8" s="13">
        <v>125000</v>
      </c>
      <c r="F8" t="s">
        <v>17</v>
      </c>
      <c r="G8" s="2" cm="1">
        <f t="array" ref="G8">SUMPRODUCT(D6:D46*ISNUMBER(MATCH(B6:B46,I7:I14,0)))</f>
        <v>633000</v>
      </c>
      <c r="I8" s="7" t="s">
        <v>18</v>
      </c>
    </row>
    <row r="9" spans="2:9" ht="19.899999999999999" customHeight="1">
      <c r="B9" s="17" t="s">
        <v>19</v>
      </c>
      <c r="C9" s="17" t="s">
        <v>13</v>
      </c>
      <c r="D9" s="13">
        <v>98000</v>
      </c>
      <c r="F9" t="s">
        <v>20</v>
      </c>
      <c r="G9" s="2" cm="1">
        <f t="array" ref="G9">SUMPRODUCT(D6:D46*ISNA(MATCH(B6:B46,I7:I14,0))*((C6:C46="Tunai")))</f>
        <v>2731000</v>
      </c>
      <c r="I9" s="7" t="s">
        <v>21</v>
      </c>
    </row>
    <row r="10" spans="2:9" ht="19.899999999999999" customHeight="1">
      <c r="B10" s="17" t="s">
        <v>22</v>
      </c>
      <c r="C10" s="17" t="s">
        <v>8</v>
      </c>
      <c r="D10" s="13">
        <v>360000</v>
      </c>
      <c r="F10" t="s">
        <v>23</v>
      </c>
      <c r="G10" s="2" cm="1">
        <f t="array" ref="G10">SUMPRODUCT(D6:D46*ISNA(MATCH(B6:B46,I7:I14,0))*((C6:C46="Tunai")+(C6:C46="Cek")))</f>
        <v>23496000</v>
      </c>
      <c r="I10" s="7" t="s">
        <v>24</v>
      </c>
    </row>
    <row r="11" spans="2:9" ht="19.899999999999999" customHeight="1">
      <c r="B11" s="17" t="s">
        <v>18</v>
      </c>
      <c r="C11" s="17" t="s">
        <v>13</v>
      </c>
      <c r="D11" s="13">
        <v>25000</v>
      </c>
      <c r="I11" s="7" t="s">
        <v>25</v>
      </c>
    </row>
    <row r="12" spans="2:9" ht="19.899999999999999" customHeight="1">
      <c r="B12" s="17" t="s">
        <v>24</v>
      </c>
      <c r="C12" s="17" t="s">
        <v>13</v>
      </c>
      <c r="D12" s="13">
        <v>12000</v>
      </c>
      <c r="F12" s="16" t="s">
        <v>26</v>
      </c>
      <c r="I12" s="7" t="s">
        <v>27</v>
      </c>
    </row>
    <row r="13" spans="2:9" ht="19.899999999999999" customHeight="1">
      <c r="B13" s="17" t="s">
        <v>28</v>
      </c>
      <c r="C13" s="17" t="s">
        <v>8</v>
      </c>
      <c r="D13" s="13">
        <v>1075000</v>
      </c>
      <c r="F13" s="16" t="s">
        <v>29</v>
      </c>
      <c r="I13" s="7" t="s">
        <v>30</v>
      </c>
    </row>
    <row r="14" spans="2:9" ht="19.899999999999999" customHeight="1">
      <c r="B14" s="17" t="s">
        <v>31</v>
      </c>
      <c r="C14" s="17" t="s">
        <v>13</v>
      </c>
      <c r="D14" s="13">
        <v>125000</v>
      </c>
      <c r="I14" s="7" t="s">
        <v>32</v>
      </c>
    </row>
    <row r="15" spans="2:9" ht="19.899999999999999" customHeight="1">
      <c r="B15" s="17" t="s">
        <v>33</v>
      </c>
      <c r="C15" s="17" t="s">
        <v>16</v>
      </c>
      <c r="D15" s="13">
        <v>3500000</v>
      </c>
      <c r="F15" s="12" t="s">
        <v>34</v>
      </c>
    </row>
    <row r="16" spans="2:9" ht="19.899999999999999" customHeight="1">
      <c r="B16" s="17" t="s">
        <v>21</v>
      </c>
      <c r="C16" s="17" t="s">
        <v>13</v>
      </c>
      <c r="D16" s="13">
        <v>45000</v>
      </c>
      <c r="F16" s="12" t="s">
        <v>35</v>
      </c>
    </row>
    <row r="17" spans="2:6" ht="19.899999999999999" customHeight="1">
      <c r="B17" s="17" t="s">
        <v>36</v>
      </c>
      <c r="C17" s="17" t="s">
        <v>8</v>
      </c>
      <c r="D17" s="13">
        <v>320000</v>
      </c>
    </row>
    <row r="18" spans="2:6" ht="19.899999999999999" customHeight="1">
      <c r="B18" s="17" t="s">
        <v>37</v>
      </c>
      <c r="C18" s="17" t="s">
        <v>16</v>
      </c>
      <c r="D18" s="13">
        <v>60000</v>
      </c>
    </row>
    <row r="19" spans="2:6" ht="19.899999999999999" customHeight="1">
      <c r="B19" s="17" t="s">
        <v>24</v>
      </c>
      <c r="C19" s="17" t="s">
        <v>13</v>
      </c>
      <c r="D19" s="13">
        <v>18000</v>
      </c>
      <c r="F19" s="12"/>
    </row>
    <row r="20" spans="2:6" ht="19.899999999999999" customHeight="1">
      <c r="B20" s="17" t="s">
        <v>38</v>
      </c>
      <c r="C20" s="17" t="s">
        <v>13</v>
      </c>
      <c r="D20" s="13">
        <v>580000</v>
      </c>
    </row>
    <row r="21" spans="2:6" ht="19.899999999999999" customHeight="1">
      <c r="B21" s="17" t="s">
        <v>39</v>
      </c>
      <c r="C21" s="17" t="s">
        <v>8</v>
      </c>
      <c r="D21" s="13">
        <v>9500000</v>
      </c>
    </row>
    <row r="22" spans="2:6" ht="19.899999999999999" customHeight="1">
      <c r="B22" s="17" t="s">
        <v>40</v>
      </c>
      <c r="C22" s="17" t="s">
        <v>13</v>
      </c>
      <c r="D22" s="13">
        <v>220000</v>
      </c>
      <c r="F22" s="4" t="s">
        <v>41</v>
      </c>
    </row>
    <row r="23" spans="2:6" ht="19.899999999999999" customHeight="1">
      <c r="B23" s="17" t="s">
        <v>25</v>
      </c>
      <c r="C23" s="17" t="s">
        <v>13</v>
      </c>
      <c r="D23" s="13">
        <v>30000</v>
      </c>
    </row>
    <row r="24" spans="2:6" ht="19.899999999999999" customHeight="1">
      <c r="B24" s="17" t="s">
        <v>42</v>
      </c>
      <c r="C24" s="17" t="s">
        <v>16</v>
      </c>
      <c r="D24" s="13">
        <v>1750000</v>
      </c>
    </row>
    <row r="25" spans="2:6" ht="19.899999999999999" customHeight="1">
      <c r="B25" s="17" t="s">
        <v>43</v>
      </c>
      <c r="C25" s="17" t="s">
        <v>13</v>
      </c>
      <c r="D25" s="13">
        <v>145000</v>
      </c>
    </row>
    <row r="26" spans="2:6" ht="19.899999999999999" customHeight="1">
      <c r="B26" s="17" t="s">
        <v>44</v>
      </c>
      <c r="C26" s="17" t="s">
        <v>8</v>
      </c>
      <c r="D26" s="13">
        <v>280000</v>
      </c>
    </row>
    <row r="27" spans="2:6" ht="19.899999999999999" customHeight="1">
      <c r="B27" s="17" t="s">
        <v>45</v>
      </c>
      <c r="C27" s="17" t="s">
        <v>16</v>
      </c>
      <c r="D27" s="13">
        <v>410000</v>
      </c>
    </row>
    <row r="28" spans="2:6" ht="19.899999999999999" customHeight="1">
      <c r="B28" s="17" t="s">
        <v>46</v>
      </c>
      <c r="C28" s="17" t="s">
        <v>13</v>
      </c>
      <c r="D28" s="13">
        <v>85000</v>
      </c>
    </row>
    <row r="29" spans="2:6" ht="19.899999999999999" customHeight="1">
      <c r="B29" s="17" t="s">
        <v>47</v>
      </c>
      <c r="C29" s="17" t="s">
        <v>13</v>
      </c>
      <c r="D29" s="13">
        <v>150000</v>
      </c>
    </row>
    <row r="30" spans="2:6" ht="19.899999999999999" customHeight="1">
      <c r="B30" s="17" t="s">
        <v>48</v>
      </c>
      <c r="C30" s="17" t="s">
        <v>13</v>
      </c>
      <c r="D30" s="13">
        <v>65000</v>
      </c>
    </row>
    <row r="31" spans="2:6" ht="19.899999999999999" customHeight="1">
      <c r="B31" s="17" t="s">
        <v>49</v>
      </c>
      <c r="C31" s="17" t="s">
        <v>8</v>
      </c>
      <c r="D31" s="13">
        <v>275000</v>
      </c>
    </row>
    <row r="32" spans="2:6" ht="19.899999999999999" customHeight="1">
      <c r="B32" s="17" t="s">
        <v>50</v>
      </c>
      <c r="C32" s="17" t="s">
        <v>13</v>
      </c>
      <c r="D32" s="13">
        <v>78000</v>
      </c>
    </row>
    <row r="33" spans="2:4" ht="19.899999999999999" customHeight="1">
      <c r="B33" s="17" t="s">
        <v>51</v>
      </c>
      <c r="C33" s="17" t="s">
        <v>16</v>
      </c>
      <c r="D33" s="13">
        <v>2100000</v>
      </c>
    </row>
    <row r="34" spans="2:4" ht="19.899999999999999" customHeight="1">
      <c r="B34" s="17" t="s">
        <v>27</v>
      </c>
      <c r="C34" s="17" t="s">
        <v>13</v>
      </c>
      <c r="D34" s="13">
        <v>48000</v>
      </c>
    </row>
    <row r="35" spans="2:4" ht="19.899999999999999" customHeight="1">
      <c r="B35" s="17" t="s">
        <v>30</v>
      </c>
      <c r="C35" s="17" t="s">
        <v>13</v>
      </c>
      <c r="D35" s="13">
        <v>75000</v>
      </c>
    </row>
    <row r="36" spans="2:4" ht="19.899999999999999" customHeight="1">
      <c r="B36" s="17" t="s">
        <v>52</v>
      </c>
      <c r="C36" s="17" t="s">
        <v>8</v>
      </c>
      <c r="D36" s="13">
        <v>4750000</v>
      </c>
    </row>
    <row r="37" spans="2:4" ht="19.899999999999999" customHeight="1">
      <c r="B37" s="17" t="s">
        <v>53</v>
      </c>
      <c r="C37" s="17" t="s">
        <v>16</v>
      </c>
      <c r="D37" s="13">
        <v>6800000</v>
      </c>
    </row>
    <row r="38" spans="2:4" ht="19.899999999999999" customHeight="1">
      <c r="B38" s="17" t="s">
        <v>54</v>
      </c>
      <c r="C38" s="17" t="s">
        <v>13</v>
      </c>
      <c r="D38" s="13">
        <v>325000</v>
      </c>
    </row>
    <row r="39" spans="2:4" ht="19.899999999999999" customHeight="1">
      <c r="B39" s="17" t="s">
        <v>55</v>
      </c>
      <c r="C39" s="17" t="s">
        <v>8</v>
      </c>
      <c r="D39" s="13">
        <v>1100000</v>
      </c>
    </row>
    <row r="40" spans="2:4" ht="19.899999999999999" customHeight="1">
      <c r="B40" s="17" t="s">
        <v>56</v>
      </c>
      <c r="C40" s="17" t="s">
        <v>16</v>
      </c>
      <c r="D40" s="13">
        <v>5200000</v>
      </c>
    </row>
    <row r="41" spans="2:4" ht="19.899999999999999" customHeight="1">
      <c r="B41" s="17" t="s">
        <v>32</v>
      </c>
      <c r="C41" s="17" t="s">
        <v>13</v>
      </c>
      <c r="D41" s="13">
        <v>250000</v>
      </c>
    </row>
    <row r="42" spans="2:4" ht="19.899999999999999" customHeight="1">
      <c r="B42" s="17" t="s">
        <v>57</v>
      </c>
      <c r="C42" s="17" t="s">
        <v>13</v>
      </c>
      <c r="D42" s="13">
        <v>410000</v>
      </c>
    </row>
    <row r="43" spans="2:4" ht="19.899999999999999" customHeight="1">
      <c r="B43" s="17" t="s">
        <v>58</v>
      </c>
      <c r="C43" s="17" t="s">
        <v>8</v>
      </c>
      <c r="D43" s="13">
        <v>1700000</v>
      </c>
    </row>
    <row r="44" spans="2:4" ht="19.899999999999999" customHeight="1">
      <c r="B44" s="17" t="s">
        <v>59</v>
      </c>
      <c r="C44" s="17" t="s">
        <v>16</v>
      </c>
      <c r="D44" s="13">
        <v>820000</v>
      </c>
    </row>
    <row r="45" spans="2:4" ht="19.899999999999999" customHeight="1">
      <c r="B45" s="17" t="s">
        <v>60</v>
      </c>
      <c r="C45" s="17" t="s">
        <v>13</v>
      </c>
      <c r="D45" s="13">
        <v>450000</v>
      </c>
    </row>
    <row r="46" spans="2:4" ht="19.899999999999999" customHeight="1" thickBot="1">
      <c r="B46" s="14" t="s">
        <v>30</v>
      </c>
      <c r="C46" s="14" t="s">
        <v>13</v>
      </c>
      <c r="D46" s="15">
        <v>55000</v>
      </c>
    </row>
    <row r="47" spans="2:4" ht="15" thickTop="1"/>
  </sheetData>
  <hyperlinks>
    <hyperlink ref="F22" r:id="rId1" xr:uid="{5670049C-88FF-4EA2-9E8E-A21D986397F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DD28-FCB0-48BE-8B63-014A5B849B01}">
  <sheetPr codeName="Sheet2"/>
  <dimension ref="A1:R27"/>
  <sheetViews>
    <sheetView workbookViewId="0">
      <selection activeCell="J21" sqref="J21"/>
    </sheetView>
  </sheetViews>
  <sheetFormatPr defaultRowHeight="14.45"/>
  <cols>
    <col min="3" max="3" width="10.28515625" customWidth="1"/>
    <col min="4" max="4" width="12.5703125" bestFit="1" customWidth="1"/>
    <col min="5" max="5" width="11.7109375" bestFit="1" customWidth="1"/>
    <col min="6" max="6" width="11.5703125" bestFit="1" customWidth="1"/>
    <col min="7" max="7" width="12.7109375" bestFit="1" customWidth="1"/>
    <col min="15" max="15" width="81.5703125" customWidth="1"/>
    <col min="17" max="17" width="31.140625" customWidth="1"/>
  </cols>
  <sheetData>
    <row r="1" spans="1:18">
      <c r="A1" t="s">
        <v>61</v>
      </c>
      <c r="C1">
        <v>1</v>
      </c>
      <c r="O1">
        <v>1</v>
      </c>
      <c r="P1">
        <v>2</v>
      </c>
      <c r="Q1">
        <v>3</v>
      </c>
      <c r="R1">
        <v>4</v>
      </c>
    </row>
    <row r="2" spans="1:18">
      <c r="A2" t="s">
        <v>62</v>
      </c>
      <c r="C2">
        <v>1</v>
      </c>
      <c r="D2">
        <f>'XL-Test'!G7</f>
        <v>43286000</v>
      </c>
      <c r="E2">
        <f>'XL-Test'!G8</f>
        <v>633000</v>
      </c>
      <c r="F2">
        <f>'XL-Test'!G9</f>
        <v>2731000</v>
      </c>
      <c r="G2">
        <f>'XL-Test'!G10</f>
        <v>23496000</v>
      </c>
      <c r="N2">
        <v>1</v>
      </c>
      <c r="O2" t="str">
        <f ca="1">SUBSTITUTE(_xlfn.FORMULATEXT('XL-Test'!G7),"$","")</f>
        <v>=SUMPRODUCT(D6:D46*ISNA(MATCH(B6:B46;I7:I14;0)))</v>
      </c>
      <c r="P2" t="str">
        <f ca="1">SUBSTITUTE(_xlfn.FORMULATEXT('XL-Test'!G8),"$","")</f>
        <v>=SUMPRODUCT(D6:D46*ISNUMBER(MATCH(B6:B46;I7:I14;0)))</v>
      </c>
      <c r="Q2" t="str">
        <f ca="1">SUBSTITUTE(_xlfn.FORMULATEXT('XL-Test'!G9),"$","")</f>
        <v>=SUMPRODUCT(D6:D46*ISNA(MATCH(B6:B46;I7:I14;0))*((C6:C46="Tunai")))</v>
      </c>
      <c r="R2" t="str">
        <f ca="1">SUBSTITUTE(_xlfn.FORMULATEXT('XL-Test'!G10),"$","")</f>
        <v>=SUMPRODUCT(D6:D46*ISNA(MATCH(B6:B46;I7:I14;0))*((C6:C46="Tunai")+(C6:C46="Cek")))</v>
      </c>
    </row>
    <row r="3" spans="1:18">
      <c r="C3">
        <v>2</v>
      </c>
      <c r="N3">
        <v>2</v>
      </c>
      <c r="O3" t="str">
        <f ca="1">SUBSTITUTE(_xlfn.FORMULATEXT('XL-Test'!G8),"$","")</f>
        <v>=SUMPRODUCT(D6:D46*ISNUMBER(MATCH(B6:B46;I7:I14;0)))</v>
      </c>
    </row>
    <row r="4" spans="1:18">
      <c r="C4">
        <v>3</v>
      </c>
      <c r="N4">
        <v>3</v>
      </c>
      <c r="O4" t="str">
        <f ca="1">SUBSTITUTE(_xlfn.FORMULATEXT('XL-Test'!G9),"$","")</f>
        <v>=SUMPRODUCT(D6:D46*ISNA(MATCH(B6:B46;I7:I14;0))*((C6:C46="Tunai")))</v>
      </c>
    </row>
    <row r="5" spans="1:18">
      <c r="C5">
        <v>4</v>
      </c>
      <c r="N5">
        <v>4</v>
      </c>
      <c r="O5" t="str">
        <f ca="1">SUBSTITUTE(_xlfn.FORMULATEXT('XL-Test'!G10),"$","")</f>
        <v>=SUMPRODUCT(D6:D46*ISNA(MATCH(B6:B46;I7:I14;0))*((C6:C46="Tunai")+(C6:C46="Cek")))</v>
      </c>
    </row>
    <row r="6" spans="1:18">
      <c r="C6" t="s">
        <v>63</v>
      </c>
      <c r="D6" t="str">
        <f ca="1">IFERROR(DEC2HEX(IF(OR(D2=0,D2=""),D8,D2)),"EEEE")&amp;D22</f>
        <v>2947DF01</v>
      </c>
      <c r="E6" t="str">
        <f t="shared" ref="E6:G6" ca="1" si="0">IFERROR(DEC2HEX(IF(OR(E2=0,E2=""),E8,E2)),"EEEE")&amp;E22</f>
        <v>9A8A81</v>
      </c>
      <c r="F6" t="str">
        <f t="shared" ca="1" si="0"/>
        <v>29ABF81</v>
      </c>
      <c r="G6" t="str">
        <f t="shared" ca="1" si="0"/>
        <v>16685401</v>
      </c>
    </row>
    <row r="8" spans="1:18">
      <c r="C8" t="s">
        <v>64</v>
      </c>
      <c r="D8">
        <v>18987</v>
      </c>
      <c r="E8">
        <v>35850</v>
      </c>
      <c r="F8">
        <v>38748</v>
      </c>
      <c r="G8">
        <v>27480</v>
      </c>
    </row>
    <row r="10" spans="1:18">
      <c r="C10" t="b">
        <v>1</v>
      </c>
      <c r="D10" t="str">
        <f>LEFT(DEC2HEX(D8),2)</f>
        <v>4A</v>
      </c>
      <c r="E10" t="str">
        <f t="shared" ref="E10:G10" si="1">LEFT(DEC2HEX(E8),2)</f>
        <v>8C</v>
      </c>
      <c r="F10" t="str">
        <f t="shared" si="1"/>
        <v>97</v>
      </c>
      <c r="G10" t="str">
        <f t="shared" si="1"/>
        <v>6B</v>
      </c>
    </row>
    <row r="11" spans="1:18">
      <c r="C11" t="b">
        <v>0</v>
      </c>
      <c r="D11" t="str">
        <f>RIGHT(DEC2HEX(D8),2)</f>
        <v>2B</v>
      </c>
      <c r="E11" t="str">
        <f t="shared" ref="E11:G11" si="2">RIGHT(DEC2HEX(E8),2)</f>
        <v>0A</v>
      </c>
      <c r="F11" t="str">
        <f t="shared" si="2"/>
        <v>5C</v>
      </c>
      <c r="G11" t="str">
        <f t="shared" si="2"/>
        <v>58</v>
      </c>
    </row>
    <row r="13" spans="1:18">
      <c r="C13" t="s">
        <v>65</v>
      </c>
      <c r="D13">
        <f ca="1">IFERROR(LEN(O2)-LEN(SUBSTITUTE(O2,"(","")),99)</f>
        <v>3</v>
      </c>
      <c r="E13">
        <f ca="1">IFERROR(LEN(P2)-LEN(SUBSTITUTE(P2,"(","")),99)</f>
        <v>3</v>
      </c>
      <c r="F13">
        <f t="shared" ref="F13:G13" ca="1" si="3">IFERROR(LEN(Q2)-LEN(SUBSTITUTE(Q2,"(","")),99)</f>
        <v>5</v>
      </c>
      <c r="G13">
        <f t="shared" ca="1" si="3"/>
        <v>6</v>
      </c>
    </row>
    <row r="14" spans="1:18">
      <c r="C14" t="s">
        <v>66</v>
      </c>
      <c r="D14">
        <v>4</v>
      </c>
      <c r="E14">
        <v>4</v>
      </c>
      <c r="F14">
        <v>5</v>
      </c>
      <c r="G14">
        <v>7</v>
      </c>
    </row>
    <row r="15" spans="1:18">
      <c r="B15" t="s">
        <v>67</v>
      </c>
      <c r="C15" t="s">
        <v>68</v>
      </c>
      <c r="D15">
        <f ca="1">(D13&lt;=D14)+0</f>
        <v>1</v>
      </c>
      <c r="E15">
        <f t="shared" ref="E15:G15" ca="1" si="4">(E13&lt;=E14)+0</f>
        <v>1</v>
      </c>
      <c r="F15">
        <f t="shared" ca="1" si="4"/>
        <v>1</v>
      </c>
      <c r="G15">
        <f t="shared" ca="1" si="4"/>
        <v>1</v>
      </c>
    </row>
    <row r="17" spans="2:7">
      <c r="C17" t="s">
        <v>69</v>
      </c>
      <c r="D17">
        <f ca="1">AND(ISNUMBER(FIND("=",O2)),ISNUMBER(FIND("(",O2)))+0</f>
        <v>1</v>
      </c>
      <c r="E17">
        <f ca="1">AND(ISNUMBER(FIND("=",P2)),ISNUMBER(FIND("(",P2)))+0</f>
        <v>1</v>
      </c>
      <c r="F17">
        <f t="shared" ref="F17:G17" ca="1" si="5">AND(ISNUMBER(FIND("=",Q2)),ISNUMBER(FIND("(",Q2)))+0</f>
        <v>1</v>
      </c>
      <c r="G17">
        <f t="shared" ca="1" si="5"/>
        <v>1</v>
      </c>
    </row>
    <row r="19" spans="2:7">
      <c r="C19" t="s">
        <v>70</v>
      </c>
      <c r="D19" t="b">
        <f ca="1">AND(ISNUMBER(FIND("SUM",O2)),ISNUMBER(FIND("MATC",O2)))</f>
        <v>1</v>
      </c>
      <c r="E19" t="b">
        <f t="shared" ref="E19:G19" ca="1" si="6">AND(ISNUMBER(FIND("SUM",P2)),ISNUMBER(FIND("MATC",P2)))</f>
        <v>1</v>
      </c>
      <c r="F19" t="b">
        <f t="shared" ca="1" si="6"/>
        <v>1</v>
      </c>
      <c r="G19" t="b">
        <f t="shared" ca="1" si="6"/>
        <v>1</v>
      </c>
    </row>
    <row r="21" spans="2:7">
      <c r="C21" t="s">
        <v>71</v>
      </c>
      <c r="D21">
        <f ca="1">NOT(OR(ISNUMBER(FIND(":A",O2)),ISNUMBER(FIND(":E",O2)),ISNUMBER(FIND(":F",O2)),ISNUMBER(FIND(":G",O2)),ISNUMBER(FIND(":H",O2)),ISNUMBER(FIND(":J",O2)),ISNUMBER(FIND(":K",O2)),ISNUMBER(FIND(":L",O2)),ISNUMBER(FIND(":M",O2)),ISNUMBER(FIND(":N",O2)),ISNUMBER(FIND("!",O2))))+0</f>
        <v>1</v>
      </c>
      <c r="E21">
        <f t="shared" ref="E21:G21" ca="1" si="7">NOT(OR(ISNUMBER(FIND(":A",P2)),ISNUMBER(FIND(":E",P2)),ISNUMBER(FIND(":F",P2)),ISNUMBER(FIND(":G",P2)),ISNUMBER(FIND(":H",P2)),ISNUMBER(FIND(":J",P2)),ISNUMBER(FIND(":K",P2)),ISNUMBER(FIND(":L",P2)),ISNUMBER(FIND(":M",P2)),ISNUMBER(FIND(":N",P2)),ISNUMBER(FIND("!",P2))))+0</f>
        <v>1</v>
      </c>
      <c r="F21">
        <f t="shared" ca="1" si="7"/>
        <v>1</v>
      </c>
      <c r="G21">
        <f t="shared" ca="1" si="7"/>
        <v>1</v>
      </c>
    </row>
    <row r="22" spans="2:7">
      <c r="B22" t="s">
        <v>67</v>
      </c>
      <c r="C22" t="s">
        <v>72</v>
      </c>
      <c r="D22">
        <f ca="1">AND(D21,D17)+0</f>
        <v>1</v>
      </c>
      <c r="E22">
        <f t="shared" ref="E22:G22" ca="1" si="8">AND(E21,E17)+0</f>
        <v>1</v>
      </c>
      <c r="F22">
        <f t="shared" ca="1" si="8"/>
        <v>1</v>
      </c>
      <c r="G22">
        <f t="shared" ca="1" si="8"/>
        <v>1</v>
      </c>
    </row>
    <row r="24" spans="2:7">
      <c r="C24" t="s">
        <v>73</v>
      </c>
      <c r="D24" t="str">
        <f ca="1">IF(D19,D10,D11)&amp;D15</f>
        <v>4A1</v>
      </c>
      <c r="E24" t="str">
        <f t="shared" ref="E24:G24" ca="1" si="9">IF(E19,E10,E11)&amp;E15</f>
        <v>8C1</v>
      </c>
      <c r="F24" t="str">
        <f t="shared" ca="1" si="9"/>
        <v>971</v>
      </c>
      <c r="G24" t="str">
        <f t="shared" ca="1" si="9"/>
        <v>6B1</v>
      </c>
    </row>
    <row r="25" spans="2:7">
      <c r="D25" t="str">
        <f ca="1">D24&amp;"-"&amp;D6&amp;";"</f>
        <v>4A1-2947DF01;</v>
      </c>
      <c r="E25" t="str">
        <f t="shared" ref="E25:F25" ca="1" si="10">E24&amp;"-"&amp;E6&amp;";"</f>
        <v>8C1-9A8A81;</v>
      </c>
      <c r="F25" t="str">
        <f t="shared" ca="1" si="10"/>
        <v>971-29ABF81;</v>
      </c>
      <c r="G25" t="str">
        <f ca="1">G24&amp;"-"&amp;G6</f>
        <v>6B1-16685401</v>
      </c>
    </row>
    <row r="27" spans="2:7">
      <c r="C27" t="str">
        <f ca="1">A2&amp;"|"&amp;D25&amp;E25&amp;F25&amp;G25</f>
        <v>MD2|4A1-2947DF01;8C1-9A8A81;971-29ABF81;6B1-16685401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2025-05-21T08:36:48Z</dcterms:created>
  <dcterms:modified xsi:type="dcterms:W3CDTF">2026-03-19T07:03:14Z</dcterms:modified>
  <cp:category/>
  <cp:contentStatus/>
</cp:coreProperties>
</file>