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776" documentId="8_{2AD0DFC7-53CC-4031-B201-AC71D5567911}" xr6:coauthVersionLast="47" xr6:coauthVersionMax="47" xr10:uidLastSave="{6DAB5EC6-415D-4390-8CB0-F57711D4DFF0}"/>
  <workbookProtection workbookAlgorithmName="SHA-512" workbookHashValue="NkkCjX/Dh+eJZeQYtJN6HKtgejyAC8XXUKFcDa5eKq2GJ1hwSM43X8FRfnRIM5WFlZ4nO87qKzOX6u/U93+A/Q==" workbookSaltValue="zgcTAN8iXPXSC32d834PLQ==" workbookSpinCount="100000" lockStructure="1"/>
  <bookViews>
    <workbookView xWindow="28692" yWindow="-108" windowWidth="29016" windowHeight="15696" xr2:uid="{00000000-000D-0000-FFFF-FFFF00000000}"/>
  </bookViews>
  <sheets>
    <sheet name="XL-Test" sheetId="2" r:id="rId1"/>
    <sheet name="Database" sheetId="1" r:id="rId2"/>
    <sheet name="About" sheetId="4" r:id="rId3"/>
    <sheet name="DF" sheetId="3" state="veryHidden" r:id="rId4"/>
  </sheets>
  <definedNames>
    <definedName name="_xlnm._FilterDatabase" localSheetId="1" hidden="1">Database!$A$2:$D$2</definedName>
    <definedName name="kode_jawaban">DF!$C$41</definedName>
    <definedName name="pat">_xlfn.LAMBDA(_xlpm.x,IF(ISNUMBER(_xlpm.x),"*."&amp;_xlpm.x&amp;".*",_xlpm.x&amp;".*"))</definedName>
    <definedName name="saya" localSheetId="3">DF!$C$39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E46" i="2"/>
  <c r="F46" i="2"/>
  <c r="G46" i="2"/>
  <c r="H46" i="2"/>
  <c r="I46" i="2"/>
  <c r="J46" i="2" a="1"/>
  <c r="J46" i="2"/>
  <c r="K46" i="2"/>
  <c r="D47" i="2"/>
  <c r="E47" i="2"/>
  <c r="F47" i="2"/>
  <c r="G47" i="2"/>
  <c r="H47" i="2"/>
  <c r="I47" i="2"/>
  <c r="J47" i="2" a="1"/>
  <c r="J47" i="2"/>
  <c r="K47" i="2"/>
  <c r="D48" i="2"/>
  <c r="E48" i="2"/>
  <c r="F48" i="2"/>
  <c r="G48" i="2"/>
  <c r="H48" i="2"/>
  <c r="I48" i="2"/>
  <c r="J48" i="2" a="1"/>
  <c r="J48" i="2"/>
  <c r="K48" i="2"/>
  <c r="D49" i="2"/>
  <c r="E49" i="2"/>
  <c r="F49" i="2"/>
  <c r="G49" i="2"/>
  <c r="H49" i="2"/>
  <c r="I49" i="2"/>
  <c r="J49" i="2" a="1"/>
  <c r="J49" i="2"/>
  <c r="K49" i="2"/>
  <c r="D50" i="2"/>
  <c r="E50" i="2"/>
  <c r="F50" i="2"/>
  <c r="G50" i="2"/>
  <c r="H50" i="2"/>
  <c r="I50" i="2"/>
  <c r="J50" i="2" a="1"/>
  <c r="J50" i="2"/>
  <c r="K50" i="2"/>
  <c r="D51" i="2"/>
  <c r="E51" i="2"/>
  <c r="F51" i="2"/>
  <c r="G51" i="2"/>
  <c r="H51" i="2"/>
  <c r="I51" i="2"/>
  <c r="J51" i="2" a="1"/>
  <c r="J51" i="2"/>
  <c r="K51" i="2"/>
  <c r="D52" i="2"/>
  <c r="E52" i="2"/>
  <c r="F52" i="2"/>
  <c r="G52" i="2"/>
  <c r="H52" i="2"/>
  <c r="I52" i="2"/>
  <c r="J52" i="2" a="1"/>
  <c r="J52" i="2"/>
  <c r="K52" i="2"/>
  <c r="D53" i="2"/>
  <c r="E53" i="2"/>
  <c r="F53" i="2"/>
  <c r="G53" i="2"/>
  <c r="H53" i="2"/>
  <c r="I53" i="2"/>
  <c r="J53" i="2" a="1"/>
  <c r="J53" i="2"/>
  <c r="K53" i="2"/>
  <c r="D54" i="2"/>
  <c r="E54" i="2"/>
  <c r="F54" i="2"/>
  <c r="G54" i="2"/>
  <c r="H54" i="2"/>
  <c r="I54" i="2"/>
  <c r="J54" i="2" a="1"/>
  <c r="J54" i="2"/>
  <c r="K54" i="2"/>
  <c r="D55" i="2"/>
  <c r="E55" i="2"/>
  <c r="F55" i="2"/>
  <c r="G55" i="2"/>
  <c r="H55" i="2"/>
  <c r="I55" i="2"/>
  <c r="J55" i="2" a="1"/>
  <c r="J55" i="2"/>
  <c r="K55" i="2"/>
  <c r="K45" i="2"/>
  <c r="J45" i="2" a="1"/>
  <c r="J45" i="2"/>
  <c r="I45" i="2"/>
  <c r="H45" i="2"/>
  <c r="G45" i="2"/>
  <c r="F45" i="2"/>
  <c r="E45" i="2"/>
  <c r="D45" i="2"/>
  <c r="I12" i="3"/>
  <c r="I11" i="3"/>
  <c r="I10" i="3"/>
  <c r="I9" i="3"/>
  <c r="I8" i="3"/>
  <c r="I7" i="3"/>
  <c r="I6" i="3"/>
  <c r="I5" i="3"/>
  <c r="I4" i="3"/>
  <c r="J3" i="3"/>
  <c r="I3" i="3"/>
  <c r="J2" i="3"/>
  <c r="I2" i="3"/>
  <c r="I24" i="3" s="1"/>
  <c r="J12" i="3"/>
  <c r="H12" i="3"/>
  <c r="G12" i="3"/>
  <c r="F12" i="3"/>
  <c r="E12" i="3"/>
  <c r="D12" i="3"/>
  <c r="C12" i="3"/>
  <c r="J11" i="3"/>
  <c r="H11" i="3"/>
  <c r="G11" i="3"/>
  <c r="F11" i="3"/>
  <c r="E11" i="3"/>
  <c r="D11" i="3"/>
  <c r="C11" i="3"/>
  <c r="J10" i="3"/>
  <c r="H10" i="3"/>
  <c r="G10" i="3"/>
  <c r="F10" i="3"/>
  <c r="E10" i="3"/>
  <c r="D10" i="3"/>
  <c r="C10" i="3"/>
  <c r="J9" i="3"/>
  <c r="H9" i="3"/>
  <c r="G9" i="3"/>
  <c r="F9" i="3"/>
  <c r="E9" i="3"/>
  <c r="D9" i="3"/>
  <c r="C9" i="3"/>
  <c r="J8" i="3"/>
  <c r="H8" i="3"/>
  <c r="G8" i="3"/>
  <c r="F8" i="3"/>
  <c r="E8" i="3"/>
  <c r="D8" i="3"/>
  <c r="C8" i="3"/>
  <c r="J7" i="3"/>
  <c r="H7" i="3"/>
  <c r="G7" i="3"/>
  <c r="F7" i="3"/>
  <c r="E7" i="3"/>
  <c r="D7" i="3"/>
  <c r="C7" i="3"/>
  <c r="J6" i="3"/>
  <c r="H6" i="3"/>
  <c r="G6" i="3"/>
  <c r="F6" i="3"/>
  <c r="E6" i="3"/>
  <c r="D6" i="3"/>
  <c r="C6" i="3"/>
  <c r="J5" i="3"/>
  <c r="H5" i="3"/>
  <c r="G5" i="3"/>
  <c r="F5" i="3"/>
  <c r="E5" i="3"/>
  <c r="D5" i="3"/>
  <c r="C5" i="3"/>
  <c r="J4" i="3"/>
  <c r="H4" i="3"/>
  <c r="G4" i="3"/>
  <c r="F4" i="3"/>
  <c r="E4" i="3"/>
  <c r="D4" i="3"/>
  <c r="C4" i="3"/>
  <c r="H3" i="3"/>
  <c r="G3" i="3"/>
  <c r="F3" i="3"/>
  <c r="E3" i="3"/>
  <c r="D3" i="3"/>
  <c r="C3" i="3"/>
  <c r="H2" i="3"/>
  <c r="H24" i="3" s="1"/>
  <c r="G2" i="3"/>
  <c r="G24" i="3" s="1"/>
  <c r="F2" i="3"/>
  <c r="F24" i="3" s="1"/>
  <c r="E2" i="3"/>
  <c r="E24" i="3" s="1"/>
  <c r="D2" i="3"/>
  <c r="C2" i="3"/>
  <c r="D44" i="3"/>
  <c r="E44" i="3"/>
  <c r="F44" i="3"/>
  <c r="G44" i="3"/>
  <c r="H44" i="3"/>
  <c r="D45" i="3"/>
  <c r="E45" i="3"/>
  <c r="F45" i="3"/>
  <c r="G45" i="3"/>
  <c r="H45" i="3"/>
  <c r="D46" i="3"/>
  <c r="E46" i="3"/>
  <c r="F46" i="3"/>
  <c r="G46" i="3"/>
  <c r="H46" i="3"/>
  <c r="D47" i="3"/>
  <c r="E47" i="3"/>
  <c r="F47" i="3"/>
  <c r="G47" i="3"/>
  <c r="H47" i="3"/>
  <c r="D48" i="3"/>
  <c r="E48" i="3"/>
  <c r="F48" i="3"/>
  <c r="G48" i="3"/>
  <c r="H48" i="3"/>
  <c r="D49" i="3"/>
  <c r="E49" i="3"/>
  <c r="F49" i="3"/>
  <c r="G49" i="3"/>
  <c r="H49" i="3"/>
  <c r="D50" i="3"/>
  <c r="E50" i="3"/>
  <c r="F50" i="3"/>
  <c r="G50" i="3"/>
  <c r="H50" i="3"/>
  <c r="D51" i="3"/>
  <c r="E51" i="3"/>
  <c r="F51" i="3"/>
  <c r="G51" i="3"/>
  <c r="H51" i="3"/>
  <c r="D52" i="3"/>
  <c r="E52" i="3"/>
  <c r="F52" i="3"/>
  <c r="G52" i="3"/>
  <c r="H52" i="3"/>
  <c r="D53" i="3"/>
  <c r="E53" i="3"/>
  <c r="F53" i="3"/>
  <c r="G53" i="3"/>
  <c r="H53" i="3"/>
  <c r="D54" i="3"/>
  <c r="E54" i="3"/>
  <c r="F54" i="3"/>
  <c r="G54" i="3"/>
  <c r="H54" i="3"/>
  <c r="C45" i="3"/>
  <c r="C46" i="3"/>
  <c r="C47" i="3"/>
  <c r="C48" i="3"/>
  <c r="C49" i="3"/>
  <c r="C50" i="3"/>
  <c r="C51" i="3"/>
  <c r="C52" i="3"/>
  <c r="C53" i="3"/>
  <c r="C54" i="3"/>
  <c r="C44" i="3"/>
  <c r="R1" i="3"/>
  <c r="S1" i="3"/>
  <c r="T1" i="3"/>
  <c r="U1" i="3"/>
  <c r="G22" i="3" s="1"/>
  <c r="V1" i="3"/>
  <c r="W1" i="3"/>
  <c r="I28" i="3" s="1"/>
  <c r="X1" i="3"/>
  <c r="J28" i="3" s="1"/>
  <c r="Q1" i="3"/>
  <c r="D20" i="3"/>
  <c r="E20" i="3"/>
  <c r="F20" i="3"/>
  <c r="G20" i="3"/>
  <c r="H20" i="3"/>
  <c r="I20" i="3"/>
  <c r="J20" i="3"/>
  <c r="C20" i="3"/>
  <c r="D19" i="3"/>
  <c r="E19" i="3"/>
  <c r="F19" i="3"/>
  <c r="G19" i="3"/>
  <c r="H19" i="3"/>
  <c r="I19" i="3"/>
  <c r="J19" i="3"/>
  <c r="C19" i="3"/>
  <c r="H28" i="3" l="1"/>
  <c r="H22" i="3"/>
  <c r="F28" i="3"/>
  <c r="F22" i="3"/>
  <c r="E28" i="3"/>
  <c r="E22" i="3"/>
  <c r="D28" i="3"/>
  <c r="D22" i="3"/>
  <c r="C28" i="3"/>
  <c r="C22" i="3"/>
  <c r="J14" i="3"/>
  <c r="J24" i="3"/>
  <c r="D14" i="3"/>
  <c r="D24" i="3"/>
  <c r="D56" i="3"/>
  <c r="D57" i="3"/>
  <c r="E56" i="3"/>
  <c r="E57" i="3"/>
  <c r="F56" i="3"/>
  <c r="F57" i="3"/>
  <c r="G56" i="3"/>
  <c r="G57" i="3"/>
  <c r="H56" i="3"/>
  <c r="H57" i="3"/>
  <c r="C56" i="3"/>
  <c r="C57" i="3"/>
  <c r="D31" i="3"/>
  <c r="D33" i="3" s="1"/>
  <c r="E31" i="3"/>
  <c r="E33" i="3" s="1"/>
  <c r="F31" i="3"/>
  <c r="F33" i="3" s="1"/>
  <c r="G31" i="3"/>
  <c r="G33" i="3" s="1"/>
  <c r="G28" i="3"/>
  <c r="H31" i="3"/>
  <c r="H33" i="3" s="1"/>
  <c r="C14" i="3"/>
  <c r="C24" i="3"/>
  <c r="I23" i="3"/>
  <c r="I31" i="3"/>
  <c r="I33" i="3" s="1"/>
  <c r="I35" i="3" s="1"/>
  <c r="J23" i="3"/>
  <c r="J31" i="3"/>
  <c r="J33" i="3" s="1"/>
  <c r="J35" i="3" s="1"/>
  <c r="C23" i="3"/>
  <c r="C31" i="3"/>
  <c r="C33" i="3" s="1"/>
  <c r="Q2" i="3"/>
  <c r="D23" i="3"/>
  <c r="Q3" i="3"/>
  <c r="E23" i="3"/>
  <c r="Q4" i="3"/>
  <c r="F23" i="3"/>
  <c r="Q5" i="3"/>
  <c r="G23" i="3"/>
  <c r="Q6" i="3"/>
  <c r="H23" i="3"/>
  <c r="J22" i="3"/>
  <c r="Q8" i="3"/>
  <c r="I22" i="3"/>
  <c r="Q7" i="3"/>
  <c r="E14" i="3"/>
  <c r="H14" i="3"/>
  <c r="G14" i="3"/>
  <c r="I14" i="3"/>
  <c r="F14" i="3"/>
  <c r="C59" i="3" l="1"/>
  <c r="C35" i="3" s="1"/>
  <c r="D26" i="3"/>
  <c r="D59" i="3"/>
  <c r="D35" i="3" s="1"/>
  <c r="E26" i="3"/>
  <c r="E59" i="3"/>
  <c r="E35" i="3" s="1"/>
  <c r="F26" i="3"/>
  <c r="F59" i="3"/>
  <c r="F35" i="3" s="1"/>
  <c r="G26" i="3"/>
  <c r="G59" i="3"/>
  <c r="G35" i="3" s="1"/>
  <c r="H26" i="3"/>
  <c r="H59" i="3"/>
  <c r="H35" i="3" s="1"/>
  <c r="C26" i="3"/>
  <c r="J26" i="3"/>
  <c r="J37" i="3" s="1"/>
  <c r="I26" i="3"/>
  <c r="I37" i="3" s="1"/>
  <c r="E37" i="3" l="1"/>
  <c r="D37" i="3"/>
  <c r="F37" i="3"/>
  <c r="G37" i="3"/>
  <c r="H37" i="3"/>
  <c r="C37" i="3"/>
  <c r="C39" i="3" l="1"/>
  <c r="N39" i="3" s="1" a="1"/>
  <c r="N39" i="3" s="1"/>
  <c r="C41" i="3" s="1"/>
  <c r="G19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<sst xmlns="http://schemas.openxmlformats.org/spreadsheetml/2006/main" count="355" uniqueCount="256">
  <si>
    <t>KODE SOAL</t>
  </si>
  <si>
    <t>SBEM005</t>
  </si>
  <si>
    <t>KODE JAWABAN</t>
  </si>
  <si>
    <t>Intruksi</t>
  </si>
  <si>
    <r>
      <rPr>
        <b/>
        <sz val="12"/>
        <color rgb="FF00B050"/>
        <rFont val="Calibri"/>
        <family val="2"/>
        <scheme val="minor"/>
      </rPr>
      <t>Medium Level</t>
    </r>
    <r>
      <rPr>
        <b/>
        <sz val="12"/>
        <color theme="1"/>
        <rFont val="Calibri"/>
        <family val="2"/>
        <scheme val="minor"/>
      </rPr>
      <t xml:space="preserve"> - Latihan Soal Jumlah Siswa dan Rata-rata</t>
    </r>
  </si>
  <si>
    <t>Soal  :</t>
  </si>
  <si>
    <t>Untuk menjawab soal-soal ini, buatlah sebuah fungsi bersifat universal yang cukup dituliskan di bagian atas.</t>
  </si>
  <si>
    <t>Kode Siswa</t>
  </si>
  <si>
    <t>Selanjutnya, fungsi tersebut dapat drag/seret untuk mengisi bagian berikutnya.</t>
  </si>
  <si>
    <t>X.Y.Z</t>
  </si>
  <si>
    <t>X = Tingkat  ( 7,8,9)</t>
  </si>
  <si>
    <t>Berapa Jumlah Siswa berdasarkan kelas atau kode kelas</t>
  </si>
  <si>
    <t>Y = Kelas (A,B)</t>
  </si>
  <si>
    <t>Berapa rata-rata nilai berdasarkan kelas atau kode kelas, Bulatkan hasilnya sampai 2 digit dibelakang koma</t>
  </si>
  <si>
    <t>Z = Nomot urut (1,2,3..)</t>
  </si>
  <si>
    <t>Berapa Nilai Terbesar berdasarkan kelas atau kode kelas</t>
  </si>
  <si>
    <t>Contoh</t>
  </si>
  <si>
    <t>Berapa Nilai Terkecil berdasarkan kelas atau kode kelas</t>
  </si>
  <si>
    <t>A.2.8</t>
  </si>
  <si>
    <t>kelas 7B Nomor Urut 8</t>
  </si>
  <si>
    <t>Berapa Jumlah Siswa berdasarkan kelas atau kode kelas dengan Nilai lebih besar dari 80</t>
  </si>
  <si>
    <t>C.1.1</t>
  </si>
  <si>
    <t>Kelas 9A Nomor Urut 1</t>
  </si>
  <si>
    <t>Berapa Total Jumlah nilai berdasarkan kelas atau kode kelas</t>
  </si>
  <si>
    <t>B.1.5</t>
  </si>
  <si>
    <t>kelas 8A Nomor Urut 5</t>
  </si>
  <si>
    <t>Berapa Jumlah Siswa yang namanya diawali dengan Hurup Vocal (A,E,I,O,U) berdasarkan kelas atau kode kelas</t>
  </si>
  <si>
    <t>Berapa rata-rata nilai berdasarkan kelas atau kode kelas dengan nomor urut Absen diatas 10 (10 termasuk), Bulatkan hasilnya sampai 2 digit dibelakang koma</t>
  </si>
  <si>
    <r>
      <rPr>
        <b/>
        <i/>
        <sz val="11"/>
        <color rgb="FF0070C0"/>
        <rFont val="Calibri"/>
        <family val="2"/>
        <scheme val="minor"/>
      </rPr>
      <t>Sudah selesai mengerjakan?</t>
    </r>
    <r>
      <rPr>
        <i/>
        <sz val="11"/>
        <color rgb="FF0070C0"/>
        <rFont val="Calibri"/>
        <family val="2"/>
        <scheme val="minor"/>
      </rPr>
      <t xml:space="preserve"> kirim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hasilnya</t>
    </r>
  </si>
  <si>
    <t>atau klik tombol disamping</t>
  </si>
  <si>
    <t>Kode Kelas</t>
  </si>
  <si>
    <t>Kelas</t>
  </si>
  <si>
    <t>Jumlah Siswa</t>
  </si>
  <si>
    <t>Rata-Rata Nilai</t>
  </si>
  <si>
    <t>Nilai Terbesar</t>
  </si>
  <si>
    <t>Nilai Terkecil</t>
  </si>
  <si>
    <t>Jml Siswa Nilai &gt;80</t>
  </si>
  <si>
    <t>Total Nilai</t>
  </si>
  <si>
    <t>Jumlah Siswa Vocal</t>
  </si>
  <si>
    <t>Rata-Rata Nilai +10</t>
  </si>
  <si>
    <t>A</t>
  </si>
  <si>
    <t>Kelas 7</t>
  </si>
  <si>
    <t>B</t>
  </si>
  <si>
    <t>Kelas 8</t>
  </si>
  <si>
    <t>C</t>
  </si>
  <si>
    <t>Kelas 9</t>
  </si>
  <si>
    <t>A.1</t>
  </si>
  <si>
    <t>Kelas 7A</t>
  </si>
  <si>
    <t>A.2</t>
  </si>
  <si>
    <t>Kelas 7B</t>
  </si>
  <si>
    <t>B.1</t>
  </si>
  <si>
    <t>Kelas 8A</t>
  </si>
  <si>
    <t>B.2</t>
  </si>
  <si>
    <t>Kelas 8B</t>
  </si>
  <si>
    <t>C.1</t>
  </si>
  <si>
    <t>Kelas 9A</t>
  </si>
  <si>
    <t>C.2</t>
  </si>
  <si>
    <t>Kelas 9B</t>
  </si>
  <si>
    <t>Kelas A</t>
  </si>
  <si>
    <t>Kelas B</t>
  </si>
  <si>
    <t>Dilarang mengubah Table atau Menambah Table Baru atau Menambah Kolom Bantuan !!, Gunakan Table seperti yang sudah di sediakan soal.</t>
  </si>
  <si>
    <t>Nama</t>
  </si>
  <si>
    <t>Keterangan</t>
  </si>
  <si>
    <t>Nilai</t>
  </si>
  <si>
    <t>Diah</t>
  </si>
  <si>
    <t>Siswa</t>
  </si>
  <si>
    <t>C.2.5</t>
  </si>
  <si>
    <t>Lanjar</t>
  </si>
  <si>
    <t>A.2.4</t>
  </si>
  <si>
    <t>Karsa</t>
  </si>
  <si>
    <t>Kusuma</t>
  </si>
  <si>
    <t>B.1.10</t>
  </si>
  <si>
    <t>Najwa</t>
  </si>
  <si>
    <t>C.1.4</t>
  </si>
  <si>
    <t>Hartaka</t>
  </si>
  <si>
    <t>C.1.6</t>
  </si>
  <si>
    <t>Upik</t>
  </si>
  <si>
    <t>B.1.9</t>
  </si>
  <si>
    <t>Calista</t>
  </si>
  <si>
    <t>A.2.13</t>
  </si>
  <si>
    <t>Adikara</t>
  </si>
  <si>
    <t>C.1.11</t>
  </si>
  <si>
    <t>B.2.1</t>
  </si>
  <si>
    <t>Argono</t>
  </si>
  <si>
    <t>B.1.8</t>
  </si>
  <si>
    <t>Jaswadi</t>
  </si>
  <si>
    <t>B.2.5</t>
  </si>
  <si>
    <t>Harsaya</t>
  </si>
  <si>
    <t>C.1.5</t>
  </si>
  <si>
    <t>Kala</t>
  </si>
  <si>
    <t>A.2.10</t>
  </si>
  <si>
    <t>Bakidin</t>
  </si>
  <si>
    <t>C.2.6</t>
  </si>
  <si>
    <t>Vanesa</t>
  </si>
  <si>
    <t>B.1.13</t>
  </si>
  <si>
    <t>Bakti</t>
  </si>
  <si>
    <t>A.2.3</t>
  </si>
  <si>
    <t>Prabu</t>
  </si>
  <si>
    <t>C.1.7</t>
  </si>
  <si>
    <t>Almira</t>
  </si>
  <si>
    <t>C.2.3</t>
  </si>
  <si>
    <t>A.1.13</t>
  </si>
  <si>
    <t>Luwes</t>
  </si>
  <si>
    <t>C.1.10</t>
  </si>
  <si>
    <t>Hartana</t>
  </si>
  <si>
    <t>A.2.5</t>
  </si>
  <si>
    <t>Asmuni</t>
  </si>
  <si>
    <t>B.1.1</t>
  </si>
  <si>
    <t>Malik</t>
  </si>
  <si>
    <t>A.1.11</t>
  </si>
  <si>
    <t>Taufik</t>
  </si>
  <si>
    <t>A.1.8</t>
  </si>
  <si>
    <t>Danuja</t>
  </si>
  <si>
    <t>A.1.2</t>
  </si>
  <si>
    <t>Nugraha</t>
  </si>
  <si>
    <t>A.2.6</t>
  </si>
  <si>
    <t>Queen</t>
  </si>
  <si>
    <t>B.1.4</t>
  </si>
  <si>
    <t>Dariati</t>
  </si>
  <si>
    <t>B.2.3</t>
  </si>
  <si>
    <t>Pardi</t>
  </si>
  <si>
    <t>B.1.3</t>
  </si>
  <si>
    <t>Budi</t>
  </si>
  <si>
    <t>C.1.2</t>
  </si>
  <si>
    <t>Wani</t>
  </si>
  <si>
    <t>B.2.4</t>
  </si>
  <si>
    <t>Saka</t>
  </si>
  <si>
    <t>C.2.9</t>
  </si>
  <si>
    <t>Koko</t>
  </si>
  <si>
    <t>A.2.9</t>
  </si>
  <si>
    <t>Ghaliyati</t>
  </si>
  <si>
    <t>A.1.7</t>
  </si>
  <si>
    <t>Gadang</t>
  </si>
  <si>
    <t>A.1.5</t>
  </si>
  <si>
    <t>Hani</t>
  </si>
  <si>
    <t>B.2.7</t>
  </si>
  <si>
    <t>Ghani</t>
  </si>
  <si>
    <t>A.1.9</t>
  </si>
  <si>
    <t>Banara</t>
  </si>
  <si>
    <t>C.1.8</t>
  </si>
  <si>
    <t>Harsanto</t>
  </si>
  <si>
    <t>A.1.12</t>
  </si>
  <si>
    <t>Okto</t>
  </si>
  <si>
    <t>B.2.11</t>
  </si>
  <si>
    <t>Gangsar</t>
  </si>
  <si>
    <t>C.2.10</t>
  </si>
  <si>
    <t>Siska</t>
  </si>
  <si>
    <t>B.1.12</t>
  </si>
  <si>
    <t>Reksa</t>
  </si>
  <si>
    <t>A.2.11</t>
  </si>
  <si>
    <t>Bancar</t>
  </si>
  <si>
    <t>B.1.2</t>
  </si>
  <si>
    <t>Harjo</t>
  </si>
  <si>
    <t>C.2.7</t>
  </si>
  <si>
    <t>Empluk</t>
  </si>
  <si>
    <t>A.1.6</t>
  </si>
  <si>
    <t>Atmaja</t>
  </si>
  <si>
    <t>B.2.10</t>
  </si>
  <si>
    <t>Maryadi</t>
  </si>
  <si>
    <t>C.2.12</t>
  </si>
  <si>
    <t>Jail</t>
  </si>
  <si>
    <t>C.2.4</t>
  </si>
  <si>
    <t>Icha</t>
  </si>
  <si>
    <t>B.1.7</t>
  </si>
  <si>
    <t>Wadi</t>
  </si>
  <si>
    <t>C.2.2</t>
  </si>
  <si>
    <t>Prabowo</t>
  </si>
  <si>
    <t>A.1.10</t>
  </si>
  <si>
    <t>Eva</t>
  </si>
  <si>
    <t>B.2.8</t>
  </si>
  <si>
    <t>Estiono</t>
  </si>
  <si>
    <t>A.2.7</t>
  </si>
  <si>
    <t>Sakti</t>
  </si>
  <si>
    <t>C.2.1</t>
  </si>
  <si>
    <t>Lurhur</t>
  </si>
  <si>
    <t>C.2.8</t>
  </si>
  <si>
    <t>Karya</t>
  </si>
  <si>
    <t>C.1.13</t>
  </si>
  <si>
    <t>Cawisadi</t>
  </si>
  <si>
    <t>C.1.9</t>
  </si>
  <si>
    <t>Adhiarja</t>
  </si>
  <si>
    <t>C.1.14</t>
  </si>
  <si>
    <t>Cakrajiya</t>
  </si>
  <si>
    <t>A.1.3</t>
  </si>
  <si>
    <t>Lantar</t>
  </si>
  <si>
    <t>B.1.6</t>
  </si>
  <si>
    <t>Juli</t>
  </si>
  <si>
    <t>B.2.2</t>
  </si>
  <si>
    <t>Shania</t>
  </si>
  <si>
    <t>B.1.11</t>
  </si>
  <si>
    <t>Putri</t>
  </si>
  <si>
    <t>Raihan</t>
  </si>
  <si>
    <t>B.1.14</t>
  </si>
  <si>
    <t>Jagaraga</t>
  </si>
  <si>
    <t>A.2.2</t>
  </si>
  <si>
    <t>Tira</t>
  </si>
  <si>
    <t>A.1.1</t>
  </si>
  <si>
    <t>Harjasa</t>
  </si>
  <si>
    <t>B.2.9</t>
  </si>
  <si>
    <t>Ikin</t>
  </si>
  <si>
    <t>C.1.3</t>
  </si>
  <si>
    <t>Amalia</t>
  </si>
  <si>
    <t>B.2.6</t>
  </si>
  <si>
    <t>Cecep</t>
  </si>
  <si>
    <t>A.2.12</t>
  </si>
  <si>
    <t>Saadat</t>
  </si>
  <si>
    <t>A.1.14</t>
  </si>
  <si>
    <t>Laswi</t>
  </si>
  <si>
    <t>C.1.12</t>
  </si>
  <si>
    <t>Mitra</t>
  </si>
  <si>
    <t>C.2.11</t>
  </si>
  <si>
    <t>A.2.1</t>
  </si>
  <si>
    <t>A.1.4</t>
  </si>
  <si>
    <t>Panca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</si>
  <si>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</si>
  <si>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</si>
  <si>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</si>
  <si>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</si>
  <si>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</si>
  <si>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</si>
  <si>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</si>
  <si>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</si>
  <si>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</si>
  <si>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</si>
  <si>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</si>
  <si>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</si>
  <si>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</si>
  <si>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</si>
  <si>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</si>
  <si>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</si>
  <si>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</si>
  <si>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</si>
  <si>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</si>
  <si>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</si>
  <si>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</si>
  <si>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</si>
  <si>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</si>
  <si>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</si>
  <si>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</si>
  <si>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</si>
  <si>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ME5</t>
  </si>
  <si>
    <t>Random</t>
  </si>
  <si>
    <t>Cek Manual</t>
  </si>
  <si>
    <t>Cek Range</t>
  </si>
  <si>
    <t>Cek Kosong</t>
  </si>
  <si>
    <t>Final</t>
  </si>
  <si>
    <t>Cek F</t>
  </si>
  <si>
    <t>Cek jml</t>
  </si>
  <si>
    <t>isi</t>
  </si>
  <si>
    <t>sa</t>
  </si>
  <si>
    <t>ya</t>
  </si>
  <si>
    <t>Hasil</t>
  </si>
  <si>
    <t>F hasil</t>
  </si>
  <si>
    <t>Gabung</t>
  </si>
  <si>
    <t>N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</si>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</sst>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0"/>
      <name val="ROBOTECH GP"/>
      <family val="2"/>
    </font>
    <font>
      <b/>
      <sz val="9"/>
      <color theme="4" tint="-0.249977111117893"/>
      <name val="Calibri"/>
      <family val="2"/>
      <scheme val="minor"/>
    </font>
    <font>
      <b/>
      <sz val="12"/>
      <color theme="0"/>
      <name val="Robo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/>
    </xf>
    <xf numFmtId="164" fontId="5" fillId="6" borderId="0" xfId="0" applyNumberFormat="1" applyFont="1" applyFill="1" applyAlignment="1">
      <alignment horizontal="center" vertical="center"/>
    </xf>
    <xf numFmtId="164" fontId="5" fillId="6" borderId="3" xfId="0" applyNumberFormat="1" applyFont="1" applyFill="1" applyBorder="1" applyAlignment="1">
      <alignment horizontal="left" vertical="center"/>
    </xf>
    <xf numFmtId="164" fontId="6" fillId="6" borderId="0" xfId="0" applyNumberFormat="1" applyFont="1" applyFill="1" applyAlignment="1">
      <alignment horizontal="left" vertical="center"/>
    </xf>
    <xf numFmtId="0" fontId="8" fillId="7" borderId="7" xfId="0" applyFont="1" applyFill="1" applyBorder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0" fillId="7" borderId="0" xfId="0" applyFill="1"/>
    <xf numFmtId="0" fontId="8" fillId="7" borderId="8" xfId="0" applyFont="1" applyFill="1" applyBorder="1" applyAlignment="1">
      <alignment vertical="top" wrapText="1"/>
    </xf>
    <xf numFmtId="0" fontId="9" fillId="7" borderId="0" xfId="0" applyFont="1" applyFill="1" applyAlignment="1">
      <alignment horizontal="left" vertical="top"/>
    </xf>
    <xf numFmtId="0" fontId="9" fillId="7" borderId="0" xfId="0" applyFont="1" applyFill="1" applyAlignment="1">
      <alignment vertical="top"/>
    </xf>
    <xf numFmtId="0" fontId="11" fillId="7" borderId="0" xfId="0" applyFont="1" applyFill="1" applyAlignment="1">
      <alignment horizontal="center" vertical="top" wrapText="1"/>
    </xf>
    <xf numFmtId="0" fontId="12" fillId="7" borderId="0" xfId="0" applyFont="1" applyFill="1" applyAlignment="1">
      <alignment horizontal="right"/>
    </xf>
    <xf numFmtId="0" fontId="13" fillId="7" borderId="0" xfId="0" applyFont="1" applyFill="1" applyAlignment="1">
      <alignment vertical="top"/>
    </xf>
    <xf numFmtId="0" fontId="15" fillId="7" borderId="0" xfId="0" applyFont="1" applyFill="1" applyAlignment="1">
      <alignment wrapText="1"/>
    </xf>
    <xf numFmtId="0" fontId="15" fillId="7" borderId="8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3" fillId="7" borderId="0" xfId="0" applyFont="1" applyFill="1"/>
    <xf numFmtId="0" fontId="16" fillId="7" borderId="0" xfId="0" applyFont="1" applyFill="1"/>
    <xf numFmtId="0" fontId="0" fillId="8" borderId="0" xfId="0" applyFill="1"/>
    <xf numFmtId="0" fontId="8" fillId="8" borderId="0" xfId="0" applyFont="1" applyFill="1" applyAlignment="1">
      <alignment vertical="top" wrapText="1"/>
    </xf>
    <xf numFmtId="0" fontId="15" fillId="8" borderId="0" xfId="0" applyFont="1" applyFill="1" applyAlignment="1">
      <alignment wrapText="1"/>
    </xf>
    <xf numFmtId="0" fontId="18" fillId="8" borderId="0" xfId="0" applyFont="1" applyFill="1" applyAlignment="1">
      <alignment horizontal="center" wrapText="1"/>
    </xf>
    <xf numFmtId="0" fontId="18" fillId="8" borderId="0" xfId="0" applyFont="1" applyFill="1" applyAlignment="1">
      <alignment wrapText="1"/>
    </xf>
    <xf numFmtId="164" fontId="19" fillId="6" borderId="9" xfId="0" applyNumberFormat="1" applyFont="1" applyFill="1" applyBorder="1" applyAlignment="1">
      <alignment horizontal="center" vertical="center"/>
    </xf>
    <xf numFmtId="0" fontId="20" fillId="0" borderId="0" xfId="2"/>
    <xf numFmtId="0" fontId="20" fillId="0" borderId="1" xfId="2" applyBorder="1"/>
    <xf numFmtId="0" fontId="20" fillId="0" borderId="10" xfId="2" applyBorder="1"/>
    <xf numFmtId="0" fontId="20" fillId="0" borderId="11" xfId="2" applyBorder="1"/>
    <xf numFmtId="0" fontId="23" fillId="0" borderId="1" xfId="2" applyFont="1" applyBorder="1"/>
    <xf numFmtId="0" fontId="25" fillId="0" borderId="1" xfId="2" applyFont="1" applyBorder="1"/>
    <xf numFmtId="0" fontId="26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 wrapText="1"/>
    </xf>
    <xf numFmtId="0" fontId="1" fillId="0" borderId="1" xfId="3" applyBorder="1" applyAlignment="1">
      <alignment vertical="top"/>
    </xf>
    <xf numFmtId="0" fontId="21" fillId="0" borderId="0" xfId="2" applyFont="1"/>
    <xf numFmtId="0" fontId="29" fillId="0" borderId="0" xfId="2" applyFont="1"/>
    <xf numFmtId="0" fontId="29" fillId="0" borderId="0" xfId="2" quotePrefix="1" applyFont="1"/>
    <xf numFmtId="0" fontId="0" fillId="6" borderId="0" xfId="0" applyFill="1"/>
    <xf numFmtId="0" fontId="30" fillId="6" borderId="0" xfId="0" applyFont="1" applyFill="1"/>
    <xf numFmtId="0" fontId="22" fillId="6" borderId="0" xfId="0" applyFont="1" applyFill="1"/>
    <xf numFmtId="0" fontId="31" fillId="6" borderId="0" xfId="0" applyFont="1" applyFill="1"/>
    <xf numFmtId="0" fontId="32" fillId="6" borderId="0" xfId="1" applyFont="1" applyFill="1"/>
    <xf numFmtId="2" fontId="0" fillId="3" borderId="1" xfId="0" applyNumberFormat="1" applyFill="1" applyBorder="1" applyAlignment="1">
      <alignment horizontal="center" wrapText="1"/>
    </xf>
    <xf numFmtId="0" fontId="25" fillId="0" borderId="1" xfId="2" applyFont="1" applyBorder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5" fillId="0" borderId="1" xfId="2" applyFont="1" applyBorder="1" applyAlignment="1">
      <alignment horizontal="left"/>
    </xf>
    <xf numFmtId="0" fontId="24" fillId="0" borderId="1" xfId="2" applyFont="1" applyBorder="1" applyAlignment="1">
      <alignment horizontal="left"/>
    </xf>
    <xf numFmtId="0" fontId="26" fillId="0" borderId="0" xfId="0" applyFont="1" applyAlignment="1">
      <alignment horizontal="left" vertical="top" wrapText="1"/>
    </xf>
    <xf numFmtId="0" fontId="26" fillId="0" borderId="12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12" xfId="0" applyFont="1" applyBorder="1" applyAlignment="1">
      <alignment horizontal="left" vertical="top" wrapText="1"/>
    </xf>
    <xf numFmtId="0" fontId="17" fillId="5" borderId="7" xfId="0" applyFont="1" applyFill="1" applyBorder="1" applyAlignment="1">
      <alignment horizontal="center" vertical="center"/>
    </xf>
  </cellXfs>
  <cellStyles count="4">
    <cellStyle name="Hyperlink" xfId="1" builtinId="8"/>
    <cellStyle name="Hyperlink 2" xfId="3" xr:uid="{28559600-1CC3-43EF-BD3B-BC4B6006F28E}"/>
    <cellStyle name="Normal" xfId="0" builtinId="0"/>
    <cellStyle name="Normal 2" xfId="2" xr:uid="{A3392D64-E050-4FBC-B241-A091AB62D3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845820</xdr:colOff>
      <xdr:row>16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F6F83-3790-4D6B-983E-2DC056AA3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374879" cy="3093720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</xdr:colOff>
      <xdr:row>14</xdr:row>
      <xdr:rowOff>99060</xdr:rowOff>
    </xdr:from>
    <xdr:to>
      <xdr:col>7</xdr:col>
      <xdr:colOff>147320</xdr:colOff>
      <xdr:row>18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54D39F-CB12-4682-B2AE-CED265F57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880" y="24765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36</xdr:row>
      <xdr:rowOff>68580</xdr:rowOff>
    </xdr:from>
    <xdr:to>
      <xdr:col>4</xdr:col>
      <xdr:colOff>1097280</xdr:colOff>
      <xdr:row>38</xdr:row>
      <xdr:rowOff>22860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D426DB-B924-42B1-9348-70921E825345}"/>
            </a:ext>
          </a:extLst>
        </xdr:cNvPr>
        <xdr:cNvSpPr/>
      </xdr:nvSpPr>
      <xdr:spPr>
        <a:xfrm>
          <a:off x="3055620" y="7315200"/>
          <a:ext cx="16687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8</xdr:col>
      <xdr:colOff>998220</xdr:colOff>
      <xdr:row>0</xdr:row>
      <xdr:rowOff>121920</xdr:rowOff>
    </xdr:from>
    <xdr:ext cx="1173463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5FD4DC-F61E-4B4F-941A-CF275854FB4F}"/>
            </a:ext>
          </a:extLst>
        </xdr:cNvPr>
        <xdr:cNvSpPr txBox="1"/>
      </xdr:nvSpPr>
      <xdr:spPr>
        <a:xfrm>
          <a:off x="11087100" y="121920"/>
          <a:ext cx="1173463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MEDIUM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906779</xdr:colOff>
      <xdr:row>0</xdr:row>
      <xdr:rowOff>0</xdr:rowOff>
    </xdr:from>
    <xdr:to>
      <xdr:col>10</xdr:col>
      <xdr:colOff>1313423</xdr:colOff>
      <xdr:row>16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75638-EB42-4AE8-9AD1-82A41BC5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35839" y="0"/>
          <a:ext cx="1985889" cy="3093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A1D83DB-789D-4235-AFEA-CF3BD62A0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E4A3A6EA-E5A1-4D30-B79A-1104FE52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518160</xdr:colOff>
      <xdr:row>1</xdr:row>
      <xdr:rowOff>22860</xdr:rowOff>
    </xdr:from>
    <xdr:to>
      <xdr:col>4</xdr:col>
      <xdr:colOff>198120</xdr:colOff>
      <xdr:row>14</xdr:row>
      <xdr:rowOff>114552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67919B-097C-4FFE-A806-63FAE99EA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20574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1B47-8B2C-4F38-8E6D-5795122D2F27}">
  <sheetPr codeName="Sheet2"/>
  <dimension ref="A19:M64"/>
  <sheetViews>
    <sheetView tabSelected="1" topLeftCell="C32" workbookViewId="0">
      <selection activeCell="G19" sqref="G19"/>
    </sheetView>
  </sheetViews>
  <sheetFormatPr defaultRowHeight="14.45"/>
  <cols>
    <col min="2" max="2" width="19" customWidth="1"/>
    <col min="3" max="3" width="18.5703125" customWidth="1"/>
    <col min="4" max="4" width="17.7109375" customWidth="1"/>
    <col min="5" max="5" width="18.140625" customWidth="1"/>
    <col min="6" max="6" width="17.7109375" customWidth="1"/>
    <col min="7" max="7" width="22.42578125" customWidth="1"/>
    <col min="8" max="8" width="24.5703125" customWidth="1"/>
    <col min="9" max="9" width="21" customWidth="1"/>
    <col min="10" max="10" width="22.85546875" customWidth="1"/>
    <col min="11" max="11" width="19.7109375" customWidth="1"/>
    <col min="14" max="14" width="10.28515625" customWidth="1"/>
    <col min="15" max="15" width="11.85546875" customWidth="1"/>
  </cols>
  <sheetData>
    <row r="19" spans="1:13" ht="23.45">
      <c r="A19" s="55" t="s">
        <v>0</v>
      </c>
      <c r="B19" s="55"/>
      <c r="C19" s="13" t="s">
        <v>1</v>
      </c>
      <c r="E19" s="55" t="s">
        <v>2</v>
      </c>
      <c r="F19" s="56"/>
      <c r="G19" s="14" t="str">
        <f ca="1">kode_jawaban</f>
        <v>ME5|B8-524;23-D7668;7B-1720;F6-E90;1C-2DC;1A-6743;8F-60E;23-D33EC</v>
      </c>
      <c r="H19" s="15"/>
      <c r="I19" s="15"/>
      <c r="J19" s="15"/>
      <c r="K19" s="15"/>
    </row>
    <row r="21" spans="1:13" ht="22.9">
      <c r="A21" s="57" t="s">
        <v>3</v>
      </c>
      <c r="B21" s="58"/>
      <c r="C21" s="58"/>
      <c r="D21" s="58"/>
      <c r="E21" s="58"/>
      <c r="F21" s="58"/>
      <c r="G21" s="58"/>
      <c r="H21" s="58"/>
      <c r="I21" s="58"/>
      <c r="J21" s="58"/>
      <c r="K21" s="59"/>
    </row>
    <row r="22" spans="1:13" ht="15.6">
      <c r="A22" s="16"/>
      <c r="B22" s="17"/>
      <c r="C22" s="17"/>
      <c r="D22" s="17"/>
      <c r="E22" s="17"/>
      <c r="F22" s="17"/>
      <c r="G22" s="17"/>
      <c r="H22" s="17"/>
      <c r="I22" s="17"/>
      <c r="J22" s="18"/>
      <c r="K22" s="19"/>
    </row>
    <row r="23" spans="1:13" ht="15.6">
      <c r="A23" s="18"/>
      <c r="B23" s="20" t="s">
        <v>4</v>
      </c>
      <c r="C23" s="18"/>
      <c r="D23" s="18"/>
      <c r="E23" s="17"/>
      <c r="F23" s="17"/>
      <c r="G23" s="17"/>
      <c r="H23" s="17"/>
      <c r="I23" s="17"/>
      <c r="J23" s="18"/>
      <c r="K23" s="19"/>
    </row>
    <row r="24" spans="1:13" ht="15.6">
      <c r="A24" s="18"/>
      <c r="B24" s="18"/>
      <c r="C24" s="21"/>
      <c r="D24" s="18"/>
      <c r="E24" s="17"/>
      <c r="F24" s="17"/>
      <c r="G24" s="17"/>
      <c r="H24" s="22"/>
      <c r="I24" s="17"/>
      <c r="J24" s="18"/>
      <c r="K24" s="19"/>
    </row>
    <row r="25" spans="1:13" ht="15.6">
      <c r="A25" s="18"/>
      <c r="B25" s="23" t="s">
        <v>5</v>
      </c>
      <c r="C25" s="24" t="s">
        <v>6</v>
      </c>
      <c r="D25" s="18"/>
      <c r="E25" s="18"/>
      <c r="F25" s="17"/>
      <c r="G25" s="18"/>
      <c r="H25" s="22"/>
      <c r="I25" s="33" t="s">
        <v>7</v>
      </c>
      <c r="J25" s="30"/>
      <c r="K25" s="26"/>
      <c r="M25" s="27"/>
    </row>
    <row r="26" spans="1:13" ht="15.6">
      <c r="A26" s="18"/>
      <c r="B26" s="28"/>
      <c r="C26" s="24" t="s">
        <v>8</v>
      </c>
      <c r="D26" s="18"/>
      <c r="E26" s="18"/>
      <c r="F26" s="17"/>
      <c r="G26" s="18"/>
      <c r="H26" s="22"/>
      <c r="I26" s="33" t="s">
        <v>9</v>
      </c>
      <c r="J26" s="34" t="s">
        <v>10</v>
      </c>
      <c r="K26" s="26"/>
      <c r="M26" s="27"/>
    </row>
    <row r="27" spans="1:13" ht="15.6">
      <c r="A27" s="18"/>
      <c r="B27" s="28">
        <v>1</v>
      </c>
      <c r="C27" s="18" t="s">
        <v>11</v>
      </c>
      <c r="D27" s="18"/>
      <c r="E27" s="18"/>
      <c r="F27" s="17"/>
      <c r="G27" s="18"/>
      <c r="H27" s="22"/>
      <c r="I27" s="31"/>
      <c r="J27" s="34" t="s">
        <v>12</v>
      </c>
      <c r="K27" s="19"/>
    </row>
    <row r="28" spans="1:13" ht="15.6">
      <c r="A28" s="18"/>
      <c r="B28" s="28">
        <v>2</v>
      </c>
      <c r="C28" s="18" t="s">
        <v>13</v>
      </c>
      <c r="D28" s="18"/>
      <c r="E28" s="18"/>
      <c r="F28" s="17"/>
      <c r="G28" s="18"/>
      <c r="H28" s="22"/>
      <c r="I28" s="32"/>
      <c r="J28" s="34" t="s">
        <v>14</v>
      </c>
      <c r="K28" s="26"/>
    </row>
    <row r="29" spans="1:13" ht="15.6">
      <c r="A29" s="18"/>
      <c r="B29" s="28">
        <v>3</v>
      </c>
      <c r="C29" s="18" t="s">
        <v>15</v>
      </c>
      <c r="D29" s="18"/>
      <c r="E29" s="18"/>
      <c r="F29" s="17"/>
      <c r="G29" s="18"/>
      <c r="H29" s="22"/>
      <c r="I29" s="33" t="s">
        <v>16</v>
      </c>
      <c r="J29" s="34"/>
      <c r="K29" s="26"/>
    </row>
    <row r="30" spans="1:13" ht="15.6">
      <c r="A30" s="18"/>
      <c r="B30" s="28">
        <v>4</v>
      </c>
      <c r="C30" s="18" t="s">
        <v>17</v>
      </c>
      <c r="D30" s="18"/>
      <c r="E30" s="18"/>
      <c r="F30" s="17"/>
      <c r="G30" s="18"/>
      <c r="H30" s="22"/>
      <c r="I30" s="33" t="s">
        <v>18</v>
      </c>
      <c r="J30" s="34" t="s">
        <v>19</v>
      </c>
      <c r="K30" s="26"/>
    </row>
    <row r="31" spans="1:13" ht="15.6">
      <c r="A31" s="18"/>
      <c r="B31" s="28">
        <v>5</v>
      </c>
      <c r="C31" s="18" t="s">
        <v>20</v>
      </c>
      <c r="D31" s="18"/>
      <c r="E31" s="18"/>
      <c r="F31" s="17"/>
      <c r="G31" s="18"/>
      <c r="H31" s="22"/>
      <c r="I31" s="33" t="s">
        <v>21</v>
      </c>
      <c r="J31" s="34" t="s">
        <v>22</v>
      </c>
      <c r="K31" s="26"/>
    </row>
    <row r="32" spans="1:13" ht="15.6">
      <c r="A32" s="18"/>
      <c r="B32" s="28">
        <v>6</v>
      </c>
      <c r="C32" s="18" t="s">
        <v>23</v>
      </c>
      <c r="D32" s="18"/>
      <c r="E32" s="18"/>
      <c r="F32" s="17"/>
      <c r="G32" s="18"/>
      <c r="H32" s="22"/>
      <c r="I32" s="33" t="s">
        <v>24</v>
      </c>
      <c r="J32" s="34" t="s">
        <v>25</v>
      </c>
      <c r="K32" s="26"/>
    </row>
    <row r="33" spans="1:11" ht="15.6">
      <c r="A33" s="18"/>
      <c r="B33" s="28">
        <v>7</v>
      </c>
      <c r="C33" s="18" t="s">
        <v>26</v>
      </c>
      <c r="D33" s="18"/>
      <c r="E33" s="18"/>
      <c r="F33" s="17"/>
      <c r="G33" s="18"/>
      <c r="H33" s="22"/>
      <c r="I33" s="33"/>
      <c r="J33" s="34"/>
      <c r="K33" s="26"/>
    </row>
    <row r="34" spans="1:11" ht="15.6">
      <c r="A34" s="18"/>
      <c r="B34" s="28">
        <v>8</v>
      </c>
      <c r="C34" s="18" t="s">
        <v>27</v>
      </c>
      <c r="D34" s="18"/>
      <c r="E34" s="18"/>
      <c r="F34" s="17"/>
      <c r="G34" s="18"/>
      <c r="H34" s="22"/>
      <c r="I34" s="25"/>
      <c r="J34" s="18"/>
      <c r="K34" s="26"/>
    </row>
    <row r="35" spans="1:11" ht="15.6">
      <c r="A35" s="18"/>
      <c r="B35" s="28"/>
      <c r="C35" s="18"/>
      <c r="D35" s="18"/>
      <c r="E35" s="18"/>
      <c r="F35" s="17"/>
      <c r="G35" s="18"/>
      <c r="H35" s="22"/>
      <c r="I35" s="25"/>
      <c r="J35" s="18"/>
      <c r="K35" s="26"/>
    </row>
    <row r="36" spans="1:11" ht="15.6">
      <c r="A36" s="18"/>
      <c r="B36" s="18"/>
      <c r="C36" s="29" t="s">
        <v>28</v>
      </c>
      <c r="D36" s="18"/>
      <c r="E36" s="18"/>
      <c r="F36" s="17"/>
      <c r="G36" s="18"/>
      <c r="H36" s="18"/>
      <c r="I36" s="17"/>
      <c r="J36" s="18"/>
      <c r="K36" s="19"/>
    </row>
    <row r="37" spans="1:11" ht="15.6">
      <c r="A37" s="18"/>
      <c r="B37" s="18"/>
      <c r="C37" s="29" t="s">
        <v>29</v>
      </c>
      <c r="D37" s="18"/>
      <c r="E37" s="17"/>
      <c r="F37" s="17"/>
      <c r="G37" s="18"/>
      <c r="H37" s="18"/>
      <c r="I37" s="17"/>
      <c r="J37" s="18"/>
      <c r="K37" s="19"/>
    </row>
    <row r="38" spans="1:11" ht="15.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9"/>
    </row>
    <row r="39" spans="1:11" ht="15.6">
      <c r="A39" s="18"/>
      <c r="B39" s="18"/>
      <c r="C39" s="18"/>
      <c r="D39" s="18"/>
      <c r="E39" s="18"/>
      <c r="F39" s="18"/>
      <c r="G39" s="18"/>
      <c r="H39" s="18"/>
      <c r="I39" s="18"/>
      <c r="K39" s="19"/>
    </row>
    <row r="40" spans="1:11" ht="22.9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2"/>
    </row>
    <row r="42" spans="1:11" ht="15" thickBot="1"/>
    <row r="43" spans="1:11" ht="16.149999999999999" thickBot="1">
      <c r="D43" s="35">
        <v>1</v>
      </c>
      <c r="E43" s="35">
        <v>2</v>
      </c>
      <c r="F43" s="35">
        <v>3</v>
      </c>
      <c r="G43" s="35">
        <v>4</v>
      </c>
      <c r="H43" s="35">
        <v>5</v>
      </c>
      <c r="I43" s="35">
        <v>6</v>
      </c>
      <c r="J43" s="35">
        <v>7</v>
      </c>
      <c r="K43" s="35">
        <v>8</v>
      </c>
    </row>
    <row r="44" spans="1:11" ht="28.15" customHeight="1">
      <c r="B44" s="7" t="s">
        <v>30</v>
      </c>
      <c r="C44" s="7" t="s">
        <v>31</v>
      </c>
      <c r="D44" s="7" t="s">
        <v>32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37</v>
      </c>
      <c r="J44" s="7" t="s">
        <v>38</v>
      </c>
      <c r="K44" s="7" t="s">
        <v>39</v>
      </c>
    </row>
    <row r="45" spans="1:11" ht="19.899999999999999" customHeight="1">
      <c r="B45" s="5" t="s">
        <v>40</v>
      </c>
      <c r="C45" s="6" t="s">
        <v>41</v>
      </c>
      <c r="D45" s="9">
        <f>COUNTIF(Database!$A$3:$A$80,"*"&amp;B45&amp;".*")</f>
        <v>27</v>
      </c>
      <c r="E45" s="53">
        <f>ROUND(AVERAGEIFS(Database!$D$3:$D$80,Database!$A$3:$A$80,"*"&amp;B45&amp;".*"),2)</f>
        <v>80.7</v>
      </c>
      <c r="F45" s="10">
        <f>_xlfn.MAXIFS(Database!$D$3:$D$80,Database!$A$3:$A$80,"*"&amp;B45&amp;".*")</f>
        <v>100</v>
      </c>
      <c r="G45" s="10">
        <f>_xlfn.MINIFS(Database!$D$3:$D$80,Database!$A$3:$A$80,"*"&amp;B45&amp;".*")</f>
        <v>62</v>
      </c>
      <c r="H45" s="9">
        <f>COUNTIFS(Database!$A$3:$A$80,"*"&amp;B45&amp;".*",Database!$D$3:$D$80,"&gt;80")</f>
        <v>14</v>
      </c>
      <c r="I45" s="9">
        <f>SUMIFS(Database!$D$3:$D$80,Database!$A$3:$A$80,"*"&amp;B45&amp;".*")</f>
        <v>2179</v>
      </c>
      <c r="J45" s="9" cm="1">
        <f t="array" ref="J45">SUM(COUNTIFS(Database!$A$3:$A$80,"*"&amp;B45&amp;".*",Database!$B$3:$B$80,{"A*";"E*";"I*";"O*";"U*"}))</f>
        <v>6</v>
      </c>
      <c r="K45" s="53">
        <f>ROUND(AVERAGEIFS(Database!$D$3:$D$80,Database!$A$3:$A$80,"*"&amp;B45&amp;".*",Database!$A$3:$A$80,"*.*." &amp; "??*"),2)</f>
        <v>79.22</v>
      </c>
    </row>
    <row r="46" spans="1:11" ht="19.899999999999999" customHeight="1">
      <c r="B46" s="5" t="s">
        <v>42</v>
      </c>
      <c r="C46" s="6" t="s">
        <v>43</v>
      </c>
      <c r="D46" s="9">
        <f>COUNTIF(Database!$A$3:$A$80,"*"&amp;B46&amp;".*")</f>
        <v>25</v>
      </c>
      <c r="E46" s="53">
        <f>ROUND(AVERAGEIFS(Database!$D$3:$D$80,Database!$A$3:$A$80,"*"&amp;B46&amp;".*"),2)</f>
        <v>80.319999999999993</v>
      </c>
      <c r="F46" s="10">
        <f>_xlfn.MAXIFS(Database!$D$3:$D$80,Database!$A$3:$A$80,"*"&amp;B46&amp;".*")</f>
        <v>99</v>
      </c>
      <c r="G46" s="10">
        <f>_xlfn.MINIFS(Database!$D$3:$D$80,Database!$A$3:$A$80,"*"&amp;B46&amp;".*")</f>
        <v>61</v>
      </c>
      <c r="H46" s="9">
        <f>COUNTIFS(Database!$A$3:$A$80,"*"&amp;B46&amp;".*",Database!$D$3:$D$80,"&gt;80")</f>
        <v>15</v>
      </c>
      <c r="I46" s="9">
        <f>SUMIFS(Database!$D$3:$D$80,Database!$A$3:$A$80,"*"&amp;B46&amp;".*")</f>
        <v>2008</v>
      </c>
      <c r="J46" s="9" cm="1">
        <f t="array" ref="J46">SUM(COUNTIFS(Database!$A$3:$A$80,"*"&amp;B46&amp;".*",Database!$B$3:$B$80,{"A*";"E*";"I*";"O*";"U*"}))</f>
        <v>3</v>
      </c>
      <c r="K46" s="53">
        <f>ROUND(AVERAGEIFS(Database!$D$3:$D$80,Database!$A$3:$A$80,"*"&amp;B46&amp;".*",Database!$A$3:$A$80,"*.*." &amp; "??*"),2)</f>
        <v>78.569999999999993</v>
      </c>
    </row>
    <row r="47" spans="1:11" ht="19.899999999999999" customHeight="1">
      <c r="B47" s="5" t="s">
        <v>44</v>
      </c>
      <c r="C47" s="6" t="s">
        <v>45</v>
      </c>
      <c r="D47" s="9">
        <f>COUNTIF(Database!$A$3:$A$80,"*"&amp;B47&amp;".*")</f>
        <v>26</v>
      </c>
      <c r="E47" s="53">
        <f>ROUND(AVERAGEIFS(Database!$D$3:$D$80,Database!$A$3:$A$80,"*"&amp;B47&amp;".*"),2)</f>
        <v>79.81</v>
      </c>
      <c r="F47" s="10">
        <f>_xlfn.MAXIFS(Database!$D$3:$D$80,Database!$A$3:$A$80,"*"&amp;B47&amp;".*")</f>
        <v>97</v>
      </c>
      <c r="G47" s="10">
        <f>_xlfn.MINIFS(Database!$D$3:$D$80,Database!$A$3:$A$80,"*"&amp;B47&amp;".*")</f>
        <v>62</v>
      </c>
      <c r="H47" s="9">
        <f>COUNTIFS(Database!$A$3:$A$80,"*"&amp;B47&amp;".*",Database!$D$3:$D$80,"&gt;80")</f>
        <v>14</v>
      </c>
      <c r="I47" s="9">
        <f>SUMIFS(Database!$D$3:$D$80,Database!$A$3:$A$80,"*"&amp;B47&amp;".*")</f>
        <v>2075</v>
      </c>
      <c r="J47" s="9" cm="1">
        <f t="array" ref="J47">SUM(COUNTIFS(Database!$A$3:$A$80,"*"&amp;B47&amp;".*",Database!$B$3:$B$80,{"A*";"E*";"I*";"O*";"U*"}))</f>
        <v>6</v>
      </c>
      <c r="K47" s="53">
        <f>ROUND(AVERAGEIFS(Database!$D$3:$D$80,Database!$A$3:$A$80,"*"&amp;B47&amp;".*",Database!$A$3:$A$80,"*.*." &amp; "??*"),2)</f>
        <v>80.25</v>
      </c>
    </row>
    <row r="48" spans="1:11" ht="19.899999999999999" customHeight="1">
      <c r="B48" s="5" t="s">
        <v>46</v>
      </c>
      <c r="C48" s="6" t="s">
        <v>47</v>
      </c>
      <c r="D48" s="9">
        <f>COUNTIF(Database!$A$3:$A$80,"*"&amp;B48&amp;".*")</f>
        <v>14</v>
      </c>
      <c r="E48" s="53">
        <f>ROUND(AVERAGEIFS(Database!$D$3:$D$80,Database!$A$3:$A$80,"*"&amp;B48&amp;".*"),2)</f>
        <v>79.209999999999994</v>
      </c>
      <c r="F48" s="10">
        <f>_xlfn.MAXIFS(Database!$D$3:$D$80,Database!$A$3:$A$80,"*"&amp;B48&amp;".*")</f>
        <v>100</v>
      </c>
      <c r="G48" s="10">
        <f>_xlfn.MINIFS(Database!$D$3:$D$80,Database!$A$3:$A$80,"*"&amp;B48&amp;".*")</f>
        <v>64</v>
      </c>
      <c r="H48" s="9">
        <f>COUNTIFS(Database!$A$3:$A$80,"*"&amp;B48&amp;".*",Database!$D$3:$D$80,"&gt;80")</f>
        <v>6</v>
      </c>
      <c r="I48" s="9">
        <f>SUMIFS(Database!$D$3:$D$80,Database!$A$3:$A$80,"*"&amp;B48&amp;".*")</f>
        <v>1109</v>
      </c>
      <c r="J48" s="9" cm="1">
        <f t="array" ref="J48">SUM(COUNTIFS(Database!$A$3:$A$80,"*"&amp;B48&amp;".*",Database!$B$3:$B$80,{"A*";"E*";"I*";"O*";"U*"}))</f>
        <v>3</v>
      </c>
      <c r="K48" s="53">
        <f>ROUND(AVERAGEIFS(Database!$D$3:$D$80,Database!$A$3:$A$80,"*"&amp;B48&amp;".*",Database!$A$3:$A$80,"*.*." &amp; "??*"),2)</f>
        <v>83.6</v>
      </c>
    </row>
    <row r="49" spans="1:11" ht="19.899999999999999" customHeight="1">
      <c r="B49" s="5" t="s">
        <v>48</v>
      </c>
      <c r="C49" s="6" t="s">
        <v>49</v>
      </c>
      <c r="D49" s="9">
        <f>COUNTIF(Database!$A$3:$A$80,"*"&amp;B49&amp;".*")</f>
        <v>13</v>
      </c>
      <c r="E49" s="53">
        <f>ROUND(AVERAGEIFS(Database!$D$3:$D$80,Database!$A$3:$A$80,"*"&amp;B49&amp;".*"),2)</f>
        <v>82.31</v>
      </c>
      <c r="F49" s="10">
        <f>_xlfn.MAXIFS(Database!$D$3:$D$80,Database!$A$3:$A$80,"*"&amp;B49&amp;".*")</f>
        <v>99</v>
      </c>
      <c r="G49" s="10">
        <f>_xlfn.MINIFS(Database!$D$3:$D$80,Database!$A$3:$A$80,"*"&amp;B49&amp;".*")</f>
        <v>62</v>
      </c>
      <c r="H49" s="9">
        <f>COUNTIFS(Database!$A$3:$A$80,"*"&amp;B49&amp;".*",Database!$D$3:$D$80,"&gt;80")</f>
        <v>8</v>
      </c>
      <c r="I49" s="9">
        <f>SUMIFS(Database!$D$3:$D$80,Database!$A$3:$A$80,"*"&amp;B49&amp;".*")</f>
        <v>1070</v>
      </c>
      <c r="J49" s="9" cm="1">
        <f t="array" ref="J49">SUM(COUNTIFS(Database!$A$3:$A$80,"*"&amp;B49&amp;".*",Database!$B$3:$B$80,{"A*";"E*";"I*";"O*";"U*"}))</f>
        <v>3</v>
      </c>
      <c r="K49" s="53">
        <f>ROUND(AVERAGEIFS(Database!$D$3:$D$80,Database!$A$3:$A$80,"*"&amp;B49&amp;".*",Database!$A$3:$A$80,"*.*." &amp; "??*"),2)</f>
        <v>73.75</v>
      </c>
    </row>
    <row r="50" spans="1:11" ht="19.899999999999999" customHeight="1">
      <c r="B50" s="5" t="s">
        <v>50</v>
      </c>
      <c r="C50" s="6" t="s">
        <v>51</v>
      </c>
      <c r="D50" s="9">
        <f>COUNTIF(Database!$A$3:$A$80,"*"&amp;B50&amp;".*")</f>
        <v>14</v>
      </c>
      <c r="E50" s="53">
        <f>ROUND(AVERAGEIFS(Database!$D$3:$D$80,Database!$A$3:$A$80,"*"&amp;B50&amp;".*"),2)</f>
        <v>82.5</v>
      </c>
      <c r="F50" s="10">
        <f>_xlfn.MAXIFS(Database!$D$3:$D$80,Database!$A$3:$A$80,"*"&amp;B50&amp;".*")</f>
        <v>98</v>
      </c>
      <c r="G50" s="10">
        <f>_xlfn.MINIFS(Database!$D$3:$D$80,Database!$A$3:$A$80,"*"&amp;B50&amp;".*")</f>
        <v>64</v>
      </c>
      <c r="H50" s="9">
        <f>COUNTIFS(Database!$A$3:$A$80,"*"&amp;B50&amp;".*",Database!$D$3:$D$80,"&gt;80")</f>
        <v>9</v>
      </c>
      <c r="I50" s="9">
        <f>SUMIFS(Database!$D$3:$D$80,Database!$A$3:$A$80,"*"&amp;B50&amp;".*")</f>
        <v>1155</v>
      </c>
      <c r="J50" s="9" cm="1">
        <f t="array" ref="J50">SUM(COUNTIFS(Database!$A$3:$A$80,"*"&amp;B50&amp;".*",Database!$B$3:$B$80,{"A*";"E*";"I*";"O*";"U*"}))</f>
        <v>0</v>
      </c>
      <c r="K50" s="53">
        <f>ROUND(AVERAGEIFS(Database!$D$3:$D$80,Database!$A$3:$A$80,"*"&amp;B50&amp;".*",Database!$A$3:$A$80,"*.*." &amp; "??*"),2)</f>
        <v>80.8</v>
      </c>
    </row>
    <row r="51" spans="1:11" ht="19.899999999999999" customHeight="1">
      <c r="B51" s="5" t="s">
        <v>52</v>
      </c>
      <c r="C51" s="6" t="s">
        <v>53</v>
      </c>
      <c r="D51" s="9">
        <f>COUNTIF(Database!$A$3:$A$80,"*"&amp;B51&amp;".*")</f>
        <v>11</v>
      </c>
      <c r="E51" s="53">
        <f>ROUND(AVERAGEIFS(Database!$D$3:$D$80,Database!$A$3:$A$80,"*"&amp;B51&amp;".*"),2)</f>
        <v>77.55</v>
      </c>
      <c r="F51" s="10">
        <f>_xlfn.MAXIFS(Database!$D$3:$D$80,Database!$A$3:$A$80,"*"&amp;B51&amp;".*")</f>
        <v>99</v>
      </c>
      <c r="G51" s="10">
        <f>_xlfn.MINIFS(Database!$D$3:$D$80,Database!$A$3:$A$80,"*"&amp;B51&amp;".*")</f>
        <v>61</v>
      </c>
      <c r="H51" s="9">
        <f>COUNTIFS(Database!$A$3:$A$80,"*"&amp;B51&amp;".*",Database!$D$3:$D$80,"&gt;80")</f>
        <v>6</v>
      </c>
      <c r="I51" s="9">
        <f>SUMIFS(Database!$D$3:$D$80,Database!$A$3:$A$80,"*"&amp;B51&amp;".*")</f>
        <v>853</v>
      </c>
      <c r="J51" s="9" cm="1">
        <f t="array" ref="J51">SUM(COUNTIFS(Database!$A$3:$A$80,"*"&amp;B51&amp;".*",Database!$B$3:$B$80,{"A*";"E*";"I*";"O*";"U*"}))</f>
        <v>3</v>
      </c>
      <c r="K51" s="53">
        <f>ROUND(AVERAGEIFS(Database!$D$3:$D$80,Database!$A$3:$A$80,"*"&amp;B51&amp;".*",Database!$A$3:$A$80,"*.*." &amp; "??*"),2)</f>
        <v>73</v>
      </c>
    </row>
    <row r="52" spans="1:11" ht="19.899999999999999" customHeight="1">
      <c r="B52" s="5" t="s">
        <v>54</v>
      </c>
      <c r="C52" s="6" t="s">
        <v>55</v>
      </c>
      <c r="D52" s="9">
        <f>COUNTIF(Database!$A$3:$A$80,"*"&amp;B52&amp;".*")</f>
        <v>14</v>
      </c>
      <c r="E52" s="53">
        <f>ROUND(AVERAGEIFS(Database!$D$3:$D$80,Database!$A$3:$A$80,"*"&amp;B52&amp;".*"),2)</f>
        <v>81</v>
      </c>
      <c r="F52" s="10">
        <f>_xlfn.MAXIFS(Database!$D$3:$D$80,Database!$A$3:$A$80,"*"&amp;B52&amp;".*")</f>
        <v>97</v>
      </c>
      <c r="G52" s="10">
        <f>_xlfn.MINIFS(Database!$D$3:$D$80,Database!$A$3:$A$80,"*"&amp;B52&amp;".*")</f>
        <v>62</v>
      </c>
      <c r="H52" s="9">
        <f>COUNTIFS(Database!$A$3:$A$80,"*"&amp;B52&amp;".*",Database!$D$3:$D$80,"&gt;80")</f>
        <v>9</v>
      </c>
      <c r="I52" s="9">
        <f>SUMIFS(Database!$D$3:$D$80,Database!$A$3:$A$80,"*"&amp;B52&amp;".*")</f>
        <v>1134</v>
      </c>
      <c r="J52" s="9" cm="1">
        <f t="array" ref="J52">SUM(COUNTIFS(Database!$A$3:$A$80,"*"&amp;B52&amp;".*",Database!$B$3:$B$80,{"A*";"E*";"I*";"O*";"U*"}))</f>
        <v>4</v>
      </c>
      <c r="K52" s="53">
        <f>ROUND(AVERAGEIFS(Database!$D$3:$D$80,Database!$A$3:$A$80,"*"&amp;B52&amp;".*",Database!$A$3:$A$80,"*.*." &amp; "??*"),2)</f>
        <v>82.2</v>
      </c>
    </row>
    <row r="53" spans="1:11" ht="19.899999999999999" customHeight="1">
      <c r="B53" s="5" t="s">
        <v>56</v>
      </c>
      <c r="C53" s="6" t="s">
        <v>57</v>
      </c>
      <c r="D53" s="9">
        <f>COUNTIF(Database!$A$3:$A$80,"*"&amp;B53&amp;".*")</f>
        <v>12</v>
      </c>
      <c r="E53" s="53">
        <f>ROUND(AVERAGEIFS(Database!$D$3:$D$80,Database!$A$3:$A$80,"*"&amp;B53&amp;".*"),2)</f>
        <v>78.42</v>
      </c>
      <c r="F53" s="10">
        <f>_xlfn.MAXIFS(Database!$D$3:$D$80,Database!$A$3:$A$80,"*"&amp;B53&amp;".*")</f>
        <v>96</v>
      </c>
      <c r="G53" s="10">
        <f>_xlfn.MINIFS(Database!$D$3:$D$80,Database!$A$3:$A$80,"*"&amp;B53&amp;".*")</f>
        <v>62</v>
      </c>
      <c r="H53" s="9">
        <f>COUNTIFS(Database!$A$3:$A$80,"*"&amp;B53&amp;".*",Database!$D$3:$D$80,"&gt;80")</f>
        <v>5</v>
      </c>
      <c r="I53" s="9">
        <f>SUMIFS(Database!$D$3:$D$80,Database!$A$3:$A$80,"*"&amp;B53&amp;".*")</f>
        <v>941</v>
      </c>
      <c r="J53" s="9" cm="1">
        <f t="array" ref="J53">SUM(COUNTIFS(Database!$A$3:$A$80,"*"&amp;B53&amp;".*",Database!$B$3:$B$80,{"A*";"E*";"I*";"O*";"U*"}))</f>
        <v>2</v>
      </c>
      <c r="K53" s="53">
        <f>ROUND(AVERAGEIFS(Database!$D$3:$D$80,Database!$A$3:$A$80,"*"&amp;B53&amp;".*",Database!$A$3:$A$80,"*.*." &amp; "??*"),2)</f>
        <v>77</v>
      </c>
    </row>
    <row r="54" spans="1:11" ht="19.899999999999999" customHeight="1">
      <c r="B54" s="5">
        <v>1</v>
      </c>
      <c r="C54" s="6" t="s">
        <v>58</v>
      </c>
      <c r="D54" s="9">
        <f>COUNTIF(Database!$A$3:$A$80,"*"&amp;B54&amp;".*")</f>
        <v>42</v>
      </c>
      <c r="E54" s="53">
        <f>ROUND(AVERAGEIFS(Database!$D$3:$D$80,Database!$A$3:$A$80,"*"&amp;B54&amp;".*"),2)</f>
        <v>80.900000000000006</v>
      </c>
      <c r="F54" s="10">
        <f>_xlfn.MAXIFS(Database!$D$3:$D$80,Database!$A$3:$A$80,"*"&amp;B54&amp;".*")</f>
        <v>100</v>
      </c>
      <c r="G54" s="10">
        <f>_xlfn.MINIFS(Database!$D$3:$D$80,Database!$A$3:$A$80,"*"&amp;B54&amp;".*")</f>
        <v>62</v>
      </c>
      <c r="H54" s="9">
        <f>COUNTIFS(Database!$A$3:$A$80,"*"&amp;B54&amp;".*",Database!$D$3:$D$80,"&gt;80")</f>
        <v>24</v>
      </c>
      <c r="I54" s="9">
        <f>SUMIFS(Database!$D$3:$D$80,Database!$A$3:$A$80,"*"&amp;B54&amp;".*")</f>
        <v>3398</v>
      </c>
      <c r="J54" s="9" cm="1">
        <f t="array" ref="J54">SUM(COUNTIFS(Database!$A$3:$A$80,"*"&amp;B54&amp;".*",Database!$B$3:$B$80,{"A*";"E*";"I*";"O*";"U*"}))</f>
        <v>7</v>
      </c>
      <c r="K54" s="53">
        <f>ROUND(AVERAGEIFS(Database!$D$3:$D$80,Database!$A$3:$A$80,"*"&amp;B54&amp;".*",Database!$A$3:$A$80,"*.*." &amp; "??*"),2)</f>
        <v>82.2</v>
      </c>
    </row>
    <row r="55" spans="1:11" ht="19.899999999999999" customHeight="1">
      <c r="B55" s="5">
        <v>2</v>
      </c>
      <c r="C55" s="6" t="s">
        <v>59</v>
      </c>
      <c r="D55" s="9">
        <f>COUNTIF(Database!$A$3:$A$80,"*"&amp;B55&amp;".*")</f>
        <v>36</v>
      </c>
      <c r="E55" s="53">
        <f>ROUND(AVERAGEIFS(Database!$D$3:$D$80,Database!$A$3:$A$80,"*"&amp;B55&amp;".*"),2)</f>
        <v>79.56</v>
      </c>
      <c r="F55" s="10">
        <f>_xlfn.MAXIFS(Database!$D$3:$D$80,Database!$A$3:$A$80,"*"&amp;B55&amp;".*")</f>
        <v>99</v>
      </c>
      <c r="G55" s="10">
        <f>_xlfn.MINIFS(Database!$D$3:$D$80,Database!$A$3:$A$80,"*"&amp;B55&amp;".*")</f>
        <v>61</v>
      </c>
      <c r="H55" s="9">
        <f>COUNTIFS(Database!$A$3:$A$80,"*"&amp;B55&amp;".*",Database!$D$3:$D$80,"&gt;80")</f>
        <v>19</v>
      </c>
      <c r="I55" s="9">
        <f>SUMIFS(Database!$D$3:$D$80,Database!$A$3:$A$80,"*"&amp;B55&amp;".*")</f>
        <v>2864</v>
      </c>
      <c r="J55" s="9" cm="1">
        <f t="array" ref="J55">SUM(COUNTIFS(Database!$A$3:$A$80,"*"&amp;B55&amp;".*",Database!$B$3:$B$80,{"A*";"E*";"I*";"O*";"U*"}))</f>
        <v>8</v>
      </c>
      <c r="K55" s="53">
        <f>ROUND(AVERAGEIFS(Database!$D$3:$D$80,Database!$A$3:$A$80,"*"&amp;B55&amp;".*",Database!$A$3:$A$80,"*.*." &amp; "??*"),2)</f>
        <v>74.67</v>
      </c>
    </row>
    <row r="56" spans="1:11" ht="18" customHeight="1">
      <c r="G56" s="11"/>
    </row>
    <row r="57" spans="1:11" ht="18" customHeight="1">
      <c r="G57" s="11"/>
    </row>
    <row r="58" spans="1:11" ht="18" customHeight="1">
      <c r="G58" s="12"/>
      <c r="H58" s="3"/>
    </row>
    <row r="59" spans="1:11" ht="18" customHeight="1">
      <c r="A59" s="63" t="s">
        <v>60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</row>
    <row r="60" spans="1:11" ht="18" customHeight="1">
      <c r="H60" s="8"/>
    </row>
    <row r="61" spans="1:11">
      <c r="H61" s="8"/>
    </row>
    <row r="62" spans="1:11" ht="28.9" customHeight="1"/>
    <row r="63" spans="1:11" ht="19.149999999999999" customHeight="1">
      <c r="I63" s="4"/>
    </row>
    <row r="64" spans="1:11" ht="23.45" customHeight="1"/>
  </sheetData>
  <mergeCells count="5">
    <mergeCell ref="A19:B19"/>
    <mergeCell ref="E19:F19"/>
    <mergeCell ref="A21:K21"/>
    <mergeCell ref="A40:K40"/>
    <mergeCell ref="A59:K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80"/>
  <sheetViews>
    <sheetView topLeftCell="A26" workbookViewId="0">
      <selection activeCell="C47" sqref="C47"/>
    </sheetView>
  </sheetViews>
  <sheetFormatPr defaultRowHeight="14.45"/>
  <cols>
    <col min="1" max="1" width="12.28515625" customWidth="1"/>
    <col min="2" max="2" width="14.7109375" customWidth="1"/>
    <col min="3" max="3" width="15.28515625" customWidth="1"/>
    <col min="4" max="4" width="13.42578125" customWidth="1"/>
    <col min="6" max="6" width="19.7109375" customWidth="1"/>
    <col min="7" max="7" width="10.140625" customWidth="1"/>
    <col min="8" max="8" width="27.5703125" customWidth="1"/>
    <col min="9" max="9" width="15.85546875" customWidth="1"/>
    <col min="10" max="10" width="22.28515625" customWidth="1"/>
  </cols>
  <sheetData>
    <row r="2" spans="1:8" ht="27" customHeight="1">
      <c r="A2" s="2" t="s">
        <v>7</v>
      </c>
      <c r="B2" s="2" t="s">
        <v>61</v>
      </c>
      <c r="C2" s="2" t="s">
        <v>62</v>
      </c>
      <c r="D2" s="2" t="s">
        <v>63</v>
      </c>
    </row>
    <row r="3" spans="1:8">
      <c r="A3" s="1" t="s">
        <v>18</v>
      </c>
      <c r="B3" s="1" t="s">
        <v>64</v>
      </c>
      <c r="C3" s="1" t="s">
        <v>65</v>
      </c>
      <c r="D3" s="1">
        <v>73</v>
      </c>
      <c r="G3" s="33" t="s">
        <v>7</v>
      </c>
      <c r="H3" s="30"/>
    </row>
    <row r="4" spans="1:8">
      <c r="A4" s="1" t="s">
        <v>66</v>
      </c>
      <c r="B4" s="1" t="s">
        <v>67</v>
      </c>
      <c r="C4" s="1" t="s">
        <v>65</v>
      </c>
      <c r="D4" s="1">
        <v>66</v>
      </c>
      <c r="G4" s="33" t="s">
        <v>9</v>
      </c>
      <c r="H4" s="34" t="s">
        <v>10</v>
      </c>
    </row>
    <row r="5" spans="1:8" ht="15.6">
      <c r="A5" s="1" t="s">
        <v>68</v>
      </c>
      <c r="B5" s="1" t="s">
        <v>69</v>
      </c>
      <c r="C5" s="1" t="s">
        <v>65</v>
      </c>
      <c r="D5" s="1">
        <v>99</v>
      </c>
      <c r="G5" s="31"/>
      <c r="H5" s="34" t="s">
        <v>12</v>
      </c>
    </row>
    <row r="6" spans="1:8">
      <c r="A6" s="1" t="s">
        <v>21</v>
      </c>
      <c r="B6" s="1" t="s">
        <v>70</v>
      </c>
      <c r="C6" s="1" t="s">
        <v>65</v>
      </c>
      <c r="D6" s="1">
        <v>82</v>
      </c>
      <c r="G6" s="32"/>
      <c r="H6" s="34" t="s">
        <v>14</v>
      </c>
    </row>
    <row r="7" spans="1:8">
      <c r="A7" s="1" t="s">
        <v>71</v>
      </c>
      <c r="B7" s="1" t="s">
        <v>72</v>
      </c>
      <c r="C7" s="1" t="s">
        <v>65</v>
      </c>
      <c r="D7" s="1">
        <v>93</v>
      </c>
      <c r="G7" s="33" t="s">
        <v>16</v>
      </c>
      <c r="H7" s="34"/>
    </row>
    <row r="8" spans="1:8">
      <c r="A8" s="1" t="s">
        <v>73</v>
      </c>
      <c r="B8" s="1" t="s">
        <v>74</v>
      </c>
      <c r="C8" s="1" t="s">
        <v>65</v>
      </c>
      <c r="D8" s="1">
        <v>91</v>
      </c>
      <c r="G8" s="33" t="s">
        <v>18</v>
      </c>
      <c r="H8" s="34" t="s">
        <v>19</v>
      </c>
    </row>
    <row r="9" spans="1:8">
      <c r="A9" s="1" t="s">
        <v>75</v>
      </c>
      <c r="B9" s="1" t="s">
        <v>76</v>
      </c>
      <c r="C9" s="1" t="s">
        <v>65</v>
      </c>
      <c r="D9" s="1">
        <v>72</v>
      </c>
      <c r="G9" s="33" t="s">
        <v>21</v>
      </c>
      <c r="H9" s="34" t="s">
        <v>22</v>
      </c>
    </row>
    <row r="10" spans="1:8">
      <c r="A10" s="1" t="s">
        <v>77</v>
      </c>
      <c r="B10" s="1" t="s">
        <v>78</v>
      </c>
      <c r="C10" s="1" t="s">
        <v>65</v>
      </c>
      <c r="D10" s="1">
        <v>92</v>
      </c>
      <c r="G10" s="33" t="s">
        <v>24</v>
      </c>
      <c r="H10" s="34" t="s">
        <v>25</v>
      </c>
    </row>
    <row r="11" spans="1:8">
      <c r="A11" s="1" t="s">
        <v>79</v>
      </c>
      <c r="B11" s="1" t="s">
        <v>80</v>
      </c>
      <c r="C11" s="1" t="s">
        <v>65</v>
      </c>
      <c r="D11" s="1">
        <v>62</v>
      </c>
      <c r="G11" s="33"/>
      <c r="H11" s="34"/>
    </row>
    <row r="12" spans="1:8">
      <c r="A12" s="1" t="s">
        <v>81</v>
      </c>
      <c r="B12" s="1" t="s">
        <v>72</v>
      </c>
      <c r="C12" s="1" t="s">
        <v>65</v>
      </c>
      <c r="D12" s="1">
        <v>84</v>
      </c>
    </row>
    <row r="13" spans="1:8">
      <c r="A13" s="1" t="s">
        <v>82</v>
      </c>
      <c r="B13" s="1" t="s">
        <v>83</v>
      </c>
      <c r="C13" s="1" t="s">
        <v>65</v>
      </c>
      <c r="D13" s="1">
        <v>66</v>
      </c>
    </row>
    <row r="14" spans="1:8">
      <c r="A14" s="1" t="s">
        <v>84</v>
      </c>
      <c r="B14" s="1" t="s">
        <v>85</v>
      </c>
      <c r="C14" s="1" t="s">
        <v>65</v>
      </c>
      <c r="D14" s="1">
        <v>93</v>
      </c>
    </row>
    <row r="15" spans="1:8">
      <c r="A15" s="1" t="s">
        <v>86</v>
      </c>
      <c r="B15" s="1" t="s">
        <v>87</v>
      </c>
      <c r="C15" s="1" t="s">
        <v>65</v>
      </c>
      <c r="D15" s="1">
        <v>82</v>
      </c>
    </row>
    <row r="16" spans="1:8">
      <c r="A16" s="1" t="s">
        <v>88</v>
      </c>
      <c r="B16" s="1" t="s">
        <v>89</v>
      </c>
      <c r="C16" s="1" t="s">
        <v>65</v>
      </c>
      <c r="D16" s="1">
        <v>62</v>
      </c>
    </row>
    <row r="17" spans="1:4">
      <c r="A17" s="1" t="s">
        <v>90</v>
      </c>
      <c r="B17" s="1" t="s">
        <v>91</v>
      </c>
      <c r="C17" s="1" t="s">
        <v>65</v>
      </c>
      <c r="D17" s="1">
        <v>63</v>
      </c>
    </row>
    <row r="18" spans="1:4">
      <c r="A18" s="1" t="s">
        <v>92</v>
      </c>
      <c r="B18" s="1" t="s">
        <v>93</v>
      </c>
      <c r="C18" s="1" t="s">
        <v>65</v>
      </c>
      <c r="D18" s="1">
        <v>83</v>
      </c>
    </row>
    <row r="19" spans="1:4">
      <c r="A19" s="1" t="s">
        <v>94</v>
      </c>
      <c r="B19" s="1" t="s">
        <v>95</v>
      </c>
      <c r="C19" s="1" t="s">
        <v>65</v>
      </c>
      <c r="D19" s="1">
        <v>66</v>
      </c>
    </row>
    <row r="20" spans="1:4">
      <c r="A20" s="1" t="s">
        <v>96</v>
      </c>
      <c r="B20" s="1" t="s">
        <v>97</v>
      </c>
      <c r="C20" s="1" t="s">
        <v>65</v>
      </c>
      <c r="D20" s="1">
        <v>94</v>
      </c>
    </row>
    <row r="21" spans="1:4">
      <c r="A21" s="1" t="s">
        <v>98</v>
      </c>
      <c r="B21" s="1" t="s">
        <v>99</v>
      </c>
      <c r="C21" s="1" t="s">
        <v>65</v>
      </c>
      <c r="D21" s="1">
        <v>64</v>
      </c>
    </row>
    <row r="22" spans="1:4">
      <c r="A22" s="1" t="s">
        <v>100</v>
      </c>
      <c r="B22" s="1" t="s">
        <v>64</v>
      </c>
      <c r="C22" s="1" t="s">
        <v>65</v>
      </c>
      <c r="D22" s="1">
        <v>72</v>
      </c>
    </row>
    <row r="23" spans="1:4">
      <c r="A23" s="1" t="s">
        <v>101</v>
      </c>
      <c r="B23" s="1" t="s">
        <v>102</v>
      </c>
      <c r="C23" s="1" t="s">
        <v>65</v>
      </c>
      <c r="D23" s="1">
        <v>91</v>
      </c>
    </row>
    <row r="24" spans="1:4">
      <c r="A24" s="1" t="s">
        <v>103</v>
      </c>
      <c r="B24" s="1" t="s">
        <v>104</v>
      </c>
      <c r="C24" s="1" t="s">
        <v>65</v>
      </c>
      <c r="D24" s="1">
        <v>86</v>
      </c>
    </row>
    <row r="25" spans="1:4">
      <c r="A25" s="1" t="s">
        <v>105</v>
      </c>
      <c r="B25" s="1" t="s">
        <v>106</v>
      </c>
      <c r="C25" s="1" t="s">
        <v>65</v>
      </c>
      <c r="D25" s="1">
        <v>95</v>
      </c>
    </row>
    <row r="26" spans="1:4">
      <c r="A26" s="1" t="s">
        <v>107</v>
      </c>
      <c r="B26" s="1" t="s">
        <v>108</v>
      </c>
      <c r="C26" s="1" t="s">
        <v>65</v>
      </c>
      <c r="D26" s="1">
        <v>64</v>
      </c>
    </row>
    <row r="27" spans="1:4">
      <c r="A27" s="1" t="s">
        <v>109</v>
      </c>
      <c r="B27" s="1" t="s">
        <v>110</v>
      </c>
      <c r="C27" s="1" t="s">
        <v>65</v>
      </c>
      <c r="D27" s="1">
        <v>65</v>
      </c>
    </row>
    <row r="28" spans="1:4">
      <c r="A28" s="1" t="s">
        <v>111</v>
      </c>
      <c r="B28" s="1" t="s">
        <v>112</v>
      </c>
      <c r="C28" s="1" t="s">
        <v>65</v>
      </c>
      <c r="D28" s="1">
        <v>77</v>
      </c>
    </row>
    <row r="29" spans="1:4">
      <c r="A29" s="1" t="s">
        <v>113</v>
      </c>
      <c r="B29" s="1" t="s">
        <v>114</v>
      </c>
      <c r="C29" s="1" t="s">
        <v>65</v>
      </c>
      <c r="D29" s="1">
        <v>68</v>
      </c>
    </row>
    <row r="30" spans="1:4">
      <c r="A30" s="1" t="s">
        <v>115</v>
      </c>
      <c r="B30" s="1" t="s">
        <v>116</v>
      </c>
      <c r="C30" s="1" t="s">
        <v>65</v>
      </c>
      <c r="D30" s="1">
        <v>99</v>
      </c>
    </row>
    <row r="31" spans="1:4">
      <c r="A31" s="1" t="s">
        <v>117</v>
      </c>
      <c r="B31" s="1" t="s">
        <v>118</v>
      </c>
      <c r="C31" s="1" t="s">
        <v>65</v>
      </c>
      <c r="D31" s="1">
        <v>98</v>
      </c>
    </row>
    <row r="32" spans="1:4">
      <c r="A32" s="1" t="s">
        <v>119</v>
      </c>
      <c r="B32" s="1" t="s">
        <v>120</v>
      </c>
      <c r="C32" s="1" t="s">
        <v>65</v>
      </c>
      <c r="D32" s="1">
        <v>86</v>
      </c>
    </row>
    <row r="33" spans="1:4">
      <c r="A33" s="1" t="s">
        <v>121</v>
      </c>
      <c r="B33" s="1" t="s">
        <v>122</v>
      </c>
      <c r="C33" s="1" t="s">
        <v>65</v>
      </c>
      <c r="D33" s="1">
        <v>96</v>
      </c>
    </row>
    <row r="34" spans="1:4">
      <c r="A34" s="1" t="s">
        <v>123</v>
      </c>
      <c r="B34" s="1" t="s">
        <v>124</v>
      </c>
      <c r="C34" s="1" t="s">
        <v>65</v>
      </c>
      <c r="D34" s="1">
        <v>97</v>
      </c>
    </row>
    <row r="35" spans="1:4">
      <c r="A35" s="1" t="s">
        <v>125</v>
      </c>
      <c r="B35" s="1" t="s">
        <v>126</v>
      </c>
      <c r="C35" s="1" t="s">
        <v>65</v>
      </c>
      <c r="D35" s="1">
        <v>63</v>
      </c>
    </row>
    <row r="36" spans="1:4">
      <c r="A36" s="1" t="s">
        <v>127</v>
      </c>
      <c r="B36" s="1" t="s">
        <v>128</v>
      </c>
      <c r="C36" s="1" t="s">
        <v>65</v>
      </c>
      <c r="D36" s="1">
        <v>73</v>
      </c>
    </row>
    <row r="37" spans="1:4">
      <c r="A37" s="1" t="s">
        <v>129</v>
      </c>
      <c r="B37" s="1" t="s">
        <v>130</v>
      </c>
      <c r="C37" s="1" t="s">
        <v>65</v>
      </c>
      <c r="D37" s="1">
        <v>65</v>
      </c>
    </row>
    <row r="38" spans="1:4">
      <c r="A38" s="1" t="s">
        <v>131</v>
      </c>
      <c r="B38" s="1" t="s">
        <v>132</v>
      </c>
      <c r="C38" s="1" t="s">
        <v>65</v>
      </c>
      <c r="D38" s="1">
        <v>71</v>
      </c>
    </row>
    <row r="39" spans="1:4">
      <c r="A39" s="1" t="s">
        <v>133</v>
      </c>
      <c r="B39" s="1" t="s">
        <v>134</v>
      </c>
      <c r="C39" s="1" t="s">
        <v>65</v>
      </c>
      <c r="D39" s="1">
        <v>95</v>
      </c>
    </row>
    <row r="40" spans="1:4">
      <c r="A40" s="1" t="s">
        <v>135</v>
      </c>
      <c r="B40" s="1" t="s">
        <v>136</v>
      </c>
      <c r="C40" s="1" t="s">
        <v>65</v>
      </c>
      <c r="D40" s="1">
        <v>93</v>
      </c>
    </row>
    <row r="41" spans="1:4">
      <c r="A41" s="1" t="s">
        <v>137</v>
      </c>
      <c r="B41" s="1" t="s">
        <v>138</v>
      </c>
      <c r="C41" s="1" t="s">
        <v>65</v>
      </c>
      <c r="D41" s="1">
        <v>64</v>
      </c>
    </row>
    <row r="42" spans="1:4">
      <c r="A42" s="1" t="s">
        <v>139</v>
      </c>
      <c r="B42" s="1" t="s">
        <v>140</v>
      </c>
      <c r="C42" s="1" t="s">
        <v>65</v>
      </c>
      <c r="D42" s="1">
        <v>97</v>
      </c>
    </row>
    <row r="43" spans="1:4">
      <c r="A43" s="1" t="s">
        <v>141</v>
      </c>
      <c r="B43" s="1" t="s">
        <v>142</v>
      </c>
      <c r="C43" s="1" t="s">
        <v>65</v>
      </c>
      <c r="D43" s="1">
        <v>80</v>
      </c>
    </row>
    <row r="44" spans="1:4">
      <c r="A44" s="1" t="s">
        <v>143</v>
      </c>
      <c r="B44" s="1" t="s">
        <v>144</v>
      </c>
      <c r="C44" s="1" t="s">
        <v>65</v>
      </c>
      <c r="D44" s="1">
        <v>82</v>
      </c>
    </row>
    <row r="45" spans="1:4">
      <c r="A45" s="1" t="s">
        <v>145</v>
      </c>
      <c r="B45" s="1" t="s">
        <v>146</v>
      </c>
      <c r="C45" s="1" t="s">
        <v>65</v>
      </c>
      <c r="D45" s="1">
        <v>73</v>
      </c>
    </row>
    <row r="46" spans="1:4">
      <c r="A46" s="1" t="s">
        <v>147</v>
      </c>
      <c r="B46" s="1" t="s">
        <v>148</v>
      </c>
      <c r="C46" s="1" t="s">
        <v>65</v>
      </c>
      <c r="D46" s="1">
        <v>95</v>
      </c>
    </row>
    <row r="47" spans="1:4">
      <c r="A47" s="1" t="s">
        <v>149</v>
      </c>
      <c r="B47" s="1" t="s">
        <v>150</v>
      </c>
      <c r="C47" s="1" t="s">
        <v>65</v>
      </c>
      <c r="D47" s="1">
        <v>88</v>
      </c>
    </row>
    <row r="48" spans="1:4">
      <c r="A48" s="1" t="s">
        <v>151</v>
      </c>
      <c r="B48" s="1" t="s">
        <v>152</v>
      </c>
      <c r="C48" s="1" t="s">
        <v>65</v>
      </c>
      <c r="D48" s="1">
        <v>64</v>
      </c>
    </row>
    <row r="49" spans="1:4">
      <c r="A49" s="1" t="s">
        <v>153</v>
      </c>
      <c r="B49" s="1" t="s">
        <v>154</v>
      </c>
      <c r="C49" s="1" t="s">
        <v>65</v>
      </c>
      <c r="D49" s="1">
        <v>86</v>
      </c>
    </row>
    <row r="50" spans="1:4">
      <c r="A50" s="1" t="s">
        <v>155</v>
      </c>
      <c r="B50" s="1" t="s">
        <v>156</v>
      </c>
      <c r="C50" s="1" t="s">
        <v>65</v>
      </c>
      <c r="D50" s="1">
        <v>88</v>
      </c>
    </row>
    <row r="51" spans="1:4">
      <c r="A51" s="1" t="s">
        <v>157</v>
      </c>
      <c r="B51" s="1" t="s">
        <v>158</v>
      </c>
      <c r="C51" s="1" t="s">
        <v>65</v>
      </c>
      <c r="D51" s="1">
        <v>64</v>
      </c>
    </row>
    <row r="52" spans="1:4">
      <c r="A52" s="1" t="s">
        <v>159</v>
      </c>
      <c r="B52" s="1" t="s">
        <v>160</v>
      </c>
      <c r="C52" s="1" t="s">
        <v>65</v>
      </c>
      <c r="D52" s="1">
        <v>96</v>
      </c>
    </row>
    <row r="53" spans="1:4">
      <c r="A53" s="1" t="s">
        <v>161</v>
      </c>
      <c r="B53" s="1" t="s">
        <v>162</v>
      </c>
      <c r="C53" s="1" t="s">
        <v>65</v>
      </c>
      <c r="D53" s="1">
        <v>93</v>
      </c>
    </row>
    <row r="54" spans="1:4">
      <c r="A54" s="1" t="s">
        <v>163</v>
      </c>
      <c r="B54" s="1" t="s">
        <v>164</v>
      </c>
      <c r="C54" s="1" t="s">
        <v>65</v>
      </c>
      <c r="D54" s="1">
        <v>84</v>
      </c>
    </row>
    <row r="55" spans="1:4">
      <c r="A55" s="1" t="s">
        <v>165</v>
      </c>
      <c r="B55" s="1" t="s">
        <v>166</v>
      </c>
      <c r="C55" s="1" t="s">
        <v>65</v>
      </c>
      <c r="D55" s="1">
        <v>75</v>
      </c>
    </row>
    <row r="56" spans="1:4">
      <c r="A56" s="1" t="s">
        <v>167</v>
      </c>
      <c r="B56" s="1" t="s">
        <v>168</v>
      </c>
      <c r="C56" s="1" t="s">
        <v>65</v>
      </c>
      <c r="D56" s="1">
        <v>82</v>
      </c>
    </row>
    <row r="57" spans="1:4">
      <c r="A57" s="1" t="s">
        <v>169</v>
      </c>
      <c r="B57" s="1" t="s">
        <v>170</v>
      </c>
      <c r="C57" s="1" t="s">
        <v>65</v>
      </c>
      <c r="D57" s="1">
        <v>67</v>
      </c>
    </row>
    <row r="58" spans="1:4">
      <c r="A58" s="1" t="s">
        <v>171</v>
      </c>
      <c r="B58" s="1" t="s">
        <v>172</v>
      </c>
      <c r="C58" s="1" t="s">
        <v>65</v>
      </c>
      <c r="D58" s="1">
        <v>79</v>
      </c>
    </row>
    <row r="59" spans="1:4">
      <c r="A59" s="1" t="s">
        <v>173</v>
      </c>
      <c r="B59" s="1" t="s">
        <v>174</v>
      </c>
      <c r="C59" s="1" t="s">
        <v>65</v>
      </c>
      <c r="D59" s="1">
        <v>87</v>
      </c>
    </row>
    <row r="60" spans="1:4">
      <c r="A60" s="1" t="s">
        <v>175</v>
      </c>
      <c r="B60" s="1" t="s">
        <v>176</v>
      </c>
      <c r="C60" s="1" t="s">
        <v>65</v>
      </c>
      <c r="D60" s="1">
        <v>75</v>
      </c>
    </row>
    <row r="61" spans="1:4">
      <c r="A61" s="1" t="s">
        <v>177</v>
      </c>
      <c r="B61" s="1" t="s">
        <v>178</v>
      </c>
      <c r="C61" s="1" t="s">
        <v>65</v>
      </c>
      <c r="D61" s="1">
        <v>62</v>
      </c>
    </row>
    <row r="62" spans="1:4">
      <c r="A62" s="1" t="s">
        <v>179</v>
      </c>
      <c r="B62" s="1" t="s">
        <v>180</v>
      </c>
      <c r="C62" s="1" t="s">
        <v>65</v>
      </c>
      <c r="D62" s="1">
        <v>94</v>
      </c>
    </row>
    <row r="63" spans="1:4">
      <c r="A63" s="1" t="s">
        <v>181</v>
      </c>
      <c r="B63" s="1" t="s">
        <v>182</v>
      </c>
      <c r="C63" s="1" t="s">
        <v>65</v>
      </c>
      <c r="D63" s="1">
        <v>82</v>
      </c>
    </row>
    <row r="64" spans="1:4">
      <c r="A64" s="1" t="s">
        <v>183</v>
      </c>
      <c r="B64" s="1" t="s">
        <v>184</v>
      </c>
      <c r="C64" s="1" t="s">
        <v>65</v>
      </c>
      <c r="D64" s="1">
        <v>78</v>
      </c>
    </row>
    <row r="65" spans="1:4">
      <c r="A65" s="1" t="s">
        <v>185</v>
      </c>
      <c r="B65" s="1" t="s">
        <v>186</v>
      </c>
      <c r="C65" s="1" t="s">
        <v>65</v>
      </c>
      <c r="D65" s="1">
        <v>73</v>
      </c>
    </row>
    <row r="66" spans="1:4">
      <c r="A66" s="1" t="s">
        <v>187</v>
      </c>
      <c r="B66" s="1" t="s">
        <v>188</v>
      </c>
      <c r="C66" s="1" t="s">
        <v>65</v>
      </c>
      <c r="D66" s="1">
        <v>99</v>
      </c>
    </row>
    <row r="67" spans="1:4">
      <c r="A67" s="1" t="s">
        <v>189</v>
      </c>
      <c r="B67" s="1" t="s">
        <v>190</v>
      </c>
      <c r="C67" s="1" t="s">
        <v>65</v>
      </c>
      <c r="D67" s="1">
        <v>66</v>
      </c>
    </row>
    <row r="68" spans="1:4">
      <c r="A68" s="1" t="s">
        <v>24</v>
      </c>
      <c r="B68" s="1" t="s">
        <v>191</v>
      </c>
      <c r="C68" s="1" t="s">
        <v>65</v>
      </c>
      <c r="D68" s="1">
        <v>87</v>
      </c>
    </row>
    <row r="69" spans="1:4">
      <c r="A69" s="1" t="s">
        <v>192</v>
      </c>
      <c r="B69" s="1" t="s">
        <v>193</v>
      </c>
      <c r="C69" s="1" t="s">
        <v>65</v>
      </c>
      <c r="D69" s="1">
        <v>84</v>
      </c>
    </row>
    <row r="70" spans="1:4">
      <c r="A70" s="1" t="s">
        <v>194</v>
      </c>
      <c r="B70" s="1" t="s">
        <v>195</v>
      </c>
      <c r="C70" s="1" t="s">
        <v>65</v>
      </c>
      <c r="D70" s="1">
        <v>88</v>
      </c>
    </row>
    <row r="71" spans="1:4">
      <c r="A71" s="1" t="s">
        <v>196</v>
      </c>
      <c r="B71" s="1" t="s">
        <v>197</v>
      </c>
      <c r="C71" s="1" t="s">
        <v>65</v>
      </c>
      <c r="D71" s="1">
        <v>83</v>
      </c>
    </row>
    <row r="72" spans="1:4">
      <c r="A72" s="1" t="s">
        <v>198</v>
      </c>
      <c r="B72" s="1" t="s">
        <v>199</v>
      </c>
      <c r="C72" s="1" t="s">
        <v>65</v>
      </c>
      <c r="D72" s="1">
        <v>90</v>
      </c>
    </row>
    <row r="73" spans="1:4">
      <c r="A73" s="1" t="s">
        <v>200</v>
      </c>
      <c r="B73" s="1" t="s">
        <v>201</v>
      </c>
      <c r="C73" s="1" t="s">
        <v>65</v>
      </c>
      <c r="D73" s="1">
        <v>64</v>
      </c>
    </row>
    <row r="74" spans="1:4">
      <c r="A74" s="1" t="s">
        <v>202</v>
      </c>
      <c r="B74" s="1" t="s">
        <v>203</v>
      </c>
      <c r="C74" s="1" t="s">
        <v>65</v>
      </c>
      <c r="D74" s="1">
        <v>61</v>
      </c>
    </row>
    <row r="75" spans="1:4">
      <c r="A75" s="1" t="s">
        <v>204</v>
      </c>
      <c r="B75" s="1" t="s">
        <v>205</v>
      </c>
      <c r="C75" s="1" t="s">
        <v>65</v>
      </c>
      <c r="D75" s="1">
        <v>82</v>
      </c>
    </row>
    <row r="76" spans="1:4">
      <c r="A76" s="1" t="s">
        <v>206</v>
      </c>
      <c r="B76" s="1" t="s">
        <v>207</v>
      </c>
      <c r="C76" s="1" t="s">
        <v>65</v>
      </c>
      <c r="D76" s="1">
        <v>100</v>
      </c>
    </row>
    <row r="77" spans="1:4">
      <c r="A77" s="1" t="s">
        <v>208</v>
      </c>
      <c r="B77" s="1" t="s">
        <v>209</v>
      </c>
      <c r="C77" s="1" t="s">
        <v>65</v>
      </c>
      <c r="D77" s="1">
        <v>97</v>
      </c>
    </row>
    <row r="78" spans="1:4">
      <c r="A78" s="1" t="s">
        <v>210</v>
      </c>
      <c r="B78" s="1" t="s">
        <v>172</v>
      </c>
      <c r="C78" s="1" t="s">
        <v>65</v>
      </c>
      <c r="D78" s="1">
        <v>62</v>
      </c>
    </row>
    <row r="79" spans="1:4">
      <c r="A79" s="1" t="s">
        <v>211</v>
      </c>
      <c r="B79" s="1" t="s">
        <v>180</v>
      </c>
      <c r="C79" s="1" t="s">
        <v>65</v>
      </c>
      <c r="D79" s="1">
        <v>83</v>
      </c>
    </row>
    <row r="80" spans="1:4">
      <c r="A80" s="1" t="s">
        <v>212</v>
      </c>
      <c r="B80" s="1" t="s">
        <v>213</v>
      </c>
      <c r="C80" s="1" t="s">
        <v>65</v>
      </c>
      <c r="D80" s="1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AC14-5653-4BC9-80DA-FE61D0D3145B}">
  <sheetPr codeName="Sheet3"/>
  <dimension ref="B1:P32"/>
  <sheetViews>
    <sheetView showGridLines="0" workbookViewId="0">
      <selection activeCell="P23" sqref="P23"/>
    </sheetView>
  </sheetViews>
  <sheetFormatPr defaultColWidth="8.85546875" defaultRowHeight="14.45"/>
  <cols>
    <col min="1" max="1" width="5.7109375" style="36" customWidth="1"/>
    <col min="2" max="2" width="10" style="36" customWidth="1"/>
    <col min="3" max="6" width="8.85546875" style="36"/>
    <col min="7" max="8" width="4.28515625" style="36" customWidth="1"/>
    <col min="9" max="9" width="8.85546875" style="36"/>
    <col min="10" max="10" width="10.42578125" style="36" customWidth="1"/>
    <col min="11" max="11" width="9.28515625" style="36" customWidth="1"/>
    <col min="12" max="13" width="8.85546875" style="36"/>
    <col min="14" max="14" width="26.42578125" style="36" customWidth="1"/>
    <col min="15" max="16384" width="8.85546875" style="36"/>
  </cols>
  <sheetData>
    <row r="1" spans="7:16">
      <c r="H1" s="37"/>
      <c r="I1" s="37"/>
      <c r="J1" s="37"/>
      <c r="K1" s="37"/>
      <c r="L1" s="37"/>
      <c r="M1" s="37"/>
      <c r="N1" s="37"/>
      <c r="O1" s="37"/>
      <c r="P1" s="37"/>
    </row>
    <row r="2" spans="7:16">
      <c r="H2" s="37"/>
      <c r="I2" s="37"/>
      <c r="J2" s="37"/>
      <c r="K2" s="37"/>
      <c r="L2" s="37"/>
      <c r="M2" s="37"/>
      <c r="N2" s="37"/>
      <c r="O2" s="37"/>
      <c r="P2" s="37"/>
    </row>
    <row r="3" spans="7:16">
      <c r="G3" s="38"/>
      <c r="H3" s="39"/>
      <c r="I3" s="37"/>
      <c r="J3" s="37"/>
      <c r="K3" s="37"/>
      <c r="L3" s="37"/>
      <c r="M3" s="37"/>
      <c r="N3" s="37"/>
      <c r="O3" s="37"/>
      <c r="P3" s="37"/>
    </row>
    <row r="4" spans="7:16">
      <c r="G4" s="38"/>
      <c r="H4" s="39"/>
      <c r="I4" s="37"/>
      <c r="J4" s="37"/>
      <c r="K4" s="37"/>
      <c r="L4" s="37"/>
      <c r="M4" s="37"/>
      <c r="N4" s="37"/>
      <c r="O4" s="37"/>
      <c r="P4" s="37"/>
    </row>
    <row r="5" spans="7:16">
      <c r="G5" s="38"/>
      <c r="H5" s="39"/>
      <c r="I5" s="37"/>
      <c r="J5" s="37"/>
      <c r="K5" s="37"/>
      <c r="L5" s="37"/>
      <c r="M5" s="37"/>
      <c r="N5" s="37"/>
      <c r="O5" s="37"/>
      <c r="P5" s="37"/>
    </row>
    <row r="6" spans="7:16">
      <c r="G6" s="38"/>
      <c r="H6" s="39"/>
      <c r="I6" s="37" t="s">
        <v>214</v>
      </c>
      <c r="J6" s="37"/>
      <c r="K6" s="37"/>
      <c r="L6" s="37"/>
      <c r="M6" s="37"/>
      <c r="N6" s="37"/>
      <c r="O6" s="37"/>
      <c r="P6" s="37"/>
    </row>
    <row r="7" spans="7:16">
      <c r="G7" s="38"/>
      <c r="H7" s="39"/>
      <c r="I7" s="37" t="s">
        <v>215</v>
      </c>
      <c r="J7" s="37"/>
      <c r="K7" s="37"/>
      <c r="L7" s="37"/>
      <c r="M7" s="37"/>
      <c r="N7" s="37"/>
      <c r="O7" s="37"/>
      <c r="P7" s="37"/>
    </row>
    <row r="8" spans="7:16">
      <c r="G8" s="38"/>
      <c r="H8" s="39"/>
      <c r="I8" s="37"/>
      <c r="J8" s="37"/>
      <c r="K8" s="37"/>
      <c r="L8" s="37"/>
      <c r="M8" s="37"/>
      <c r="N8" s="37"/>
      <c r="O8" s="37"/>
      <c r="P8" s="37"/>
    </row>
    <row r="9" spans="7:16">
      <c r="G9" s="38"/>
      <c r="H9" s="39"/>
      <c r="I9" s="37"/>
      <c r="J9" s="37"/>
      <c r="K9" s="37"/>
      <c r="L9" s="37"/>
      <c r="M9" s="37"/>
      <c r="N9" s="37"/>
      <c r="O9" s="37"/>
      <c r="P9" s="37"/>
    </row>
    <row r="10" spans="7:16">
      <c r="G10" s="38"/>
      <c r="H10" s="39"/>
      <c r="I10" s="37" t="s">
        <v>216</v>
      </c>
      <c r="J10" s="37"/>
      <c r="K10" s="37"/>
      <c r="L10" s="37"/>
      <c r="M10" s="37"/>
      <c r="N10" s="37"/>
      <c r="O10" s="37"/>
      <c r="P10" s="37"/>
    </row>
    <row r="11" spans="7:16">
      <c r="G11" s="38"/>
      <c r="H11" s="39"/>
      <c r="I11" s="37"/>
      <c r="J11" s="37"/>
      <c r="K11" s="37"/>
      <c r="L11" s="37"/>
      <c r="M11" s="37"/>
      <c r="N11" s="37"/>
      <c r="O11" s="37"/>
      <c r="P11" s="37"/>
    </row>
    <row r="12" spans="7:16">
      <c r="G12" s="38"/>
      <c r="H12" s="39"/>
      <c r="I12" s="40"/>
      <c r="J12" s="65" t="s">
        <v>217</v>
      </c>
      <c r="K12" s="65"/>
      <c r="L12" s="64" t="s">
        <v>218</v>
      </c>
      <c r="M12" s="64"/>
      <c r="N12" s="37"/>
      <c r="O12" s="37"/>
      <c r="P12" s="37"/>
    </row>
    <row r="13" spans="7:16">
      <c r="G13" s="38"/>
      <c r="H13" s="39"/>
      <c r="I13" s="40"/>
      <c r="J13" s="65" t="s">
        <v>219</v>
      </c>
      <c r="K13" s="65"/>
      <c r="L13" s="54" t="s">
        <v>220</v>
      </c>
      <c r="M13" s="54"/>
      <c r="N13" s="37"/>
      <c r="O13" s="37"/>
      <c r="P13" s="37"/>
    </row>
    <row r="14" spans="7:16">
      <c r="G14" s="38"/>
      <c r="H14" s="39"/>
      <c r="I14" s="40"/>
      <c r="J14" s="65" t="s">
        <v>221</v>
      </c>
      <c r="K14" s="65"/>
      <c r="L14" s="54" t="s">
        <v>222</v>
      </c>
      <c r="M14" s="41"/>
      <c r="N14" s="37"/>
      <c r="O14" s="37"/>
      <c r="P14" s="37"/>
    </row>
    <row r="15" spans="7:16">
      <c r="G15" s="38"/>
      <c r="H15" s="39"/>
      <c r="I15" s="40"/>
      <c r="J15" s="65" t="s">
        <v>223</v>
      </c>
      <c r="K15" s="65"/>
      <c r="L15" s="54" t="s">
        <v>224</v>
      </c>
      <c r="M15" s="41"/>
      <c r="N15" s="37"/>
      <c r="O15" s="37"/>
      <c r="P15" s="37"/>
    </row>
    <row r="16" spans="7:16">
      <c r="G16" s="38"/>
      <c r="H16" s="39"/>
      <c r="I16" s="40"/>
      <c r="J16" s="65" t="s">
        <v>225</v>
      </c>
      <c r="K16" s="65"/>
      <c r="L16" s="54" t="s">
        <v>226</v>
      </c>
      <c r="M16" s="41"/>
      <c r="N16" s="37"/>
      <c r="O16" s="37"/>
      <c r="P16" s="37"/>
    </row>
    <row r="17" spans="2:16" ht="54.6" customHeight="1">
      <c r="B17" s="66" t="s">
        <v>227</v>
      </c>
      <c r="C17" s="66"/>
      <c r="D17" s="66"/>
      <c r="E17" s="66"/>
      <c r="F17" s="67"/>
      <c r="G17" s="42"/>
      <c r="H17" s="39"/>
      <c r="I17" s="37" t="s">
        <v>228</v>
      </c>
      <c r="J17" s="37"/>
      <c r="K17" s="37"/>
      <c r="L17" s="37"/>
      <c r="M17" s="37"/>
      <c r="N17" s="37"/>
      <c r="O17" s="37"/>
      <c r="P17" s="37"/>
    </row>
    <row r="18" spans="2:16" ht="54.6" customHeight="1">
      <c r="B18" s="68" t="s">
        <v>229</v>
      </c>
      <c r="C18" s="68"/>
      <c r="D18" s="68"/>
      <c r="E18" s="68"/>
      <c r="F18" s="69"/>
      <c r="G18" s="43"/>
      <c r="H18" s="39"/>
      <c r="I18" s="44" t="s">
        <v>230</v>
      </c>
      <c r="J18" s="37"/>
      <c r="K18" s="37"/>
      <c r="L18" s="37"/>
      <c r="M18" s="37"/>
      <c r="N18" s="37"/>
      <c r="O18" s="37"/>
      <c r="P18" s="37"/>
    </row>
    <row r="19" spans="2:16">
      <c r="B19" s="45" t="s">
        <v>231</v>
      </c>
      <c r="H19" s="37"/>
      <c r="J19" s="37"/>
      <c r="K19" s="37"/>
      <c r="L19" s="37"/>
      <c r="M19" s="37"/>
      <c r="N19" s="37"/>
      <c r="O19" s="37"/>
      <c r="P19" s="37"/>
    </row>
    <row r="20" spans="2:16">
      <c r="B20" s="46" t="s">
        <v>232</v>
      </c>
      <c r="C20" s="4" t="s">
        <v>233</v>
      </c>
      <c r="H20" s="37"/>
      <c r="J20" s="37"/>
      <c r="K20" s="37"/>
      <c r="L20" s="37"/>
      <c r="M20" s="37"/>
      <c r="N20" s="37"/>
      <c r="O20" s="37"/>
      <c r="P20" s="37"/>
    </row>
    <row r="21" spans="2:16">
      <c r="B21" s="47" t="s">
        <v>234</v>
      </c>
      <c r="C21" s="4" t="s">
        <v>235</v>
      </c>
      <c r="H21" s="37"/>
      <c r="I21" s="37"/>
      <c r="J21" s="37"/>
      <c r="K21" s="37"/>
      <c r="L21" s="37"/>
      <c r="M21" s="37"/>
      <c r="N21" s="37"/>
      <c r="O21" s="37"/>
      <c r="P21" s="37"/>
    </row>
    <row r="22" spans="2:16">
      <c r="H22" s="37"/>
      <c r="I22" s="37"/>
      <c r="J22" s="37"/>
      <c r="K22" s="37"/>
      <c r="L22" s="37"/>
      <c r="M22" s="37"/>
      <c r="N22" s="37"/>
      <c r="O22" s="37"/>
      <c r="P22" s="37"/>
    </row>
    <row r="23" spans="2:16">
      <c r="N23" s="37"/>
      <c r="O23" s="37"/>
      <c r="P23" s="37"/>
    </row>
    <row r="24" spans="2:16">
      <c r="N24" s="37"/>
      <c r="O24" s="37"/>
      <c r="P24" s="37"/>
    </row>
    <row r="25" spans="2:16">
      <c r="B25" s="70"/>
      <c r="C25" s="63"/>
      <c r="D25" s="63"/>
      <c r="E25" s="63"/>
      <c r="F25" s="63"/>
      <c r="G25" s="63"/>
      <c r="H25" s="63"/>
      <c r="I25" s="63"/>
      <c r="N25" s="37"/>
      <c r="O25" s="37"/>
      <c r="P25" s="37"/>
    </row>
    <row r="26" spans="2:16">
      <c r="B26" s="48"/>
      <c r="C26" s="49"/>
      <c r="D26" s="48"/>
      <c r="E26" s="48"/>
      <c r="F26" s="48"/>
      <c r="G26" s="48"/>
      <c r="H26" s="48"/>
      <c r="I26" s="48"/>
    </row>
    <row r="27" spans="2:16">
      <c r="B27" s="48"/>
      <c r="C27" s="48"/>
      <c r="D27" s="50" t="s">
        <v>236</v>
      </c>
      <c r="E27" s="48"/>
      <c r="F27" s="48"/>
      <c r="G27" s="48"/>
      <c r="H27" s="48"/>
      <c r="I27" s="48"/>
    </row>
    <row r="28" spans="2:16">
      <c r="B28" s="48"/>
      <c r="C28" s="48"/>
      <c r="D28" s="51" t="s">
        <v>237</v>
      </c>
      <c r="E28" s="48"/>
      <c r="F28" s="48"/>
      <c r="G28" s="48"/>
      <c r="H28" s="48"/>
      <c r="I28" s="48"/>
    </row>
    <row r="29" spans="2:16">
      <c r="B29" s="48"/>
      <c r="C29" s="48"/>
      <c r="D29" s="52" t="s">
        <v>238</v>
      </c>
      <c r="E29" s="48"/>
      <c r="F29" s="48"/>
      <c r="G29" s="48"/>
      <c r="H29" s="48"/>
      <c r="I29" s="48"/>
    </row>
    <row r="30" spans="2:16">
      <c r="B30" s="48"/>
      <c r="C30" s="48"/>
      <c r="D30" s="48"/>
      <c r="E30" s="48"/>
      <c r="F30" s="48"/>
      <c r="G30" s="48"/>
      <c r="H30" s="48"/>
      <c r="I30" s="48"/>
    </row>
    <row r="31" spans="2:16">
      <c r="B31" s="48"/>
      <c r="C31" s="48"/>
      <c r="D31" s="48"/>
      <c r="E31" s="48"/>
      <c r="F31" s="48"/>
      <c r="G31" s="48"/>
      <c r="H31" s="48"/>
      <c r="I31" s="48"/>
    </row>
    <row r="32" spans="2:16">
      <c r="B32" s="70"/>
      <c r="C32" s="63"/>
      <c r="D32" s="63"/>
      <c r="E32" s="63"/>
      <c r="F32" s="63"/>
      <c r="G32" s="63"/>
      <c r="H32" s="63"/>
      <c r="I32" s="63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82E96936-7482-4D21-9B97-76C5F882EFE8}"/>
    <hyperlink ref="C21" r:id="rId2" xr:uid="{FF252B31-B260-4FD6-82CB-F36934527543}"/>
    <hyperlink ref="C20" r:id="rId3" xr:uid="{56122D62-7F71-4473-9F29-F133163066E4}"/>
    <hyperlink ref="D29" r:id="rId4" xr:uid="{E2B87285-61A4-40BF-A6FA-D38A96803B03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23D6-DE74-4D29-95F7-5C2452407238}">
  <sheetPr codeName="Sheet4"/>
  <dimension ref="A1:X59"/>
  <sheetViews>
    <sheetView topLeftCell="A13" workbookViewId="0">
      <selection activeCell="I22" sqref="I22"/>
    </sheetView>
  </sheetViews>
  <sheetFormatPr defaultRowHeight="14.45"/>
  <cols>
    <col min="2" max="2" width="13.42578125" customWidth="1"/>
    <col min="3" max="3" width="13.140625" customWidth="1"/>
    <col min="4" max="5" width="11.28515625" customWidth="1"/>
    <col min="6" max="6" width="11.7109375" customWidth="1"/>
    <col min="7" max="7" width="10.85546875" customWidth="1"/>
    <col min="8" max="8" width="12.140625" customWidth="1"/>
    <col min="17" max="17" width="64.7109375" customWidth="1"/>
    <col min="18" max="18" width="7.7109375" customWidth="1"/>
  </cols>
  <sheetData>
    <row r="1" spans="1:24">
      <c r="A1" t="s">
        <v>239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P1">
        <v>1</v>
      </c>
      <c r="Q1" t="str">
        <f ca="1">SUBSTITUTE(_xlfn.FORMULATEXT('XL-Test'!D45),"$","")</f>
        <v>=COUNTIF(Database!A3:A80;"*"&amp;B45&amp;".*")</v>
      </c>
      <c r="R1" t="str">
        <f ca="1">SUBSTITUTE(_xlfn.FORMULATEXT('XL-Test'!E45),"$","")</f>
        <v>=ROUND(AVERAGEIFS(Database!D3:D80;Database!A3:A80;"*"&amp;B45&amp;".*");2)</v>
      </c>
      <c r="S1" t="str">
        <f ca="1">SUBSTITUTE(_xlfn.FORMULATEXT('XL-Test'!F45),"$","")</f>
        <v>=MAXIFS(Database!D3:D80;Database!A3:A80;"*"&amp;B45&amp;".*")</v>
      </c>
      <c r="T1" t="str">
        <f ca="1">SUBSTITUTE(_xlfn.FORMULATEXT('XL-Test'!G45),"$","")</f>
        <v>=MINIFS(Database!D3:D80;Database!A3:A80;"*"&amp;B45&amp;".*")</v>
      </c>
      <c r="U1" t="str">
        <f ca="1">SUBSTITUTE(_xlfn.FORMULATEXT('XL-Test'!H45),"$","")</f>
        <v>=COUNTIFS(Database!A3:A80;"*"&amp;B45&amp;".*";Database!D3:D80;"&gt;80")</v>
      </c>
      <c r="V1" t="str">
        <f ca="1">SUBSTITUTE(_xlfn.FORMULATEXT('XL-Test'!I45),"$","")</f>
        <v>=SUMIFS(Database!D3:D80;Database!A3:A80;"*"&amp;B45&amp;".*")</v>
      </c>
      <c r="W1" t="str">
        <f ca="1">SUBSTITUTE(_xlfn.FORMULATEXT('XL-Test'!J45),"$","")</f>
        <v>=SUM(COUNTIFS(Database!A3:A80;"*"&amp;B45&amp;".*";Database!B3:B80;{"A*";"E*";"I*";"O*";"U*"}))</v>
      </c>
      <c r="X1" t="str">
        <f ca="1">SUBSTITUTE(_xlfn.FORMULATEXT('XL-Test'!K45),"$","")</f>
        <v>=ROUND(AVERAGEIFS(Database!D3:D80;Database!A3:A80;"*"&amp;B45&amp;".*";Database!A3:A80;"*.*." &amp; "??*");2)</v>
      </c>
    </row>
    <row r="2" spans="1:24">
      <c r="A2" t="s">
        <v>240</v>
      </c>
      <c r="B2">
        <v>1</v>
      </c>
      <c r="C2">
        <f>'XL-Test'!D45</f>
        <v>27</v>
      </c>
      <c r="D2">
        <f>'XL-Test'!E45</f>
        <v>80.7</v>
      </c>
      <c r="E2">
        <f>'XL-Test'!F45</f>
        <v>100</v>
      </c>
      <c r="F2">
        <f>'XL-Test'!G45</f>
        <v>62</v>
      </c>
      <c r="G2">
        <f>'XL-Test'!H45</f>
        <v>14</v>
      </c>
      <c r="H2">
        <f>'XL-Test'!I45</f>
        <v>2179</v>
      </c>
      <c r="I2">
        <f>'XL-Test'!J45</f>
        <v>6</v>
      </c>
      <c r="J2">
        <f>'XL-Test'!K45</f>
        <v>79.22</v>
      </c>
      <c r="P2">
        <v>2</v>
      </c>
      <c r="Q2" t="str">
        <f ca="1">R1</f>
        <v>=ROUND(AVERAGEIFS(Database!D3:D80;Database!A3:A80;"*"&amp;B45&amp;".*");2)</v>
      </c>
    </row>
    <row r="3" spans="1:24">
      <c r="B3">
        <v>2</v>
      </c>
      <c r="C3">
        <f>'XL-Test'!D46</f>
        <v>25</v>
      </c>
      <c r="D3">
        <f>'XL-Test'!E46</f>
        <v>80.319999999999993</v>
      </c>
      <c r="E3">
        <f>'XL-Test'!F46</f>
        <v>99</v>
      </c>
      <c r="F3">
        <f>'XL-Test'!G46</f>
        <v>61</v>
      </c>
      <c r="G3">
        <f>'XL-Test'!H46</f>
        <v>15</v>
      </c>
      <c r="H3">
        <f>'XL-Test'!I46</f>
        <v>2008</v>
      </c>
      <c r="I3">
        <f>'XL-Test'!J46</f>
        <v>3</v>
      </c>
      <c r="J3">
        <f>'XL-Test'!K46</f>
        <v>78.569999999999993</v>
      </c>
      <c r="P3">
        <v>3</v>
      </c>
      <c r="Q3" t="str">
        <f ca="1">S1</f>
        <v>=MAXIFS(Database!D3:D80;Database!A3:A80;"*"&amp;B45&amp;".*")</v>
      </c>
    </row>
    <row r="4" spans="1:24">
      <c r="B4">
        <v>3</v>
      </c>
      <c r="C4">
        <f>'XL-Test'!D47</f>
        <v>26</v>
      </c>
      <c r="D4">
        <f>'XL-Test'!E47</f>
        <v>79.81</v>
      </c>
      <c r="E4">
        <f>'XL-Test'!F47</f>
        <v>97</v>
      </c>
      <c r="F4">
        <f>'XL-Test'!G47</f>
        <v>62</v>
      </c>
      <c r="G4">
        <f>'XL-Test'!H47</f>
        <v>14</v>
      </c>
      <c r="H4">
        <f>'XL-Test'!I47</f>
        <v>2075</v>
      </c>
      <c r="I4">
        <f>'XL-Test'!J47</f>
        <v>6</v>
      </c>
      <c r="J4">
        <f>'XL-Test'!K47</f>
        <v>80.25</v>
      </c>
      <c r="P4">
        <v>4</v>
      </c>
      <c r="Q4" t="str">
        <f ca="1">T1</f>
        <v>=MINIFS(Database!D3:D80;Database!A3:A80;"*"&amp;B45&amp;".*")</v>
      </c>
    </row>
    <row r="5" spans="1:24">
      <c r="B5">
        <v>4</v>
      </c>
      <c r="C5">
        <f>'XL-Test'!D48</f>
        <v>14</v>
      </c>
      <c r="D5">
        <f>'XL-Test'!E48</f>
        <v>79.209999999999994</v>
      </c>
      <c r="E5">
        <f>'XL-Test'!F48</f>
        <v>100</v>
      </c>
      <c r="F5">
        <f>'XL-Test'!G48</f>
        <v>64</v>
      </c>
      <c r="G5">
        <f>'XL-Test'!H48</f>
        <v>6</v>
      </c>
      <c r="H5">
        <f>'XL-Test'!I48</f>
        <v>1109</v>
      </c>
      <c r="I5">
        <f>'XL-Test'!J48</f>
        <v>3</v>
      </c>
      <c r="J5">
        <f>'XL-Test'!K48</f>
        <v>83.6</v>
      </c>
      <c r="P5">
        <v>5</v>
      </c>
      <c r="Q5" t="str">
        <f ca="1">U1</f>
        <v>=COUNTIFS(Database!A3:A80;"*"&amp;B45&amp;".*";Database!D3:D80;"&gt;80")</v>
      </c>
    </row>
    <row r="6" spans="1:24">
      <c r="B6">
        <v>5</v>
      </c>
      <c r="C6">
        <f>'XL-Test'!D49</f>
        <v>13</v>
      </c>
      <c r="D6">
        <f>'XL-Test'!E49</f>
        <v>82.31</v>
      </c>
      <c r="E6">
        <f>'XL-Test'!F49</f>
        <v>99</v>
      </c>
      <c r="F6">
        <f>'XL-Test'!G49</f>
        <v>62</v>
      </c>
      <c r="G6">
        <f>'XL-Test'!H49</f>
        <v>8</v>
      </c>
      <c r="H6">
        <f>'XL-Test'!I49</f>
        <v>1070</v>
      </c>
      <c r="I6">
        <f>'XL-Test'!J49</f>
        <v>3</v>
      </c>
      <c r="J6">
        <f>'XL-Test'!K49</f>
        <v>73.75</v>
      </c>
      <c r="P6">
        <v>6</v>
      </c>
      <c r="Q6" t="str">
        <f ca="1">V1</f>
        <v>=SUMIFS(Database!D3:D80;Database!A3:A80;"*"&amp;B45&amp;".*")</v>
      </c>
    </row>
    <row r="7" spans="1:24">
      <c r="B7">
        <v>6</v>
      </c>
      <c r="C7">
        <f>'XL-Test'!D50</f>
        <v>14</v>
      </c>
      <c r="D7">
        <f>'XL-Test'!E50</f>
        <v>82.5</v>
      </c>
      <c r="E7">
        <f>'XL-Test'!F50</f>
        <v>98</v>
      </c>
      <c r="F7">
        <f>'XL-Test'!G50</f>
        <v>64</v>
      </c>
      <c r="G7">
        <f>'XL-Test'!H50</f>
        <v>9</v>
      </c>
      <c r="H7">
        <f>'XL-Test'!I50</f>
        <v>1155</v>
      </c>
      <c r="I7">
        <f>'XL-Test'!J50</f>
        <v>0</v>
      </c>
      <c r="J7">
        <f>'XL-Test'!K50</f>
        <v>80.8</v>
      </c>
      <c r="P7">
        <v>7</v>
      </c>
      <c r="Q7" t="str">
        <f ca="1">W1</f>
        <v>=SUM(COUNTIFS(Database!A3:A80;"*"&amp;B45&amp;".*";Database!B3:B80;{"A*";"E*";"I*";"O*";"U*"}))</v>
      </c>
    </row>
    <row r="8" spans="1:24">
      <c r="B8">
        <v>7</v>
      </c>
      <c r="C8">
        <f>'XL-Test'!D51</f>
        <v>11</v>
      </c>
      <c r="D8">
        <f>'XL-Test'!E51</f>
        <v>77.55</v>
      </c>
      <c r="E8">
        <f>'XL-Test'!F51</f>
        <v>99</v>
      </c>
      <c r="F8">
        <f>'XL-Test'!G51</f>
        <v>61</v>
      </c>
      <c r="G8">
        <f>'XL-Test'!H51</f>
        <v>6</v>
      </c>
      <c r="H8">
        <f>'XL-Test'!I51</f>
        <v>853</v>
      </c>
      <c r="I8">
        <f>'XL-Test'!J51</f>
        <v>3</v>
      </c>
      <c r="J8">
        <f>'XL-Test'!K51</f>
        <v>73</v>
      </c>
      <c r="P8">
        <v>8</v>
      </c>
      <c r="Q8" t="str">
        <f ca="1">X1</f>
        <v>=ROUND(AVERAGEIFS(Database!D3:D80;Database!A3:A80;"*"&amp;B45&amp;".*";Database!A3:A80;"*.*." &amp; "??*");2)</v>
      </c>
    </row>
    <row r="9" spans="1:24">
      <c r="B9">
        <v>8</v>
      </c>
      <c r="C9">
        <f>'XL-Test'!D52</f>
        <v>14</v>
      </c>
      <c r="D9">
        <f>'XL-Test'!E52</f>
        <v>81</v>
      </c>
      <c r="E9">
        <f>'XL-Test'!F52</f>
        <v>97</v>
      </c>
      <c r="F9">
        <f>'XL-Test'!G52</f>
        <v>62</v>
      </c>
      <c r="G9">
        <f>'XL-Test'!H52</f>
        <v>9</v>
      </c>
      <c r="H9">
        <f>'XL-Test'!I52</f>
        <v>1134</v>
      </c>
      <c r="I9">
        <f>'XL-Test'!J52</f>
        <v>4</v>
      </c>
      <c r="J9">
        <f>'XL-Test'!K52</f>
        <v>82.2</v>
      </c>
    </row>
    <row r="10" spans="1:24">
      <c r="B10">
        <v>9</v>
      </c>
      <c r="C10">
        <f>'XL-Test'!D53</f>
        <v>12</v>
      </c>
      <c r="D10">
        <f>'XL-Test'!E53</f>
        <v>78.42</v>
      </c>
      <c r="E10">
        <f>'XL-Test'!F53</f>
        <v>96</v>
      </c>
      <c r="F10">
        <f>'XL-Test'!G53</f>
        <v>62</v>
      </c>
      <c r="G10">
        <f>'XL-Test'!H53</f>
        <v>5</v>
      </c>
      <c r="H10">
        <f>'XL-Test'!I53</f>
        <v>941</v>
      </c>
      <c r="I10">
        <f>'XL-Test'!J53</f>
        <v>2</v>
      </c>
      <c r="J10">
        <f>'XL-Test'!K53</f>
        <v>77</v>
      </c>
      <c r="Q10">
        <v>1</v>
      </c>
      <c r="R10">
        <v>2</v>
      </c>
      <c r="S10">
        <v>3</v>
      </c>
      <c r="T10">
        <v>4</v>
      </c>
      <c r="U10">
        <v>5</v>
      </c>
      <c r="V10">
        <v>6</v>
      </c>
      <c r="W10">
        <v>7</v>
      </c>
      <c r="X10">
        <v>8</v>
      </c>
    </row>
    <row r="11" spans="1:24">
      <c r="B11">
        <v>10</v>
      </c>
      <c r="C11">
        <f>'XL-Test'!D54</f>
        <v>42</v>
      </c>
      <c r="D11">
        <f>'XL-Test'!E54</f>
        <v>80.900000000000006</v>
      </c>
      <c r="E11">
        <f>'XL-Test'!F54</f>
        <v>100</v>
      </c>
      <c r="F11">
        <f>'XL-Test'!G54</f>
        <v>62</v>
      </c>
      <c r="G11">
        <f>'XL-Test'!H54</f>
        <v>24</v>
      </c>
      <c r="H11">
        <f>'XL-Test'!I54</f>
        <v>3398</v>
      </c>
      <c r="I11">
        <f>'XL-Test'!J54</f>
        <v>7</v>
      </c>
      <c r="J11">
        <f>'XL-Test'!K54</f>
        <v>82.2</v>
      </c>
    </row>
    <row r="12" spans="1:24">
      <c r="B12">
        <v>11</v>
      </c>
      <c r="C12">
        <f>'XL-Test'!D55</f>
        <v>36</v>
      </c>
      <c r="D12">
        <f>'XL-Test'!E55</f>
        <v>79.56</v>
      </c>
      <c r="E12">
        <f>'XL-Test'!F55</f>
        <v>99</v>
      </c>
      <c r="F12">
        <f>'XL-Test'!G55</f>
        <v>61</v>
      </c>
      <c r="G12">
        <f>'XL-Test'!H55</f>
        <v>19</v>
      </c>
      <c r="H12">
        <f>'XL-Test'!I55</f>
        <v>2864</v>
      </c>
      <c r="I12">
        <f>'XL-Test'!J55</f>
        <v>8</v>
      </c>
      <c r="J12">
        <f>'XL-Test'!K55</f>
        <v>74.67</v>
      </c>
    </row>
    <row r="13" spans="1:24" ht="13.9" customHeight="1"/>
    <row r="14" spans="1:24">
      <c r="C14">
        <f>(SUM(C2:C12)+C3+C5+C9+C11)*4</f>
        <v>1316</v>
      </c>
      <c r="D14">
        <f>SUM(D2:D12)*1000</f>
        <v>882280</v>
      </c>
      <c r="E14">
        <f>(SUM(E2:E12)+E3+E5+E9+E11)*4</f>
        <v>5920</v>
      </c>
      <c r="F14">
        <f>(SUM(F2:F12)+F3+F5+F9+F11)*4</f>
        <v>3728</v>
      </c>
      <c r="G14">
        <f>(SUM(G2:G12)+G3+G5+G9+G11)*4</f>
        <v>732</v>
      </c>
      <c r="H14">
        <f>(SUM(H2:H12)+H3+H5+H9+H11)</f>
        <v>26435</v>
      </c>
      <c r="I14">
        <f>(SUM(I2:I12)+I3+I5+I9+I11)*25</f>
        <v>1550</v>
      </c>
      <c r="J14">
        <f>SUM(J2:J12)*1000</f>
        <v>865260.00000000012</v>
      </c>
    </row>
    <row r="17" spans="2:15">
      <c r="B17" t="s">
        <v>241</v>
      </c>
      <c r="C17">
        <v>2944</v>
      </c>
      <c r="D17">
        <v>9108</v>
      </c>
      <c r="E17">
        <v>1970</v>
      </c>
      <c r="F17">
        <v>3940</v>
      </c>
      <c r="G17">
        <v>7248</v>
      </c>
      <c r="H17">
        <v>6780</v>
      </c>
      <c r="I17">
        <v>2285</v>
      </c>
      <c r="J17">
        <v>9083</v>
      </c>
    </row>
    <row r="19" spans="2:15">
      <c r="B19" t="b">
        <v>1</v>
      </c>
      <c r="C19" t="str">
        <f>LEFT(DEC2HEX(C17+COLUMN()+2),2)</f>
        <v>B8</v>
      </c>
      <c r="D19" t="str">
        <f t="shared" ref="D19:J19" si="0">LEFT(DEC2HEX(D17+COLUMN()+2),2)</f>
        <v>23</v>
      </c>
      <c r="E19" t="str">
        <f t="shared" si="0"/>
        <v>7B</v>
      </c>
      <c r="F19" t="str">
        <f t="shared" si="0"/>
        <v>F6</v>
      </c>
      <c r="G19" t="str">
        <f t="shared" si="0"/>
        <v>1C</v>
      </c>
      <c r="H19" t="str">
        <f t="shared" si="0"/>
        <v>1A</v>
      </c>
      <c r="I19" t="str">
        <f t="shared" si="0"/>
        <v>8F</v>
      </c>
      <c r="J19" t="str">
        <f t="shared" si="0"/>
        <v>23</v>
      </c>
    </row>
    <row r="20" spans="2:15">
      <c r="B20" t="b">
        <v>0</v>
      </c>
      <c r="C20" t="str">
        <f>RIGHT(DEC2HEX(C17+COLUMN()+6),2)</f>
        <v>89</v>
      </c>
      <c r="D20" t="str">
        <f t="shared" ref="D20:J20" si="1">RIGHT(DEC2HEX(D17+COLUMN()+6),2)</f>
        <v>9E</v>
      </c>
      <c r="E20" t="str">
        <f t="shared" si="1"/>
        <v>BD</v>
      </c>
      <c r="F20" t="str">
        <f t="shared" si="1"/>
        <v>70</v>
      </c>
      <c r="G20" t="str">
        <f t="shared" si="1"/>
        <v>5D</v>
      </c>
      <c r="H20" t="str">
        <f t="shared" si="1"/>
        <v>8A</v>
      </c>
      <c r="I20" t="str">
        <f t="shared" si="1"/>
        <v>FC</v>
      </c>
      <c r="J20" t="str">
        <f t="shared" si="1"/>
        <v>8B</v>
      </c>
    </row>
    <row r="22" spans="2:15">
      <c r="B22" t="s">
        <v>242</v>
      </c>
      <c r="C22" t="b">
        <f t="shared" ref="C22:H22" ca="1" si="2">AND(ISNUMBER(FIND("=",Q1)),ISNUMBER(FIND("(",Q1)))</f>
        <v>1</v>
      </c>
      <c r="D22" t="b">
        <f t="shared" ca="1" si="2"/>
        <v>1</v>
      </c>
      <c r="E22" t="b">
        <f t="shared" ca="1" si="2"/>
        <v>1</v>
      </c>
      <c r="F22" t="b">
        <f t="shared" ca="1" si="2"/>
        <v>1</v>
      </c>
      <c r="G22" t="b">
        <f t="shared" ca="1" si="2"/>
        <v>1</v>
      </c>
      <c r="H22" t="b">
        <f t="shared" ca="1" si="2"/>
        <v>1</v>
      </c>
      <c r="I22" t="b">
        <f t="shared" ref="I22:J22" ca="1" si="3">AND(ISNUMBER(FIND("=",W1)),ISNUMBER(FIND("(",W1)),I56)</f>
        <v>1</v>
      </c>
      <c r="J22" t="b">
        <f t="shared" ca="1" si="3"/>
        <v>1</v>
      </c>
    </row>
    <row r="23" spans="2:15">
      <c r="B23" t="s">
        <v>243</v>
      </c>
      <c r="C23" t="b">
        <f t="shared" ref="C23:J23" ca="1" si="4">ISNUMBER(FIND("base!A",SUBSTITUTE(Q1,"$","")))</f>
        <v>1</v>
      </c>
      <c r="D23" t="b">
        <f t="shared" ca="1" si="4"/>
        <v>1</v>
      </c>
      <c r="E23" t="b">
        <f t="shared" ca="1" si="4"/>
        <v>1</v>
      </c>
      <c r="F23" t="b">
        <f t="shared" ca="1" si="4"/>
        <v>1</v>
      </c>
      <c r="G23" t="b">
        <f t="shared" ca="1" si="4"/>
        <v>1</v>
      </c>
      <c r="H23" t="b">
        <f t="shared" ca="1" si="4"/>
        <v>1</v>
      </c>
      <c r="I23" t="b">
        <f t="shared" ca="1" si="4"/>
        <v>1</v>
      </c>
      <c r="J23" t="b">
        <f t="shared" ca="1" si="4"/>
        <v>1</v>
      </c>
    </row>
    <row r="24" spans="2:15">
      <c r="B24" t="s">
        <v>244</v>
      </c>
      <c r="C24" t="b">
        <f>NOT(OR(C2=0,C2=""))</f>
        <v>1</v>
      </c>
      <c r="D24" t="b">
        <f t="shared" ref="D24:J24" si="5">NOT(OR(D2=0,D2=""))</f>
        <v>1</v>
      </c>
      <c r="E24" t="b">
        <f t="shared" si="5"/>
        <v>1</v>
      </c>
      <c r="F24" t="b">
        <f t="shared" si="5"/>
        <v>1</v>
      </c>
      <c r="G24" t="b">
        <f t="shared" si="5"/>
        <v>1</v>
      </c>
      <c r="H24" t="b">
        <f t="shared" si="5"/>
        <v>1</v>
      </c>
      <c r="I24" t="b">
        <f t="shared" si="5"/>
        <v>1</v>
      </c>
      <c r="J24" t="b">
        <f t="shared" si="5"/>
        <v>1</v>
      </c>
    </row>
    <row r="26" spans="2:15">
      <c r="B26" t="s">
        <v>245</v>
      </c>
      <c r="C26" t="b">
        <f ca="1">AND(C22:C24)</f>
        <v>1</v>
      </c>
      <c r="D26" t="b">
        <f t="shared" ref="D26:J26" ca="1" si="6">AND(D22:D24)</f>
        <v>1</v>
      </c>
      <c r="E26" t="b">
        <f t="shared" ca="1" si="6"/>
        <v>1</v>
      </c>
      <c r="F26" t="b">
        <f t="shared" ca="1" si="6"/>
        <v>1</v>
      </c>
      <c r="G26" t="b">
        <f t="shared" ca="1" si="6"/>
        <v>1</v>
      </c>
      <c r="H26" t="b">
        <f t="shared" ca="1" si="6"/>
        <v>1</v>
      </c>
      <c r="I26" t="b">
        <f t="shared" ca="1" si="6"/>
        <v>1</v>
      </c>
      <c r="J26" t="b">
        <f t="shared" ca="1" si="6"/>
        <v>1</v>
      </c>
    </row>
    <row r="28" spans="2:15">
      <c r="B28" t="s">
        <v>246</v>
      </c>
      <c r="C28" t="b">
        <f ca="1">AND(ISNUMBER(FIND("NTI",Q1)),ISNUMBER(FIND(CHAR(42),Q1)))</f>
        <v>1</v>
      </c>
      <c r="D28" t="b">
        <f ca="1">AND(ISNUMBER(FIND("AGEI",R1)),ISNUMBER(FIND(CHAR(42),R1)))</f>
        <v>1</v>
      </c>
      <c r="E28" t="b">
        <f ca="1">AND(ISNUMBER(FIND("MAX",S1)),ISNUMBER(FIND(CHAR(42),S1)))</f>
        <v>1</v>
      </c>
      <c r="F28" t="b">
        <f ca="1">AND(ISNUMBER(FIND("MIN",T1)),ISNUMBER(FIND(CHAR(42),T1)))</f>
        <v>1</v>
      </c>
      <c r="G28" t="b">
        <f t="shared" ref="G28:I28" ca="1" si="7">AND(ISNUMBER(FIND("NTI",U1)),ISNUMBER(FIND(CHAR(42),U1)))</f>
        <v>1</v>
      </c>
      <c r="H28" t="b">
        <f ca="1">AND(ISNUMBER(FIND("UMI",V1)),ISNUMBER(FIND(CHAR(42),V1)))</f>
        <v>1</v>
      </c>
      <c r="I28" t="b">
        <f t="shared" ca="1" si="7"/>
        <v>1</v>
      </c>
      <c r="J28" t="b">
        <f ca="1">AND(ISNUMBER(FIND("AGEIFS",X1)),ISNUMBER(FIND(CHAR(42),X1)))</f>
        <v>1</v>
      </c>
    </row>
    <row r="31" spans="2:15">
      <c r="B31" t="s">
        <v>247</v>
      </c>
      <c r="C31">
        <f ca="1">IFERROR(LEN(Q1)-LEN(SUBSTITUTE(Q1,"(","")),99)</f>
        <v>1</v>
      </c>
      <c r="D31">
        <f t="shared" ref="D31:J31" ca="1" si="8">IFERROR(LEN(R1)-LEN(SUBSTITUTE(R1,"(","")),99)</f>
        <v>2</v>
      </c>
      <c r="E31">
        <f t="shared" ca="1" si="8"/>
        <v>1</v>
      </c>
      <c r="F31">
        <f t="shared" ca="1" si="8"/>
        <v>1</v>
      </c>
      <c r="G31">
        <f t="shared" ca="1" si="8"/>
        <v>1</v>
      </c>
      <c r="H31">
        <f t="shared" ca="1" si="8"/>
        <v>1</v>
      </c>
      <c r="I31">
        <f t="shared" ca="1" si="8"/>
        <v>2</v>
      </c>
      <c r="J31">
        <f t="shared" ca="1" si="8"/>
        <v>2</v>
      </c>
    </row>
    <row r="32" spans="2:15">
      <c r="B32" t="s">
        <v>248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2</v>
      </c>
      <c r="J32">
        <v>2</v>
      </c>
      <c r="N32" t="s">
        <v>249</v>
      </c>
      <c r="O32" t="s">
        <v>250</v>
      </c>
    </row>
    <row r="33" spans="2:14">
      <c r="B33" t="s">
        <v>251</v>
      </c>
      <c r="C33" t="b">
        <f ca="1">(C31&lt;=C32)</f>
        <v>1</v>
      </c>
      <c r="D33" t="b">
        <f t="shared" ref="D33:J33" ca="1" si="9">(D31&lt;=D32)</f>
        <v>1</v>
      </c>
      <c r="E33" t="b">
        <f t="shared" ca="1" si="9"/>
        <v>1</v>
      </c>
      <c r="F33" t="b">
        <f t="shared" ca="1" si="9"/>
        <v>1</v>
      </c>
      <c r="G33" t="b">
        <f t="shared" ca="1" si="9"/>
        <v>1</v>
      </c>
      <c r="H33" t="b">
        <f t="shared" ca="1" si="9"/>
        <v>1</v>
      </c>
      <c r="I33" t="b">
        <f t="shared" ca="1" si="9"/>
        <v>1</v>
      </c>
      <c r="J33" t="b">
        <f t="shared" ca="1" si="9"/>
        <v>1</v>
      </c>
    </row>
    <row r="35" spans="2:14">
      <c r="B35" t="s">
        <v>245</v>
      </c>
      <c r="C35" t="b">
        <f ca="1">AND(C28,C33,C59)</f>
        <v>1</v>
      </c>
      <c r="D35" t="b">
        <f t="shared" ref="D35:J35" ca="1" si="10">AND(D28,D33,D59)</f>
        <v>1</v>
      </c>
      <c r="E35" t="b">
        <f t="shared" ca="1" si="10"/>
        <v>1</v>
      </c>
      <c r="F35" t="b">
        <f t="shared" ca="1" si="10"/>
        <v>1</v>
      </c>
      <c r="G35" t="b">
        <f t="shared" ca="1" si="10"/>
        <v>1</v>
      </c>
      <c r="H35" t="b">
        <f t="shared" ca="1" si="10"/>
        <v>1</v>
      </c>
      <c r="I35" t="b">
        <f t="shared" ca="1" si="10"/>
        <v>1</v>
      </c>
      <c r="J35" t="b">
        <f t="shared" ca="1" si="10"/>
        <v>1</v>
      </c>
    </row>
    <row r="37" spans="2:14">
      <c r="B37" t="s">
        <v>252</v>
      </c>
      <c r="C37" t="str">
        <f ca="1">IF(C35,C19,C20)&amp;"-"&amp;IFERROR(DEC2HEX(IF(C26,C14,C17)),"EEE")&amp;";"</f>
        <v>B8-524;</v>
      </c>
      <c r="D37" t="str">
        <f t="shared" ref="D37:I37" ca="1" si="11">IF(D35,D19,D20)&amp;"-"&amp;IFERROR(DEC2HEX(IF(D26,D14,D17)),"EEE")&amp;";"</f>
        <v>23-D7668;</v>
      </c>
      <c r="E37" t="str">
        <f t="shared" ca="1" si="11"/>
        <v>7B-1720;</v>
      </c>
      <c r="F37" t="str">
        <f t="shared" ca="1" si="11"/>
        <v>F6-E90;</v>
      </c>
      <c r="G37" t="str">
        <f t="shared" ca="1" si="11"/>
        <v>1C-2DC;</v>
      </c>
      <c r="H37" t="str">
        <f t="shared" ca="1" si="11"/>
        <v>1A-6743;</v>
      </c>
      <c r="I37" t="str">
        <f t="shared" ca="1" si="11"/>
        <v>8F-60E;</v>
      </c>
      <c r="J37" t="str">
        <f ca="1">IF(J35,J19,J20)&amp;"-"&amp;IFERROR(DEC2HEX(IF(J26,J14,J17)),"EEE")</f>
        <v>23-D33EC</v>
      </c>
    </row>
    <row r="39" spans="2:14">
      <c r="B39" t="s">
        <v>253</v>
      </c>
      <c r="C39" t="str">
        <f ca="1">A2&amp;"|"&amp;C37&amp;D37&amp;E37&amp;F37&amp;G37&amp;H37&amp;I37&amp;J37</f>
        <v>ME5|B8-524;23-D7668;7B-1720;F6-E90;1C-2DC;1A-6743;8F-60E;23-D33EC</v>
      </c>
      <c r="N39" t="str" cm="1">
        <f t="array" aca="1" ref="N39" ca="1">INDIRECT(N32&amp;O32)</f>
        <v>ME5|B8-524;23-D7668;7B-1720;F6-E90;1C-2DC;1A-6743;8F-60E;23-D33EC</v>
      </c>
    </row>
    <row r="41" spans="2:14">
      <c r="C41" t="str">
        <f ca="1">N39</f>
        <v>ME5|B8-524;23-D7668;7B-1720;F6-E90;1C-2DC;1A-6743;8F-60E;23-D33EC</v>
      </c>
    </row>
    <row r="44" spans="2:14">
      <c r="B44">
        <v>1</v>
      </c>
      <c r="C44">
        <f ca="1">LEN(_xlfn.FORMULATEXT('XL-Test'!D45))</f>
        <v>42</v>
      </c>
      <c r="D44">
        <f ca="1">LEN(_xlfn.FORMULATEXT('XL-Test'!E45))</f>
        <v>74</v>
      </c>
      <c r="E44">
        <f ca="1">LEN(_xlfn.FORMULATEXT('XL-Test'!F45))</f>
        <v>61</v>
      </c>
      <c r="F44">
        <f ca="1">LEN(_xlfn.FORMULATEXT('XL-Test'!G45))</f>
        <v>61</v>
      </c>
      <c r="G44">
        <f ca="1">LEN(_xlfn.FORMULATEXT('XL-Test'!H45))</f>
        <v>69</v>
      </c>
      <c r="H44">
        <f ca="1">LEN(_xlfn.FORMULATEXT('XL-Test'!I45))</f>
        <v>61</v>
      </c>
    </row>
    <row r="45" spans="2:14">
      <c r="B45">
        <v>2</v>
      </c>
      <c r="C45">
        <f ca="1">LEN(_xlfn.FORMULATEXT('XL-Test'!D46))</f>
        <v>42</v>
      </c>
      <c r="D45">
        <f ca="1">LEN(_xlfn.FORMULATEXT('XL-Test'!E46))</f>
        <v>74</v>
      </c>
      <c r="E45">
        <f ca="1">LEN(_xlfn.FORMULATEXT('XL-Test'!F46))</f>
        <v>61</v>
      </c>
      <c r="F45">
        <f ca="1">LEN(_xlfn.FORMULATEXT('XL-Test'!G46))</f>
        <v>61</v>
      </c>
      <c r="G45">
        <f ca="1">LEN(_xlfn.FORMULATEXT('XL-Test'!H46))</f>
        <v>69</v>
      </c>
      <c r="H45">
        <f ca="1">LEN(_xlfn.FORMULATEXT('XL-Test'!I46))</f>
        <v>61</v>
      </c>
    </row>
    <row r="46" spans="2:14">
      <c r="B46">
        <v>3</v>
      </c>
      <c r="C46">
        <f ca="1">LEN(_xlfn.FORMULATEXT('XL-Test'!D47))</f>
        <v>42</v>
      </c>
      <c r="D46">
        <f ca="1">LEN(_xlfn.FORMULATEXT('XL-Test'!E47))</f>
        <v>74</v>
      </c>
      <c r="E46">
        <f ca="1">LEN(_xlfn.FORMULATEXT('XL-Test'!F47))</f>
        <v>61</v>
      </c>
      <c r="F46">
        <f ca="1">LEN(_xlfn.FORMULATEXT('XL-Test'!G47))</f>
        <v>61</v>
      </c>
      <c r="G46">
        <f ca="1">LEN(_xlfn.FORMULATEXT('XL-Test'!H47))</f>
        <v>69</v>
      </c>
      <c r="H46">
        <f ca="1">LEN(_xlfn.FORMULATEXT('XL-Test'!I47))</f>
        <v>61</v>
      </c>
    </row>
    <row r="47" spans="2:14">
      <c r="B47">
        <v>4</v>
      </c>
      <c r="C47">
        <f ca="1">LEN(_xlfn.FORMULATEXT('XL-Test'!D48))</f>
        <v>42</v>
      </c>
      <c r="D47">
        <f ca="1">LEN(_xlfn.FORMULATEXT('XL-Test'!E48))</f>
        <v>74</v>
      </c>
      <c r="E47">
        <f ca="1">LEN(_xlfn.FORMULATEXT('XL-Test'!F48))</f>
        <v>61</v>
      </c>
      <c r="F47">
        <f ca="1">LEN(_xlfn.FORMULATEXT('XL-Test'!G48))</f>
        <v>61</v>
      </c>
      <c r="G47">
        <f ca="1">LEN(_xlfn.FORMULATEXT('XL-Test'!H48))</f>
        <v>69</v>
      </c>
      <c r="H47">
        <f ca="1">LEN(_xlfn.FORMULATEXT('XL-Test'!I48))</f>
        <v>61</v>
      </c>
    </row>
    <row r="48" spans="2:14">
      <c r="B48">
        <v>5</v>
      </c>
      <c r="C48">
        <f ca="1">LEN(_xlfn.FORMULATEXT('XL-Test'!D49))</f>
        <v>42</v>
      </c>
      <c r="D48">
        <f ca="1">LEN(_xlfn.FORMULATEXT('XL-Test'!E49))</f>
        <v>74</v>
      </c>
      <c r="E48">
        <f ca="1">LEN(_xlfn.FORMULATEXT('XL-Test'!F49))</f>
        <v>61</v>
      </c>
      <c r="F48">
        <f ca="1">LEN(_xlfn.FORMULATEXT('XL-Test'!G49))</f>
        <v>61</v>
      </c>
      <c r="G48">
        <f ca="1">LEN(_xlfn.FORMULATEXT('XL-Test'!H49))</f>
        <v>69</v>
      </c>
      <c r="H48">
        <f ca="1">LEN(_xlfn.FORMULATEXT('XL-Test'!I49))</f>
        <v>61</v>
      </c>
    </row>
    <row r="49" spans="2:8">
      <c r="B49">
        <v>6</v>
      </c>
      <c r="C49">
        <f ca="1">LEN(_xlfn.FORMULATEXT('XL-Test'!D50))</f>
        <v>42</v>
      </c>
      <c r="D49">
        <f ca="1">LEN(_xlfn.FORMULATEXT('XL-Test'!E50))</f>
        <v>74</v>
      </c>
      <c r="E49">
        <f ca="1">LEN(_xlfn.FORMULATEXT('XL-Test'!F50))</f>
        <v>61</v>
      </c>
      <c r="F49">
        <f ca="1">LEN(_xlfn.FORMULATEXT('XL-Test'!G50))</f>
        <v>61</v>
      </c>
      <c r="G49">
        <f ca="1">LEN(_xlfn.FORMULATEXT('XL-Test'!H50))</f>
        <v>69</v>
      </c>
      <c r="H49">
        <f ca="1">LEN(_xlfn.FORMULATEXT('XL-Test'!I50))</f>
        <v>61</v>
      </c>
    </row>
    <row r="50" spans="2:8">
      <c r="B50">
        <v>7</v>
      </c>
      <c r="C50">
        <f ca="1">LEN(_xlfn.FORMULATEXT('XL-Test'!D51))</f>
        <v>42</v>
      </c>
      <c r="D50">
        <f ca="1">LEN(_xlfn.FORMULATEXT('XL-Test'!E51))</f>
        <v>74</v>
      </c>
      <c r="E50">
        <f ca="1">LEN(_xlfn.FORMULATEXT('XL-Test'!F51))</f>
        <v>61</v>
      </c>
      <c r="F50">
        <f ca="1">LEN(_xlfn.FORMULATEXT('XL-Test'!G51))</f>
        <v>61</v>
      </c>
      <c r="G50">
        <f ca="1">LEN(_xlfn.FORMULATEXT('XL-Test'!H51))</f>
        <v>69</v>
      </c>
      <c r="H50">
        <f ca="1">LEN(_xlfn.FORMULATEXT('XL-Test'!I51))</f>
        <v>61</v>
      </c>
    </row>
    <row r="51" spans="2:8">
      <c r="B51">
        <v>8</v>
      </c>
      <c r="C51">
        <f ca="1">LEN(_xlfn.FORMULATEXT('XL-Test'!D52))</f>
        <v>42</v>
      </c>
      <c r="D51">
        <f ca="1">LEN(_xlfn.FORMULATEXT('XL-Test'!E52))</f>
        <v>74</v>
      </c>
      <c r="E51">
        <f ca="1">LEN(_xlfn.FORMULATEXT('XL-Test'!F52))</f>
        <v>61</v>
      </c>
      <c r="F51">
        <f ca="1">LEN(_xlfn.FORMULATEXT('XL-Test'!G52))</f>
        <v>61</v>
      </c>
      <c r="G51">
        <f ca="1">LEN(_xlfn.FORMULATEXT('XL-Test'!H52))</f>
        <v>69</v>
      </c>
      <c r="H51">
        <f ca="1">LEN(_xlfn.FORMULATEXT('XL-Test'!I52))</f>
        <v>61</v>
      </c>
    </row>
    <row r="52" spans="2:8">
      <c r="B52">
        <v>9</v>
      </c>
      <c r="C52">
        <f ca="1">LEN(_xlfn.FORMULATEXT('XL-Test'!D53))</f>
        <v>42</v>
      </c>
      <c r="D52">
        <f ca="1">LEN(_xlfn.FORMULATEXT('XL-Test'!E53))</f>
        <v>74</v>
      </c>
      <c r="E52">
        <f ca="1">LEN(_xlfn.FORMULATEXT('XL-Test'!F53))</f>
        <v>61</v>
      </c>
      <c r="F52">
        <f ca="1">LEN(_xlfn.FORMULATEXT('XL-Test'!G53))</f>
        <v>61</v>
      </c>
      <c r="G52">
        <f ca="1">LEN(_xlfn.FORMULATEXT('XL-Test'!H53))</f>
        <v>69</v>
      </c>
      <c r="H52">
        <f ca="1">LEN(_xlfn.FORMULATEXT('XL-Test'!I53))</f>
        <v>61</v>
      </c>
    </row>
    <row r="53" spans="2:8">
      <c r="B53">
        <v>10</v>
      </c>
      <c r="C53">
        <f ca="1">LEN(_xlfn.FORMULATEXT('XL-Test'!D54))</f>
        <v>42</v>
      </c>
      <c r="D53">
        <f ca="1">LEN(_xlfn.FORMULATEXT('XL-Test'!E54))</f>
        <v>74</v>
      </c>
      <c r="E53">
        <f ca="1">LEN(_xlfn.FORMULATEXT('XL-Test'!F54))</f>
        <v>61</v>
      </c>
      <c r="F53">
        <f ca="1">LEN(_xlfn.FORMULATEXT('XL-Test'!G54))</f>
        <v>61</v>
      </c>
      <c r="G53">
        <f ca="1">LEN(_xlfn.FORMULATEXT('XL-Test'!H54))</f>
        <v>69</v>
      </c>
      <c r="H53">
        <f ca="1">LEN(_xlfn.FORMULATEXT('XL-Test'!I54))</f>
        <v>61</v>
      </c>
    </row>
    <row r="54" spans="2:8">
      <c r="B54">
        <v>11</v>
      </c>
      <c r="C54">
        <f ca="1">LEN(_xlfn.FORMULATEXT('XL-Test'!D55))</f>
        <v>42</v>
      </c>
      <c r="D54">
        <f ca="1">LEN(_xlfn.FORMULATEXT('XL-Test'!E55))</f>
        <v>74</v>
      </c>
      <c r="E54">
        <f ca="1">LEN(_xlfn.FORMULATEXT('XL-Test'!F55))</f>
        <v>61</v>
      </c>
      <c r="F54">
        <f ca="1">LEN(_xlfn.FORMULATEXT('XL-Test'!G55))</f>
        <v>61</v>
      </c>
      <c r="G54">
        <f ca="1">LEN(_xlfn.FORMULATEXT('XL-Test'!H55))</f>
        <v>69</v>
      </c>
      <c r="H54">
        <f ca="1">LEN(_xlfn.FORMULATEXT('XL-Test'!I55))</f>
        <v>61</v>
      </c>
    </row>
    <row r="56" spans="2:8">
      <c r="B56" t="s">
        <v>254</v>
      </c>
      <c r="C56" t="b">
        <f ca="1">AVERAGE(C44:C54)=C44</f>
        <v>1</v>
      </c>
      <c r="D56" t="b">
        <f t="shared" ref="D56:H56" ca="1" si="12">AVERAGE(D44:D54)=D44</f>
        <v>1</v>
      </c>
      <c r="E56" t="b">
        <f t="shared" ca="1" si="12"/>
        <v>1</v>
      </c>
      <c r="F56" t="b">
        <f t="shared" ca="1" si="12"/>
        <v>1</v>
      </c>
      <c r="G56" t="b">
        <f t="shared" ca="1" si="12"/>
        <v>1</v>
      </c>
      <c r="H56" t="b">
        <f t="shared" ca="1" si="12"/>
        <v>1</v>
      </c>
    </row>
    <row r="57" spans="2:8">
      <c r="B57" t="s">
        <v>255</v>
      </c>
      <c r="C57" t="b">
        <f ca="1">AND(C44&gt;0,C47=0,C5&gt;0)</f>
        <v>0</v>
      </c>
      <c r="D57" t="b">
        <f t="shared" ref="D57:H57" ca="1" si="13">AND(D44&gt;0,D47=0,D5&gt;0)</f>
        <v>0</v>
      </c>
      <c r="E57" t="b">
        <f t="shared" ca="1" si="13"/>
        <v>0</v>
      </c>
      <c r="F57" t="b">
        <f t="shared" ca="1" si="13"/>
        <v>0</v>
      </c>
      <c r="G57" t="b">
        <f t="shared" ca="1" si="13"/>
        <v>0</v>
      </c>
      <c r="H57" t="b">
        <f t="shared" ca="1" si="13"/>
        <v>0</v>
      </c>
    </row>
    <row r="59" spans="2:8">
      <c r="B59" t="s">
        <v>251</v>
      </c>
      <c r="C59" t="b">
        <f ca="1">IFERROR(OR(C56:C57),FALSE)</f>
        <v>1</v>
      </c>
      <c r="D59" t="b">
        <f t="shared" ref="D59:H59" ca="1" si="14">IFERROR(OR(D56:D57),FALSE)</f>
        <v>1</v>
      </c>
      <c r="E59" t="b">
        <f t="shared" ca="1" si="14"/>
        <v>1</v>
      </c>
      <c r="F59" t="b">
        <f t="shared" ca="1" si="14"/>
        <v>1</v>
      </c>
      <c r="G59" t="b">
        <f t="shared" ca="1" si="14"/>
        <v>1</v>
      </c>
      <c r="H59" t="b">
        <f t="shared" ca="1" si="1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2025-05-24T12:21:52Z</dcterms:created>
  <dcterms:modified xsi:type="dcterms:W3CDTF">2026-03-19T07:02:39Z</dcterms:modified>
  <cp:category/>
  <cp:contentStatus/>
</cp:coreProperties>
</file>