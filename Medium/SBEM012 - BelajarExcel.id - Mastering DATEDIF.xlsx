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sql\Excel\"/>
    </mc:Choice>
  </mc:AlternateContent>
  <xr:revisionPtr revIDLastSave="0" documentId="13_ncr:1_{5AD5C9A1-DB7D-4EF1-92B0-36B78670D234}" xr6:coauthVersionLast="47" xr6:coauthVersionMax="47" xr10:uidLastSave="{00000000-0000-0000-0000-000000000000}"/>
  <workbookProtection workbookAlgorithmName="SHA-512" workbookHashValue="Ir/n54C4WEw/jBrBPHg/PwYjna0OjepOs8/eWiaVQ2J961a1Y7aSfdvxSUs1D756abxvtT9uL+F2zBkh0CErnQ==" workbookSaltValue="hoNmKaw9fdZrgiFgxJS6ZA==" workbookSpinCount="100000" lockStructure="1"/>
  <bookViews>
    <workbookView xWindow="-120" yWindow="-120" windowWidth="20730" windowHeight="11760" xr2:uid="{BA1261FA-8694-412A-A935-B66CE79889DE}"/>
  </bookViews>
  <sheets>
    <sheet name="XL-Test" sheetId="1" r:id="rId1"/>
    <sheet name="DF" sheetId="2" state="veryHidden" r:id="rId2"/>
    <sheet name="About" sheetId="3" r:id="rId3"/>
  </sheets>
  <definedNames>
    <definedName name="_15_AJEH" localSheetId="1">DF!$D$89</definedName>
    <definedName name="_41_DAC0" localSheetId="1">DF!$D$87</definedName>
    <definedName name="kode_jawaban">DF!$D$91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 a="1"/>
  <c r="H8" i="1" s="1"/>
  <c r="H9" i="1" a="1"/>
  <c r="H9" i="1"/>
  <c r="H10" i="1" a="1"/>
  <c r="H10" i="1" s="1"/>
  <c r="H11" i="1" a="1"/>
  <c r="H11" i="1"/>
  <c r="H12" i="1" a="1"/>
  <c r="H12" i="1" s="1"/>
  <c r="H13" i="1" a="1"/>
  <c r="H13" i="1"/>
  <c r="H14" i="1" a="1"/>
  <c r="H14" i="1" s="1"/>
  <c r="H15" i="1" a="1"/>
  <c r="H15" i="1"/>
  <c r="H16" i="1" a="1"/>
  <c r="H16" i="1" s="1"/>
  <c r="H17" i="1" a="1"/>
  <c r="H17" i="1"/>
  <c r="H18" i="1" a="1"/>
  <c r="H18" i="1" s="1"/>
  <c r="H19" i="1" a="1"/>
  <c r="H19" i="1"/>
  <c r="H20" i="1" a="1"/>
  <c r="H20" i="1" s="1"/>
  <c r="H21" i="1" a="1"/>
  <c r="H21" i="1"/>
  <c r="H22" i="1" a="1"/>
  <c r="H22" i="1" s="1"/>
  <c r="H23" i="1" a="1"/>
  <c r="H23" i="1"/>
  <c r="H24" i="1" a="1"/>
  <c r="H24" i="1" s="1"/>
  <c r="H25" i="1" a="1"/>
  <c r="H25" i="1" s="1"/>
  <c r="H26" i="1" a="1"/>
  <c r="H26" i="1" s="1"/>
  <c r="H7" i="1" a="1"/>
  <c r="H7" i="1" s="1"/>
  <c r="G2" i="2" l="1"/>
  <c r="G6" i="2"/>
  <c r="G10" i="2"/>
  <c r="G14" i="2"/>
  <c r="G18" i="2"/>
  <c r="G4" i="2"/>
  <c r="G5" i="2"/>
  <c r="G9" i="2"/>
  <c r="G17" i="2"/>
  <c r="F7" i="1"/>
  <c r="E2" i="2"/>
  <c r="E34" i="2" s="1"/>
  <c r="G11" i="2"/>
  <c r="G16" i="2"/>
  <c r="G19" i="2"/>
  <c r="G20" i="2"/>
  <c r="G8" i="2"/>
  <c r="G13" i="2"/>
  <c r="G21" i="2"/>
  <c r="J8" i="1"/>
  <c r="J9" i="1"/>
  <c r="J10" i="1"/>
  <c r="I5" i="2" s="1"/>
  <c r="J11" i="1"/>
  <c r="I6" i="2" s="1"/>
  <c r="J12" i="1"/>
  <c r="J13" i="1"/>
  <c r="J14" i="1"/>
  <c r="J15" i="1"/>
  <c r="I10" i="2" s="1"/>
  <c r="J16" i="1"/>
  <c r="J17" i="1"/>
  <c r="J18" i="1"/>
  <c r="J19" i="1"/>
  <c r="I14" i="2" s="1"/>
  <c r="J20" i="1"/>
  <c r="J21" i="1"/>
  <c r="J22" i="1"/>
  <c r="J23" i="1"/>
  <c r="J24" i="1"/>
  <c r="J25" i="1"/>
  <c r="J26" i="1"/>
  <c r="J7" i="1"/>
  <c r="I2" i="2" s="1"/>
  <c r="I34" i="2" s="1"/>
  <c r="I13" i="2"/>
  <c r="I18" i="2"/>
  <c r="G8" i="1"/>
  <c r="G9" i="1"/>
  <c r="G10" i="1"/>
  <c r="G11" i="1"/>
  <c r="F6" i="2" s="1"/>
  <c r="G12" i="1"/>
  <c r="G13" i="1"/>
  <c r="G14" i="1"/>
  <c r="G15" i="1"/>
  <c r="F10" i="2" s="1"/>
  <c r="G16" i="1"/>
  <c r="G17" i="1"/>
  <c r="G18" i="1"/>
  <c r="G19" i="1"/>
  <c r="F14" i="2" s="1"/>
  <c r="G20" i="1"/>
  <c r="G21" i="1"/>
  <c r="G22" i="1"/>
  <c r="G23" i="1"/>
  <c r="F18" i="2" s="1"/>
  <c r="G24" i="1"/>
  <c r="G25" i="1"/>
  <c r="G26" i="1"/>
  <c r="G7" i="1"/>
  <c r="F8" i="1"/>
  <c r="F9" i="1"/>
  <c r="F10" i="1"/>
  <c r="F11" i="1"/>
  <c r="E6" i="2" s="1"/>
  <c r="F12" i="1"/>
  <c r="F13" i="1"/>
  <c r="F14" i="1"/>
  <c r="F15" i="1"/>
  <c r="F16" i="1"/>
  <c r="F17" i="1"/>
  <c r="F18" i="1"/>
  <c r="E13" i="2" s="1"/>
  <c r="F19" i="1"/>
  <c r="E14" i="2" s="1"/>
  <c r="F20" i="1"/>
  <c r="F21" i="1"/>
  <c r="E16" i="2" s="1"/>
  <c r="F22" i="1"/>
  <c r="E17" i="2" s="1"/>
  <c r="F23" i="1"/>
  <c r="E18" i="2" s="1"/>
  <c r="F24" i="1"/>
  <c r="F25" i="1"/>
  <c r="F26" i="1"/>
  <c r="E21" i="2" s="1"/>
  <c r="E8" i="1"/>
  <c r="E9" i="1"/>
  <c r="E10" i="1"/>
  <c r="D5" i="2" s="1"/>
  <c r="E11" i="1"/>
  <c r="D6" i="2" s="1"/>
  <c r="E12" i="1"/>
  <c r="E13" i="1"/>
  <c r="E14" i="1"/>
  <c r="E15" i="1"/>
  <c r="D10" i="2" s="1"/>
  <c r="E16" i="1"/>
  <c r="E17" i="1"/>
  <c r="D12" i="2" s="1"/>
  <c r="E18" i="1"/>
  <c r="E19" i="1"/>
  <c r="E20" i="1"/>
  <c r="E21" i="1"/>
  <c r="E22" i="1"/>
  <c r="D17" i="2" s="1"/>
  <c r="E23" i="1"/>
  <c r="E24" i="1"/>
  <c r="E25" i="1"/>
  <c r="D20" i="2" s="1"/>
  <c r="E26" i="1"/>
  <c r="D21" i="2" s="1"/>
  <c r="E7" i="1"/>
  <c r="D2" i="2" s="1"/>
  <c r="D34" i="2" s="1"/>
  <c r="E8" i="2"/>
  <c r="E9" i="2"/>
  <c r="E10" i="2"/>
  <c r="D14" i="2"/>
  <c r="I17" i="2"/>
  <c r="I21" i="2"/>
  <c r="I8" i="1"/>
  <c r="I9" i="1"/>
  <c r="I10" i="1"/>
  <c r="I11" i="1"/>
  <c r="H6" i="2" s="1"/>
  <c r="I12" i="1"/>
  <c r="I13" i="1"/>
  <c r="I14" i="1"/>
  <c r="I15" i="1"/>
  <c r="H10" i="2" s="1"/>
  <c r="I16" i="1"/>
  <c r="I17" i="1"/>
  <c r="I18" i="1"/>
  <c r="I19" i="1"/>
  <c r="H14" i="2" s="1"/>
  <c r="I20" i="1"/>
  <c r="I21" i="1"/>
  <c r="I22" i="1"/>
  <c r="I23" i="1"/>
  <c r="H18" i="2" s="1"/>
  <c r="I24" i="1"/>
  <c r="I25" i="1"/>
  <c r="I26" i="1"/>
  <c r="I7" i="1"/>
  <c r="H2" i="2" s="1"/>
  <c r="H34" i="2" s="1"/>
  <c r="F12" i="2"/>
  <c r="F13" i="2"/>
  <c r="F2" i="2"/>
  <c r="F34" i="2" s="1"/>
  <c r="D13" i="2"/>
  <c r="D18" i="2"/>
  <c r="F3" i="2"/>
  <c r="F16" i="2"/>
  <c r="F17" i="2"/>
  <c r="F19" i="2"/>
  <c r="F20" i="2"/>
  <c r="F21" i="2"/>
  <c r="E3" i="2"/>
  <c r="E4" i="2"/>
  <c r="E5" i="2"/>
  <c r="E7" i="2"/>
  <c r="E11" i="2"/>
  <c r="E12" i="2"/>
  <c r="E15" i="2"/>
  <c r="E19" i="2"/>
  <c r="E20" i="2"/>
  <c r="D3" i="2"/>
  <c r="D4" i="2"/>
  <c r="D7" i="2"/>
  <c r="D8" i="2"/>
  <c r="D9" i="2"/>
  <c r="D11" i="2"/>
  <c r="D15" i="2"/>
  <c r="D16" i="2"/>
  <c r="D19" i="2"/>
  <c r="E31" i="2"/>
  <c r="F31" i="2"/>
  <c r="G31" i="2"/>
  <c r="H31" i="2"/>
  <c r="I31" i="2"/>
  <c r="D31" i="2"/>
  <c r="E30" i="2"/>
  <c r="F30" i="2"/>
  <c r="G30" i="2"/>
  <c r="H30" i="2"/>
  <c r="I30" i="2"/>
  <c r="D30" i="2"/>
  <c r="E28" i="2"/>
  <c r="F28" i="2"/>
  <c r="G28" i="2"/>
  <c r="H28" i="2"/>
  <c r="I28" i="2"/>
  <c r="D28" i="2"/>
  <c r="G3" i="2"/>
  <c r="G7" i="2"/>
  <c r="G12" i="2"/>
  <c r="G15" i="2"/>
  <c r="H3" i="2"/>
  <c r="I3" i="2"/>
  <c r="F4" i="2"/>
  <c r="H4" i="2"/>
  <c r="I4" i="2"/>
  <c r="F5" i="2"/>
  <c r="H5" i="2"/>
  <c r="F7" i="2"/>
  <c r="H7" i="2"/>
  <c r="I7" i="2"/>
  <c r="F8" i="2"/>
  <c r="H8" i="2"/>
  <c r="I8" i="2"/>
  <c r="F9" i="2"/>
  <c r="H9" i="2"/>
  <c r="I9" i="2"/>
  <c r="F11" i="2"/>
  <c r="H11" i="2"/>
  <c r="I11" i="2"/>
  <c r="H12" i="2"/>
  <c r="I12" i="2"/>
  <c r="H13" i="2"/>
  <c r="F15" i="2"/>
  <c r="H15" i="2"/>
  <c r="I15" i="2"/>
  <c r="H16" i="2"/>
  <c r="I16" i="2"/>
  <c r="H17" i="2"/>
  <c r="H19" i="2"/>
  <c r="I19" i="2"/>
  <c r="H20" i="2"/>
  <c r="I20" i="2"/>
  <c r="H21" i="2"/>
  <c r="G59" i="2"/>
  <c r="G60" i="2"/>
  <c r="H51" i="2"/>
  <c r="I66" i="2"/>
  <c r="E52" i="2"/>
  <c r="E53" i="2"/>
  <c r="I53" i="2"/>
  <c r="E57" i="2"/>
  <c r="G52" i="2"/>
  <c r="G55" i="2"/>
  <c r="G53" i="2"/>
  <c r="H64" i="2"/>
  <c r="F66" i="2"/>
  <c r="H61" i="2"/>
  <c r="F62" i="2"/>
  <c r="E54" i="2"/>
  <c r="E55" i="2"/>
  <c r="I60" i="2"/>
  <c r="E56" i="2"/>
  <c r="F67" i="2"/>
  <c r="D69" i="2"/>
  <c r="D67" i="2"/>
  <c r="H67" i="2"/>
  <c r="G67" i="2"/>
  <c r="G68" i="2"/>
  <c r="F64" i="2"/>
  <c r="D65" i="2"/>
  <c r="E60" i="2"/>
  <c r="I63" i="2"/>
  <c r="R2" i="2"/>
  <c r="G70" i="2"/>
  <c r="D56" i="2"/>
  <c r="E70" i="2"/>
  <c r="F51" i="2"/>
  <c r="Q2" i="2"/>
  <c r="F70" i="2"/>
  <c r="I62" i="2"/>
  <c r="G66" i="2"/>
  <c r="F55" i="2"/>
  <c r="E62" i="2"/>
  <c r="E63" i="2"/>
  <c r="F56" i="2"/>
  <c r="T2" i="2"/>
  <c r="I54" i="2"/>
  <c r="I55" i="2"/>
  <c r="E59" i="2"/>
  <c r="I59" i="2"/>
  <c r="I64" i="2"/>
  <c r="I65" i="2"/>
  <c r="D59" i="2"/>
  <c r="H59" i="2"/>
  <c r="G57" i="2"/>
  <c r="G58" i="2"/>
  <c r="G64" i="2"/>
  <c r="I67" i="2"/>
  <c r="H57" i="2"/>
  <c r="D51" i="2"/>
  <c r="E67" i="2"/>
  <c r="E65" i="2"/>
  <c r="I70" i="2"/>
  <c r="F65" i="2"/>
  <c r="G51" i="2"/>
  <c r="F61" i="2"/>
  <c r="H58" i="2"/>
  <c r="F60" i="2"/>
  <c r="D52" i="2"/>
  <c r="I69" i="2"/>
  <c r="P2" i="2"/>
  <c r="D53" i="2"/>
  <c r="H70" i="2"/>
  <c r="I58" i="2"/>
  <c r="F52" i="2"/>
  <c r="E61" i="2"/>
  <c r="G56" i="2"/>
  <c r="G54" i="2"/>
  <c r="G65" i="2"/>
  <c r="F57" i="2"/>
  <c r="H60" i="2"/>
  <c r="F53" i="2"/>
  <c r="D55" i="2"/>
  <c r="E69" i="2"/>
  <c r="I61" i="2"/>
  <c r="G62" i="2"/>
  <c r="E68" i="2"/>
  <c r="D60" i="2"/>
  <c r="D66" i="2"/>
  <c r="H66" i="2"/>
  <c r="F68" i="2"/>
  <c r="D68" i="2"/>
  <c r="F63" i="2"/>
  <c r="F59" i="2"/>
  <c r="D61" i="2"/>
  <c r="I68" i="2"/>
  <c r="F54" i="2"/>
  <c r="S2" i="2"/>
  <c r="F69" i="2"/>
  <c r="E51" i="2"/>
  <c r="I52" i="2"/>
  <c r="H68" i="2"/>
  <c r="D62" i="2"/>
  <c r="H63" i="2"/>
  <c r="H53" i="2"/>
  <c r="D57" i="2"/>
  <c r="D63" i="2"/>
  <c r="H54" i="2"/>
  <c r="H52" i="2"/>
  <c r="D54" i="2"/>
  <c r="H55" i="2"/>
  <c r="E58" i="2"/>
  <c r="G61" i="2"/>
  <c r="D64" i="2"/>
  <c r="H65" i="2"/>
  <c r="H62" i="2"/>
  <c r="D58" i="2"/>
  <c r="H56" i="2"/>
  <c r="F58" i="2"/>
  <c r="G63" i="2"/>
  <c r="G69" i="2"/>
  <c r="I56" i="2"/>
  <c r="I57" i="2"/>
  <c r="E66" i="2"/>
  <c r="E64" i="2"/>
  <c r="D70" i="2"/>
  <c r="I51" i="2"/>
  <c r="H69" i="2"/>
  <c r="U2" i="2"/>
  <c r="D43" i="2" l="1"/>
  <c r="D45" i="2" s="1"/>
  <c r="G75" i="2"/>
  <c r="G76" i="2" s="1"/>
  <c r="F75" i="2"/>
  <c r="F76" i="2" s="1"/>
  <c r="I75" i="2"/>
  <c r="I76" i="2" s="1"/>
  <c r="E75" i="2"/>
  <c r="E76" i="2" s="1"/>
  <c r="H75" i="2"/>
  <c r="H76" i="2" s="1"/>
  <c r="D75" i="2"/>
  <c r="D76" i="2" s="1"/>
  <c r="N2" i="2"/>
  <c r="L2" i="2"/>
  <c r="M2" i="2"/>
  <c r="M3" i="2"/>
  <c r="L3" i="2"/>
  <c r="N3" i="2"/>
  <c r="N4" i="2"/>
  <c r="L4" i="2"/>
  <c r="M4" i="2"/>
  <c r="M5" i="2"/>
  <c r="L5" i="2"/>
  <c r="N5" i="2"/>
  <c r="L6" i="2"/>
  <c r="N6" i="2"/>
  <c r="M6" i="2"/>
  <c r="L7" i="2"/>
  <c r="N7" i="2"/>
  <c r="M7" i="2"/>
  <c r="M8" i="2"/>
  <c r="L8" i="2"/>
  <c r="N8" i="2"/>
  <c r="M9" i="2"/>
  <c r="L9" i="2"/>
  <c r="N9" i="2"/>
  <c r="L10" i="2"/>
  <c r="N10" i="2"/>
  <c r="M10" i="2"/>
  <c r="L11" i="2"/>
  <c r="N11" i="2"/>
  <c r="M11" i="2"/>
  <c r="L12" i="2"/>
  <c r="M12" i="2"/>
  <c r="N12" i="2"/>
  <c r="L13" i="2"/>
  <c r="N13" i="2"/>
  <c r="M13" i="2"/>
  <c r="M14" i="2"/>
  <c r="N14" i="2"/>
  <c r="L14" i="2"/>
  <c r="M15" i="2"/>
  <c r="N15" i="2"/>
  <c r="L15" i="2"/>
  <c r="M16" i="2"/>
  <c r="N16" i="2"/>
  <c r="L16" i="2"/>
  <c r="N17" i="2"/>
  <c r="M17" i="2"/>
  <c r="L17" i="2"/>
  <c r="N18" i="2"/>
  <c r="M18" i="2"/>
  <c r="L18" i="2"/>
  <c r="N19" i="2"/>
  <c r="M19" i="2"/>
  <c r="L19" i="2"/>
  <c r="N20" i="2"/>
  <c r="M20" i="2"/>
  <c r="L20" i="2"/>
  <c r="M21" i="2"/>
  <c r="N21" i="2"/>
  <c r="L21" i="2"/>
  <c r="E24" i="2"/>
  <c r="E25" i="2" s="1"/>
  <c r="F24" i="2"/>
  <c r="F25" i="2" s="1"/>
  <c r="H24" i="2"/>
  <c r="H25" i="2" s="1"/>
  <c r="I24" i="2"/>
  <c r="I25" i="2" s="1"/>
  <c r="D24" i="2"/>
  <c r="D25" i="2" s="1"/>
  <c r="G34" i="2"/>
  <c r="E73" i="2"/>
  <c r="E74" i="2" s="1"/>
  <c r="E78" i="2"/>
  <c r="F73" i="2"/>
  <c r="F74" i="2" s="1"/>
  <c r="F78" i="2"/>
  <c r="G73" i="2"/>
  <c r="G74" i="2" s="1"/>
  <c r="G78" i="2"/>
  <c r="H73" i="2"/>
  <c r="H74" i="2" s="1"/>
  <c r="H78" i="2"/>
  <c r="I73" i="2"/>
  <c r="I74" i="2" s="1"/>
  <c r="I78" i="2"/>
  <c r="D73" i="2"/>
  <c r="D74" i="2" s="1"/>
  <c r="D78" i="2"/>
  <c r="E46" i="2"/>
  <c r="E43" i="2"/>
  <c r="E45" i="2" s="1"/>
  <c r="F46" i="2"/>
  <c r="F43" i="2"/>
  <c r="F45" i="2" s="1"/>
  <c r="G46" i="2"/>
  <c r="G43" i="2"/>
  <c r="G45" i="2" s="1"/>
  <c r="H46" i="2"/>
  <c r="H43" i="2"/>
  <c r="H45" i="2" s="1"/>
  <c r="I46" i="2"/>
  <c r="I43" i="2"/>
  <c r="I45" i="2" s="1"/>
  <c r="D46" i="2"/>
  <c r="E39" i="2"/>
  <c r="E41" i="2" s="1"/>
  <c r="F39" i="2"/>
  <c r="F41" i="2" s="1"/>
  <c r="G39" i="2"/>
  <c r="G41" i="2" s="1"/>
  <c r="H39" i="2"/>
  <c r="H41" i="2" s="1"/>
  <c r="I39" i="2"/>
  <c r="I41" i="2" s="1"/>
  <c r="D39" i="2"/>
  <c r="D41" i="2" s="1"/>
  <c r="D35" i="2"/>
  <c r="P3" i="2"/>
  <c r="E35" i="2"/>
  <c r="P4" i="2"/>
  <c r="F35" i="2"/>
  <c r="P5" i="2"/>
  <c r="G35" i="2"/>
  <c r="P6" i="2"/>
  <c r="H35" i="2"/>
  <c r="P7" i="2"/>
  <c r="I35" i="2"/>
  <c r="K3" i="2" l="1"/>
  <c r="K10" i="2"/>
  <c r="G77" i="2"/>
  <c r="G80" i="2" s="1"/>
  <c r="G36" i="2" s="1"/>
  <c r="G37" i="2" s="1"/>
  <c r="K21" i="2"/>
  <c r="K17" i="2"/>
  <c r="K15" i="2"/>
  <c r="K13" i="2"/>
  <c r="K18" i="2"/>
  <c r="K11" i="2"/>
  <c r="K8" i="2"/>
  <c r="K7" i="2"/>
  <c r="K4" i="2"/>
  <c r="K19" i="2"/>
  <c r="K14" i="2"/>
  <c r="K12" i="2"/>
  <c r="K9" i="2"/>
  <c r="K5" i="2"/>
  <c r="K20" i="2"/>
  <c r="K16" i="2"/>
  <c r="K6" i="2"/>
  <c r="H77" i="2"/>
  <c r="H80" i="2" s="1"/>
  <c r="H36" i="2" s="1"/>
  <c r="H37" i="2" s="1"/>
  <c r="H84" i="2" s="1"/>
  <c r="I77" i="2"/>
  <c r="I80" i="2" s="1"/>
  <c r="I36" i="2" s="1"/>
  <c r="I37" i="2" s="1"/>
  <c r="I84" i="2" s="1"/>
  <c r="K2" i="2"/>
  <c r="E77" i="2"/>
  <c r="E80" i="2" s="1"/>
  <c r="E36" i="2" s="1"/>
  <c r="E37" i="2" s="1"/>
  <c r="E84" i="2" s="1"/>
  <c r="D77" i="2"/>
  <c r="D80" i="2" s="1"/>
  <c r="D36" i="2" s="1"/>
  <c r="D37" i="2" s="1"/>
  <c r="D84" i="2" s="1"/>
  <c r="F77" i="2"/>
  <c r="F80" i="2" s="1"/>
  <c r="F36" i="2" s="1"/>
  <c r="F37" i="2" s="1"/>
  <c r="F84" i="2" s="1"/>
  <c r="I48" i="2"/>
  <c r="I83" i="2" s="1"/>
  <c r="D48" i="2"/>
  <c r="D83" i="2" s="1"/>
  <c r="H48" i="2"/>
  <c r="H83" i="2" s="1"/>
  <c r="G48" i="2"/>
  <c r="G83" i="2" s="1"/>
  <c r="E48" i="2"/>
  <c r="E83" i="2" s="1"/>
  <c r="F48" i="2"/>
  <c r="F83" i="2" s="1"/>
  <c r="K24" i="2" l="1"/>
  <c r="G24" i="2" s="1"/>
  <c r="G25" i="2" s="1"/>
  <c r="G84" i="2" s="1"/>
  <c r="G86" i="2" s="1"/>
  <c r="E86" i="2"/>
  <c r="I86" i="2"/>
  <c r="H86" i="2"/>
  <c r="F86" i="2"/>
  <c r="D86" i="2"/>
  <c r="D87" i="2" l="1"/>
  <c r="D89" i="2" s="1"/>
  <c r="D91" i="2" a="1"/>
  <c r="D91" i="2" l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<sst xmlns="http://schemas.openxmlformats.org/spreadsheetml/2006/main" count="109" uniqueCount="107">
  <si>
    <t>Nama</t>
  </si>
  <si>
    <t>Tempat Lahir</t>
  </si>
  <si>
    <t>Tanggal Lahir</t>
  </si>
  <si>
    <t>Adi Pratama</t>
  </si>
  <si>
    <t>Jakarta</t>
  </si>
  <si>
    <t>Budi Santoso</t>
  </si>
  <si>
    <t>Bandung</t>
  </si>
  <si>
    <t>Citra Wulandari</t>
  </si>
  <si>
    <t>Surabaya</t>
  </si>
  <si>
    <t>Dewi Lestari</t>
  </si>
  <si>
    <t>Medan</t>
  </si>
  <si>
    <t>Eko Saputra</t>
  </si>
  <si>
    <t>Semarang</t>
  </si>
  <si>
    <t>Fajar Nugroho</t>
  </si>
  <si>
    <t>Makassar</t>
  </si>
  <si>
    <t>Gita Sari</t>
  </si>
  <si>
    <t>Palembang</t>
  </si>
  <si>
    <t>Hadi Wijaya</t>
  </si>
  <si>
    <t>Bogor</t>
  </si>
  <si>
    <t>Indah Permata</t>
  </si>
  <si>
    <t>Depok</t>
  </si>
  <si>
    <t>Joko Prabowo</t>
  </si>
  <si>
    <t>Bekasi</t>
  </si>
  <si>
    <t>Kiki Amalia</t>
  </si>
  <si>
    <t>Yogyakarta</t>
  </si>
  <si>
    <t>Lia Kusuma</t>
  </si>
  <si>
    <t>Malang</t>
  </si>
  <si>
    <t>Mira Anggraini</t>
  </si>
  <si>
    <t>Padang</t>
  </si>
  <si>
    <t>Niko Prasetyo</t>
  </si>
  <si>
    <t>Denpasar</t>
  </si>
  <si>
    <t>Oki Rahmat</t>
  </si>
  <si>
    <t>Pontianak</t>
  </si>
  <si>
    <t>Putri Aulia</t>
  </si>
  <si>
    <t>Aceh</t>
  </si>
  <si>
    <t>Rudi Hartono</t>
  </si>
  <si>
    <t>Manado</t>
  </si>
  <si>
    <t>Sari Melati</t>
  </si>
  <si>
    <t>Batam</t>
  </si>
  <si>
    <t>Tono Wijaya</t>
  </si>
  <si>
    <t>Balikpapan</t>
  </si>
  <si>
    <t>Wulan Sari</t>
  </si>
  <si>
    <t>Kupang</t>
  </si>
  <si>
    <t>Umur 
(Dalam Tahun)</t>
  </si>
  <si>
    <t>Umur 
(Dalam Bulan)</t>
  </si>
  <si>
    <t>Umur 
(Dalam Hari)</t>
  </si>
  <si>
    <t>Umur Lengkap</t>
  </si>
  <si>
    <t>Hari ini</t>
  </si>
  <si>
    <t>Ulang Tahun Ke 60th</t>
  </si>
  <si>
    <t>Dana Pensiun</t>
  </si>
  <si>
    <t>Soal</t>
  </si>
  <si>
    <t>Misal Tanggal lahir 12 Jan 2000 maka hasilnya 25 Tahun</t>
  </si>
  <si>
    <t>Misal Tanggal lahir 12 Jan 2000 maka hasilnya 309 Bulan</t>
  </si>
  <si>
    <t>Misal Tanggal lahir 12 Jan 2000 maka hasilnya 9423 hari</t>
  </si>
  <si>
    <t>Kapan Tanggal Ulang Tahun yang ke 60</t>
  </si>
  <si>
    <t>Misal Tanggal lahir 12 Jan 2000 maka hasilnya 12 Jan 2060</t>
  </si>
  <si>
    <t>Misal Tanggal lahir 2 Des 2024 maka hasilnya 10 Bulan 25 Hari</t>
  </si>
  <si>
    <t>Misal Tanggal lahir 30 Mar 2025 maka hasilnya 7 Bulan</t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</si>
  <si>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>Umur (Dalam Tahun</t>
    </r>
    <r>
      <rPr>
        <b/>
        <sz val="11"/>
        <color theme="1"/>
        <rFont val="Aptos Narrow"/>
        <family val="2"/>
        <scheme val="minor"/>
      </rPr>
      <t xml:space="preserve">) berdasarkan  </t>
    </r>
    <r>
      <rPr>
        <b/>
        <sz val="11"/>
        <color rgb="FF0070C0"/>
        <rFont val="Aptos Narrow"/>
        <family val="2"/>
        <scheme val="minor"/>
      </rPr>
      <t>Tanggal Lahir</t>
    </r>
    <r>
      <rPr>
        <b/>
        <sz val="11"/>
        <color theme="1"/>
        <rFont val="Aptos Narrow"/>
        <family val="2"/>
        <scheme val="minor"/>
      </rPr>
      <t xml:space="preserve"> sampai hari ini (C4)</t>
    </r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</si>
  <si>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>Umur (Dalam Bulan</t>
    </r>
    <r>
      <rPr>
        <b/>
        <sz val="11"/>
        <color theme="1"/>
        <rFont val="Aptos Narrow"/>
        <family val="2"/>
        <scheme val="minor"/>
      </rPr>
      <t xml:space="preserve">) berdasarkan  </t>
    </r>
    <r>
      <rPr>
        <b/>
        <sz val="11"/>
        <color rgb="FF0070C0"/>
        <rFont val="Aptos Narrow"/>
        <family val="2"/>
        <scheme val="minor"/>
      </rPr>
      <t>Tanggal Lahir</t>
    </r>
    <r>
      <rPr>
        <b/>
        <sz val="11"/>
        <color theme="1"/>
        <rFont val="Aptos Narrow"/>
        <family val="2"/>
        <scheme val="minor"/>
      </rPr>
      <t xml:space="preserve"> sampai hari ini (C4)</t>
    </r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</si>
  <si>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>Umur (Dalam Hari</t>
    </r>
    <r>
      <rPr>
        <b/>
        <sz val="11"/>
        <color theme="1"/>
        <rFont val="Aptos Narrow"/>
        <family val="2"/>
        <scheme val="minor"/>
      </rPr>
      <t xml:space="preserve">) berdasarkan  </t>
    </r>
    <r>
      <rPr>
        <b/>
        <sz val="11"/>
        <color rgb="FF0070C0"/>
        <rFont val="Aptos Narrow"/>
        <family val="2"/>
        <scheme val="minor"/>
      </rPr>
      <t>Tanggal Lahir</t>
    </r>
    <r>
      <rPr>
        <b/>
        <sz val="11"/>
        <color theme="1"/>
        <rFont val="Aptos Narrow"/>
        <family val="2"/>
        <scheme val="minor"/>
      </rPr>
      <t xml:space="preserve"> sampai hari ini (C4)</t>
    </r>
  </si>
  <si>
    <r>
      <t xml:space="preserve">Isi kolom </t>
    </r>
    <r>
      <rPr>
        <b/>
        <sz val="11"/>
        <color rgb="FF0070C0"/>
        <rFont val="Aptos Narrow"/>
        <family val="2"/>
        <scheme val="minor"/>
      </rPr>
      <t>Umur lengkap</t>
    </r>
    <r>
      <rPr>
        <b/>
        <sz val="11"/>
        <color theme="1"/>
        <rFont val="Aptos Narrow"/>
        <family val="2"/>
        <scheme val="minor"/>
      </rPr>
      <t xml:space="preserve"> berdasarkan  </t>
    </r>
    <r>
      <rPr>
        <b/>
        <sz val="11"/>
        <color rgb="FF0070C0"/>
        <rFont val="Aptos Narrow"/>
        <family val="2"/>
        <scheme val="minor"/>
      </rPr>
      <t>Tanggal Lahir</t>
    </r>
    <r>
      <rPr>
        <b/>
        <sz val="11"/>
        <color theme="1"/>
        <rFont val="Aptos Narrow"/>
        <family val="2"/>
        <scheme val="minor"/>
      </rPr>
      <t xml:space="preserve"> sampai hari ini (C4) tanpa menampilkan 0</t>
    </r>
  </si>
  <si>
    <r>
      <rPr>
        <b/>
        <sz val="11"/>
        <color rgb="FF0070C0"/>
        <rFont val="Aptos Narrow"/>
        <family val="2"/>
        <scheme val="minor"/>
      </rPr>
      <t>Dana Pensiun</t>
    </r>
    <r>
      <rPr>
        <b/>
        <sz val="11"/>
        <color theme="1"/>
        <rFont val="Aptos Narrow"/>
        <family val="2"/>
        <scheme val="minor"/>
      </rPr>
      <t xml:space="preserve"> diberikan 4 Tahun setelah Ulang Tahun yang ke 60 di Tanggal 1 berikutnya</t>
    </r>
  </si>
  <si>
    <t>Misal Tanggal lahir 12 Jan 2000 dan Umur 60 di 12 Jan 2060, maka dana pensiun diberikan 1 Feb 2064</t>
  </si>
  <si>
    <t>KODE SOAL</t>
  </si>
  <si>
    <t>SBEM012</t>
  </si>
  <si>
    <t>KODE JAWABAN</t>
  </si>
  <si>
    <t>DF</t>
  </si>
  <si>
    <t>Value</t>
  </si>
  <si>
    <t>Random</t>
  </si>
  <si>
    <t>Cek Man2</t>
  </si>
  <si>
    <t>Cek Man1</t>
  </si>
  <si>
    <t>Cek Drag</t>
  </si>
  <si>
    <t>Cek Fung</t>
  </si>
  <si>
    <t>Cek Formula</t>
  </si>
  <si>
    <t>cek ff</t>
  </si>
  <si>
    <t>**</t>
  </si>
  <si>
    <t>AVG1</t>
  </si>
  <si>
    <t>AVG2</t>
  </si>
  <si>
    <t>Arra</t>
  </si>
  <si>
    <t>F</t>
  </si>
  <si>
    <t>V</t>
  </si>
  <si>
    <t>A</t>
  </si>
  <si>
    <t>D</t>
  </si>
  <si>
    <t>C</t>
  </si>
  <si>
    <t>DAC0</t>
  </si>
  <si>
    <t>AGEK</t>
  </si>
  <si>
    <t>AJEH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</si>
  <si>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</si>
  <si>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</si>
  <si>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</si>
  <si>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</si>
  <si>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</si>
  <si>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</si>
  <si>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</si>
  <si>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</si>
  <si>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</si>
  <si>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</si>
  <si>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</si>
  <si>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</si>
  <si>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</si>
  <si>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</si>
  <si>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</si>
  <si>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r>
      <t xml:space="preserve">Medium Level  </t>
    </r>
    <r>
      <rPr>
        <sz val="9"/>
        <color rgb="FFFFC000"/>
        <rFont val="Aptos Narrow"/>
        <family val="2"/>
        <scheme val="minor"/>
      </rPr>
      <t>(⭐⭐)</t>
    </r>
  </si>
  <si>
    <t>Selesai mengerjakan?</t>
  </si>
  <si>
    <r>
      <t xml:space="preserve">kirimkan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u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 benar/salah</t>
    </r>
  </si>
  <si>
    <t>ML2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</si>
</sst>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yy;@"/>
    <numFmt numFmtId="165" formatCode="0\ &quot;Tahun&quot;"/>
    <numFmt numFmtId="166" formatCode="0\ &quot;Bulan&quot;"/>
    <numFmt numFmtId="167" formatCode="0\ &quot;Hari&quot;"/>
    <numFmt numFmtId="168" formatCode="[=0]&quot;&quot;;General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8"/>
      <color rgb="FFFFC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u/>
      <sz val="11"/>
      <color rgb="FF0070C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indent="1"/>
    </xf>
    <xf numFmtId="14" fontId="0" fillId="0" borderId="0" xfId="0" applyNumberFormat="1"/>
    <xf numFmtId="0" fontId="0" fillId="5" borderId="2" xfId="0" applyFill="1" applyBorder="1"/>
    <xf numFmtId="14" fontId="0" fillId="6" borderId="3" xfId="0" applyNumberFormat="1" applyFill="1" applyBorder="1"/>
    <xf numFmtId="0" fontId="0" fillId="7" borderId="0" xfId="0" applyFill="1" applyAlignment="1">
      <alignment horizontal="left" indent="1"/>
    </xf>
    <xf numFmtId="164" fontId="0" fillId="3" borderId="1" xfId="0" applyNumberFormat="1" applyFill="1" applyBorder="1" applyAlignment="1">
      <alignment horizontal="right" indent="1"/>
    </xf>
    <xf numFmtId="165" fontId="0" fillId="4" borderId="1" xfId="0" applyNumberFormat="1" applyFill="1" applyBorder="1" applyAlignment="1">
      <alignment horizontal="right" indent="2"/>
    </xf>
    <xf numFmtId="166" fontId="0" fillId="4" borderId="1" xfId="0" applyNumberFormat="1" applyFill="1" applyBorder="1" applyAlignment="1">
      <alignment horizontal="right" indent="2"/>
    </xf>
    <xf numFmtId="167" fontId="0" fillId="4" borderId="1" xfId="0" applyNumberFormat="1" applyFill="1" applyBorder="1" applyAlignment="1">
      <alignment horizontal="right" indent="2"/>
    </xf>
    <xf numFmtId="0" fontId="1" fillId="0" borderId="0" xfId="0" applyFont="1"/>
    <xf numFmtId="0" fontId="2" fillId="0" borderId="0" xfId="0" applyFont="1"/>
    <xf numFmtId="164" fontId="0" fillId="4" borderId="1" xfId="0" applyNumberFormat="1" applyFill="1" applyBorder="1" applyAlignment="1">
      <alignment horizontal="right" indent="1"/>
    </xf>
    <xf numFmtId="0" fontId="3" fillId="0" borderId="0" xfId="0" applyFont="1"/>
    <xf numFmtId="0" fontId="7" fillId="8" borderId="0" xfId="0" applyFont="1" applyFill="1" applyAlignment="1">
      <alignment horizontal="center"/>
    </xf>
    <xf numFmtId="0" fontId="9" fillId="7" borderId="0" xfId="0" applyFont="1" applyFill="1" applyAlignment="1">
      <alignment vertical="center"/>
    </xf>
    <xf numFmtId="0" fontId="10" fillId="9" borderId="0" xfId="0" applyFont="1" applyFill="1"/>
    <xf numFmtId="0" fontId="0" fillId="9" borderId="0" xfId="0" applyFill="1"/>
    <xf numFmtId="0" fontId="5" fillId="0" borderId="1" xfId="1" applyBorder="1"/>
    <xf numFmtId="0" fontId="5" fillId="0" borderId="0" xfId="1"/>
    <xf numFmtId="0" fontId="12" fillId="0" borderId="1" xfId="1" applyFont="1" applyBorder="1" applyAlignment="1">
      <alignment horizontal="left"/>
    </xf>
    <xf numFmtId="0" fontId="13" fillId="0" borderId="1" xfId="1" applyFont="1" applyBorder="1" applyAlignment="1">
      <alignment horizontal="left"/>
    </xf>
    <xf numFmtId="0" fontId="13" fillId="0" borderId="1" xfId="1" applyFont="1" applyBorder="1"/>
    <xf numFmtId="0" fontId="6" fillId="0" borderId="1" xfId="2" applyBorder="1"/>
    <xf numFmtId="0" fontId="14" fillId="0" borderId="0" xfId="0" applyFont="1"/>
    <xf numFmtId="0" fontId="11" fillId="0" borderId="1" xfId="1" applyFont="1" applyBorder="1" applyAlignment="1">
      <alignment horizontal="left"/>
    </xf>
    <xf numFmtId="0" fontId="12" fillId="0" borderId="1" xfId="1" applyFont="1" applyBorder="1" applyAlignment="1">
      <alignment horizontal="left"/>
    </xf>
    <xf numFmtId="168" fontId="0" fillId="4" borderId="1" xfId="0" applyNumberFormat="1" applyFill="1" applyBorder="1" applyAlignment="1">
      <alignment horizontal="right"/>
    </xf>
  </cellXfs>
  <cellStyles count="3">
    <cellStyle name="Hyperlink 2" xfId="2" xr:uid="{DF90698D-2977-4396-B3A7-90F6D58DA562}"/>
    <cellStyle name="Normal" xfId="0" builtinId="0"/>
    <cellStyle name="Normal 2" xfId="1" xr:uid="{AB7147D4-E326-4874-8171-157248F9DBCF}"/>
  </cellStyles>
  <dxfs count="1">
    <dxf>
      <border>
        <bottom style="thin">
          <color rgb="FF00B05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50</xdr:row>
      <xdr:rowOff>160020</xdr:rowOff>
    </xdr:from>
    <xdr:to>
      <xdr:col>3</xdr:col>
      <xdr:colOff>556260</xdr:colOff>
      <xdr:row>52</xdr:row>
      <xdr:rowOff>38100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7CDDA1-92F0-42F9-A418-5853351ECF92}"/>
            </a:ext>
          </a:extLst>
        </xdr:cNvPr>
        <xdr:cNvSpPr/>
      </xdr:nvSpPr>
      <xdr:spPr>
        <a:xfrm>
          <a:off x="2004060" y="11041380"/>
          <a:ext cx="1813560" cy="24384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8</xdr:col>
      <xdr:colOff>533400</xdr:colOff>
      <xdr:row>28</xdr:row>
      <xdr:rowOff>167640</xdr:rowOff>
    </xdr:from>
    <xdr:to>
      <xdr:col>9</xdr:col>
      <xdr:colOff>1370584</xdr:colOff>
      <xdr:row>33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94E4C5-D459-4983-BE7A-465C56DDB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2240" y="7025640"/>
          <a:ext cx="2422144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502920</xdr:colOff>
      <xdr:row>1</xdr:row>
      <xdr:rowOff>53340</xdr:rowOff>
    </xdr:from>
    <xdr:to>
      <xdr:col>4</xdr:col>
      <xdr:colOff>121919</xdr:colOff>
      <xdr:row>4</xdr:row>
      <xdr:rowOff>91542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2A38AB-7CB7-4A35-8BA1-A92D9286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54479" cy="586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A43E-AE69-4B4E-9627-D7354EDFA4D9}">
  <sheetPr codeName="Sheet1"/>
  <dimension ref="B1:J50"/>
  <sheetViews>
    <sheetView tabSelected="1" topLeftCell="B27" workbookViewId="0">
      <selection activeCell="B52" sqref="B52"/>
    </sheetView>
  </sheetViews>
  <sheetFormatPr defaultRowHeight="15" x14ac:dyDescent="0.25"/>
  <cols>
    <col min="2" max="2" width="20.28515625" customWidth="1"/>
    <col min="3" max="3" width="18.28515625" customWidth="1"/>
    <col min="4" max="4" width="16.7109375" customWidth="1"/>
    <col min="5" max="5" width="20.140625" customWidth="1"/>
    <col min="6" max="6" width="16.140625" customWidth="1"/>
    <col min="7" max="7" width="18.28515625" customWidth="1"/>
    <col min="8" max="8" width="24" bestFit="1" customWidth="1"/>
    <col min="9" max="9" width="23.140625" customWidth="1"/>
    <col min="10" max="10" width="25.5703125" customWidth="1"/>
  </cols>
  <sheetData>
    <row r="1" spans="2:10" x14ac:dyDescent="0.25">
      <c r="B1" s="16" t="s">
        <v>103</v>
      </c>
    </row>
    <row r="2" spans="2:10" ht="21" x14ac:dyDescent="0.35">
      <c r="B2" s="17" t="s">
        <v>64</v>
      </c>
      <c r="C2" s="18" t="s">
        <v>65</v>
      </c>
      <c r="E2" s="17" t="s">
        <v>66</v>
      </c>
      <c r="F2" s="18" t="str">
        <f ca="1">kode_jawaban</f>
        <v>ML2|41-DAC0;18-1ACB;2C-3310E;4E-93D3A;20-19CEC6;3E-1A7043</v>
      </c>
      <c r="G2" s="19"/>
      <c r="H2" s="19"/>
      <c r="I2" s="19"/>
      <c r="J2" s="19"/>
    </row>
    <row r="3" spans="2:10" ht="15.75" thickBot="1" x14ac:dyDescent="0.3">
      <c r="F3" s="4"/>
    </row>
    <row r="4" spans="2:10" ht="15.75" thickBot="1" x14ac:dyDescent="0.3">
      <c r="B4" s="5" t="s">
        <v>47</v>
      </c>
      <c r="C4" s="6">
        <v>45960</v>
      </c>
      <c r="F4" s="4"/>
    </row>
    <row r="5" spans="2:10" x14ac:dyDescent="0.25">
      <c r="E5" s="15">
        <v>1</v>
      </c>
      <c r="F5" s="15">
        <v>2</v>
      </c>
      <c r="G5" s="15">
        <v>3</v>
      </c>
      <c r="H5" s="15">
        <v>4</v>
      </c>
      <c r="I5" s="15">
        <v>5</v>
      </c>
      <c r="J5" s="15">
        <v>6</v>
      </c>
    </row>
    <row r="6" spans="2:10" ht="35.450000000000003" customHeight="1" x14ac:dyDescent="0.25">
      <c r="B6" s="1" t="s">
        <v>0</v>
      </c>
      <c r="C6" s="1" t="s">
        <v>1</v>
      </c>
      <c r="D6" s="1" t="s">
        <v>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48</v>
      </c>
      <c r="J6" s="2" t="s">
        <v>49</v>
      </c>
    </row>
    <row r="7" spans="2:10" ht="19.899999999999999" customHeight="1" x14ac:dyDescent="0.25">
      <c r="B7" s="3" t="s">
        <v>3</v>
      </c>
      <c r="C7" s="3" t="s">
        <v>4</v>
      </c>
      <c r="D7" s="8">
        <v>36537</v>
      </c>
      <c r="E7" s="9">
        <f>DATEDIF(D7,$C$4,"Y")</f>
        <v>25</v>
      </c>
      <c r="F7" s="10">
        <f>DATEDIF(D7,$C$4,"M")</f>
        <v>309</v>
      </c>
      <c r="G7" s="11">
        <f>DATEDIF(D7,$C$4,"D")</f>
        <v>9423</v>
      </c>
      <c r="H7" s="29" t="str" cm="1">
        <f t="array" ref="H7">_xlfn.TEXTJOIN(" ",1,TEXT(DATEDIF(D7,$C$4,{"Y";"YM";"MD"}),{"[&gt;0]0 ""Tahun"";;";"[&gt;0]0 ""Bulan"";;";"[&gt;0]0 ""Hari"";;"}))</f>
        <v>25 Tahun 9 Bulan 18 Hari</v>
      </c>
      <c r="I7" s="14">
        <f>EDATE(D7,60*12)</f>
        <v>58452</v>
      </c>
      <c r="J7" s="14">
        <f>EOMONTH(I7,4*12)+1</f>
        <v>59933</v>
      </c>
    </row>
    <row r="8" spans="2:10" ht="19.899999999999999" customHeight="1" x14ac:dyDescent="0.25">
      <c r="B8" s="3" t="s">
        <v>5</v>
      </c>
      <c r="C8" s="3" t="s">
        <v>6</v>
      </c>
      <c r="D8" s="8">
        <v>39591</v>
      </c>
      <c r="E8" s="9">
        <f t="shared" ref="E8:E26" si="0">DATEDIF(D8,$C$4,"Y")</f>
        <v>17</v>
      </c>
      <c r="F8" s="10">
        <f t="shared" ref="F8:F26" si="1">DATEDIF(D8,$C$4,"M")</f>
        <v>209</v>
      </c>
      <c r="G8" s="11">
        <f t="shared" ref="G8:G26" si="2">DATEDIF(D8,$C$4,"D")</f>
        <v>6369</v>
      </c>
      <c r="H8" s="29" t="str" cm="1">
        <f t="array" ref="H8">_xlfn.TEXTJOIN(" ",1,TEXT(DATEDIF(D8,$C$4,{"Y";"YM";"MD"}),{"[&gt;0]0 ""Tahun"";;";"[&gt;0]0 ""Bulan"";;";"[&gt;0]0 ""Hari"";;"}))</f>
        <v>17 Tahun 5 Bulan 7 Hari</v>
      </c>
      <c r="I8" s="14">
        <f t="shared" ref="I8:I26" si="3">EDATE(D8,60*12)</f>
        <v>61506</v>
      </c>
      <c r="J8" s="14">
        <f t="shared" ref="J8:J26" si="4">EOMONTH(I8,4*12)+1</f>
        <v>62976</v>
      </c>
    </row>
    <row r="9" spans="2:10" ht="19.899999999999999" customHeight="1" x14ac:dyDescent="0.25">
      <c r="B9" s="3" t="s">
        <v>7</v>
      </c>
      <c r="C9" s="3" t="s">
        <v>8</v>
      </c>
      <c r="D9" s="8">
        <v>34897</v>
      </c>
      <c r="E9" s="9">
        <f t="shared" si="0"/>
        <v>30</v>
      </c>
      <c r="F9" s="10">
        <f t="shared" si="1"/>
        <v>363</v>
      </c>
      <c r="G9" s="11">
        <f t="shared" si="2"/>
        <v>11063</v>
      </c>
      <c r="H9" s="29" t="str" cm="1">
        <f t="array" ref="H9">_xlfn.TEXTJOIN(" ",1,TEXT(DATEDIF(D9,$C$4,{"Y";"YM";"MD"}),{"[&gt;0]0 ""Tahun"";;";"[&gt;0]0 ""Bulan"";;";"[&gt;0]0 ""Hari"";;"}))</f>
        <v>30 Tahun 3 Bulan 13 Hari</v>
      </c>
      <c r="I9" s="14">
        <f t="shared" si="3"/>
        <v>56812</v>
      </c>
      <c r="J9" s="14">
        <f t="shared" si="4"/>
        <v>58288</v>
      </c>
    </row>
    <row r="10" spans="2:10" ht="19.899999999999999" customHeight="1" x14ac:dyDescent="0.25">
      <c r="B10" s="3" t="s">
        <v>9</v>
      </c>
      <c r="C10" s="3" t="s">
        <v>10</v>
      </c>
      <c r="D10" s="8">
        <v>33888</v>
      </c>
      <c r="E10" s="9">
        <f t="shared" si="0"/>
        <v>33</v>
      </c>
      <c r="F10" s="10">
        <f t="shared" si="1"/>
        <v>396</v>
      </c>
      <c r="G10" s="11">
        <f t="shared" si="2"/>
        <v>12072</v>
      </c>
      <c r="H10" s="29" t="str" cm="1">
        <f t="array" ref="H10">_xlfn.TEXTJOIN(" ",1,TEXT(DATEDIF(D10,$C$4,{"Y";"YM";"MD"}),{"[&gt;0]0 ""Tahun"";;";"[&gt;0]0 ""Bulan"";;";"[&gt;0]0 ""Hari"";;"}))</f>
        <v>33 Tahun 19 Hari</v>
      </c>
      <c r="I10" s="14">
        <f t="shared" si="3"/>
        <v>55803</v>
      </c>
      <c r="J10" s="14">
        <f t="shared" si="4"/>
        <v>57285</v>
      </c>
    </row>
    <row r="11" spans="2:10" ht="19.899999999999999" customHeight="1" x14ac:dyDescent="0.25">
      <c r="B11" s="3" t="s">
        <v>11</v>
      </c>
      <c r="C11" s="3" t="s">
        <v>12</v>
      </c>
      <c r="D11" s="8">
        <v>45010</v>
      </c>
      <c r="E11" s="9">
        <f t="shared" si="0"/>
        <v>2</v>
      </c>
      <c r="F11" s="10">
        <f t="shared" si="1"/>
        <v>31</v>
      </c>
      <c r="G11" s="11">
        <f t="shared" si="2"/>
        <v>950</v>
      </c>
      <c r="H11" s="29" t="str" cm="1">
        <f t="array" ref="H11">_xlfn.TEXTJOIN(" ",1,TEXT(DATEDIF(D11,$C$4,{"Y";"YM";"MD"}),{"[&gt;0]0 ""Tahun"";;";"[&gt;0]0 ""Bulan"";;";"[&gt;0]0 ""Hari"";;"}))</f>
        <v>2 Tahun 7 Bulan 5 Hari</v>
      </c>
      <c r="I11" s="14">
        <f t="shared" si="3"/>
        <v>66925</v>
      </c>
      <c r="J11" s="14">
        <f t="shared" si="4"/>
        <v>68393</v>
      </c>
    </row>
    <row r="12" spans="2:10" ht="19.899999999999999" customHeight="1" x14ac:dyDescent="0.25">
      <c r="B12" s="3" t="s">
        <v>13</v>
      </c>
      <c r="C12" s="3" t="s">
        <v>14</v>
      </c>
      <c r="D12" s="8">
        <v>45628</v>
      </c>
      <c r="E12" s="9">
        <f t="shared" si="0"/>
        <v>0</v>
      </c>
      <c r="F12" s="10">
        <f t="shared" si="1"/>
        <v>10</v>
      </c>
      <c r="G12" s="11">
        <f t="shared" si="2"/>
        <v>332</v>
      </c>
      <c r="H12" s="29" t="str" cm="1">
        <f t="array" ref="H12">_xlfn.TEXTJOIN(" ",1,TEXT(DATEDIF(D12,$C$4,{"Y";"YM";"MD"}),{"[&gt;0]0 ""Tahun"";;";"[&gt;0]0 ""Bulan"";;";"[&gt;0]0 ""Hari"";;"}))</f>
        <v>10 Bulan 28 Hari</v>
      </c>
      <c r="I12" s="14">
        <f t="shared" si="3"/>
        <v>67543</v>
      </c>
      <c r="J12" s="14">
        <f t="shared" si="4"/>
        <v>69034</v>
      </c>
    </row>
    <row r="13" spans="2:10" ht="19.899999999999999" customHeight="1" x14ac:dyDescent="0.25">
      <c r="B13" s="3" t="s">
        <v>15</v>
      </c>
      <c r="C13" s="3" t="s">
        <v>16</v>
      </c>
      <c r="D13" s="8">
        <v>38168</v>
      </c>
      <c r="E13" s="9">
        <f t="shared" si="0"/>
        <v>21</v>
      </c>
      <c r="F13" s="10">
        <f t="shared" si="1"/>
        <v>256</v>
      </c>
      <c r="G13" s="11">
        <f t="shared" si="2"/>
        <v>7792</v>
      </c>
      <c r="H13" s="29" t="str" cm="1">
        <f t="array" ref="H13">_xlfn.TEXTJOIN(" ",1,TEXT(DATEDIF(D13,$C$4,{"Y";"YM";"MD"}),{"[&gt;0]0 ""Tahun"";;";"[&gt;0]0 ""Bulan"";;";"[&gt;0]0 ""Hari"";;"}))</f>
        <v>21 Tahun 4 Bulan</v>
      </c>
      <c r="I13" s="14">
        <f t="shared" si="3"/>
        <v>60083</v>
      </c>
      <c r="J13" s="14">
        <f t="shared" si="4"/>
        <v>61545</v>
      </c>
    </row>
    <row r="14" spans="2:10" ht="19.899999999999999" customHeight="1" x14ac:dyDescent="0.25">
      <c r="B14" s="3" t="s">
        <v>17</v>
      </c>
      <c r="C14" s="3" t="s">
        <v>18</v>
      </c>
      <c r="D14" s="8">
        <v>44812</v>
      </c>
      <c r="E14" s="9">
        <f t="shared" si="0"/>
        <v>3</v>
      </c>
      <c r="F14" s="10">
        <f t="shared" si="1"/>
        <v>37</v>
      </c>
      <c r="G14" s="11">
        <f t="shared" si="2"/>
        <v>1148</v>
      </c>
      <c r="H14" s="29" t="str" cm="1">
        <f t="array" ref="H14">_xlfn.TEXTJOIN(" ",1,TEXT(DATEDIF(D14,$C$4,{"Y";"YM";"MD"}),{"[&gt;0]0 ""Tahun"";;";"[&gt;0]0 ""Bulan"";;";"[&gt;0]0 ""Hari"";;"}))</f>
        <v>3 Tahun 1 Bulan 22 Hari</v>
      </c>
      <c r="I14" s="14">
        <f t="shared" si="3"/>
        <v>66727</v>
      </c>
      <c r="J14" s="14">
        <f t="shared" si="4"/>
        <v>68211</v>
      </c>
    </row>
    <row r="15" spans="2:10" ht="19.899999999999999" customHeight="1" x14ac:dyDescent="0.25">
      <c r="B15" s="3" t="s">
        <v>19</v>
      </c>
      <c r="C15" s="3" t="s">
        <v>20</v>
      </c>
      <c r="D15" s="8">
        <v>35114</v>
      </c>
      <c r="E15" s="9">
        <f t="shared" si="0"/>
        <v>29</v>
      </c>
      <c r="F15" s="10">
        <f t="shared" si="1"/>
        <v>356</v>
      </c>
      <c r="G15" s="11">
        <f t="shared" si="2"/>
        <v>10846</v>
      </c>
      <c r="H15" s="29" t="str" cm="1">
        <f t="array" ref="H15">_xlfn.TEXTJOIN(" ",1,TEXT(DATEDIF(D15,$C$4,{"Y";"YM";"MD"}),{"[&gt;0]0 ""Tahun"";;";"[&gt;0]0 ""Bulan"";;";"[&gt;0]0 ""Hari"";;"}))</f>
        <v>29 Tahun 8 Bulan 11 Hari</v>
      </c>
      <c r="I15" s="14">
        <f t="shared" si="3"/>
        <v>57029</v>
      </c>
      <c r="J15" s="14">
        <f t="shared" si="4"/>
        <v>58501</v>
      </c>
    </row>
    <row r="16" spans="2:10" ht="19.899999999999999" customHeight="1" x14ac:dyDescent="0.25">
      <c r="B16" s="3" t="s">
        <v>21</v>
      </c>
      <c r="C16" s="3" t="s">
        <v>22</v>
      </c>
      <c r="D16" s="8">
        <v>33182</v>
      </c>
      <c r="E16" s="9">
        <f t="shared" si="0"/>
        <v>34</v>
      </c>
      <c r="F16" s="10">
        <f t="shared" si="1"/>
        <v>419</v>
      </c>
      <c r="G16" s="11">
        <f t="shared" si="2"/>
        <v>12778</v>
      </c>
      <c r="H16" s="29" t="str" cm="1">
        <f t="array" ref="H16">_xlfn.TEXTJOIN(" ",1,TEXT(DATEDIF(D16,$C$4,{"Y";"YM";"MD"}),{"[&gt;0]0 ""Tahun"";;";"[&gt;0]0 ""Bulan"";;";"[&gt;0]0 ""Hari"";;"}))</f>
        <v>34 Tahun 11 Bulan 25 Hari</v>
      </c>
      <c r="I16" s="14">
        <f t="shared" si="3"/>
        <v>55097</v>
      </c>
      <c r="J16" s="14">
        <f t="shared" si="4"/>
        <v>56584</v>
      </c>
    </row>
    <row r="17" spans="2:10" ht="19.899999999999999" customHeight="1" x14ac:dyDescent="0.25">
      <c r="B17" s="3" t="s">
        <v>23</v>
      </c>
      <c r="C17" s="3" t="s">
        <v>24</v>
      </c>
      <c r="D17" s="8">
        <v>35550</v>
      </c>
      <c r="E17" s="9">
        <f t="shared" si="0"/>
        <v>28</v>
      </c>
      <c r="F17" s="10">
        <f t="shared" si="1"/>
        <v>342</v>
      </c>
      <c r="G17" s="11">
        <f t="shared" si="2"/>
        <v>10410</v>
      </c>
      <c r="H17" s="29" t="str" cm="1">
        <f t="array" ref="H17">_xlfn.TEXTJOIN(" ",1,TEXT(DATEDIF(D17,$C$4,{"Y";"YM";"MD"}),{"[&gt;0]0 ""Tahun"";;";"[&gt;0]0 ""Bulan"";;";"[&gt;0]0 ""Hari"";;"}))</f>
        <v>28 Tahun 6 Bulan</v>
      </c>
      <c r="I17" s="14">
        <f t="shared" si="3"/>
        <v>57465</v>
      </c>
      <c r="J17" s="14">
        <f t="shared" si="4"/>
        <v>58927</v>
      </c>
    </row>
    <row r="18" spans="2:10" ht="19.899999999999999" customHeight="1" x14ac:dyDescent="0.25">
      <c r="B18" s="3" t="s">
        <v>25</v>
      </c>
      <c r="C18" s="3" t="s">
        <v>26</v>
      </c>
      <c r="D18" s="8">
        <v>34202</v>
      </c>
      <c r="E18" s="9">
        <f t="shared" si="0"/>
        <v>32</v>
      </c>
      <c r="F18" s="10">
        <f t="shared" si="1"/>
        <v>386</v>
      </c>
      <c r="G18" s="11">
        <f t="shared" si="2"/>
        <v>11758</v>
      </c>
      <c r="H18" s="29" t="str" cm="1">
        <f t="array" ref="H18">_xlfn.TEXTJOIN(" ",1,TEXT(DATEDIF(D18,$C$4,{"Y";"YM";"MD"}),{"[&gt;0]0 ""Tahun"";;";"[&gt;0]0 ""Bulan"";;";"[&gt;0]0 ""Hari"";;"}))</f>
        <v>32 Tahun 2 Bulan 9 Hari</v>
      </c>
      <c r="I18" s="14">
        <f t="shared" si="3"/>
        <v>56117</v>
      </c>
      <c r="J18" s="14">
        <f t="shared" si="4"/>
        <v>57589</v>
      </c>
    </row>
    <row r="19" spans="2:10" ht="19.899999999999999" customHeight="1" x14ac:dyDescent="0.25">
      <c r="B19" s="3" t="s">
        <v>27</v>
      </c>
      <c r="C19" s="3" t="s">
        <v>28</v>
      </c>
      <c r="D19" s="8">
        <v>33786</v>
      </c>
      <c r="E19" s="9">
        <f t="shared" si="0"/>
        <v>33</v>
      </c>
      <c r="F19" s="10">
        <f t="shared" si="1"/>
        <v>399</v>
      </c>
      <c r="G19" s="11">
        <f t="shared" si="2"/>
        <v>12174</v>
      </c>
      <c r="H19" s="29" t="str" cm="1">
        <f t="array" ref="H19">_xlfn.TEXTJOIN(" ",1,TEXT(DATEDIF(D19,$C$4,{"Y";"YM";"MD"}),{"[&gt;0]0 ""Tahun"";;";"[&gt;0]0 ""Bulan"";;";"[&gt;0]0 ""Hari"";;"}))</f>
        <v>33 Tahun 3 Bulan 29 Hari</v>
      </c>
      <c r="I19" s="14">
        <f t="shared" si="3"/>
        <v>55701</v>
      </c>
      <c r="J19" s="14">
        <f t="shared" si="4"/>
        <v>57193</v>
      </c>
    </row>
    <row r="20" spans="2:10" ht="19.899999999999999" customHeight="1" x14ac:dyDescent="0.25">
      <c r="B20" s="3" t="s">
        <v>29</v>
      </c>
      <c r="C20" s="3" t="s">
        <v>30</v>
      </c>
      <c r="D20" s="8">
        <v>34987</v>
      </c>
      <c r="E20" s="9">
        <f t="shared" si="0"/>
        <v>30</v>
      </c>
      <c r="F20" s="10">
        <f t="shared" si="1"/>
        <v>360</v>
      </c>
      <c r="G20" s="11">
        <f t="shared" si="2"/>
        <v>10973</v>
      </c>
      <c r="H20" s="29" t="str" cm="1">
        <f t="array" ref="H20">_xlfn.TEXTJOIN(" ",1,TEXT(DATEDIF(D20,$C$4,{"Y";"YM";"MD"}),{"[&gt;0]0 ""Tahun"";;";"[&gt;0]0 ""Bulan"";;";"[&gt;0]0 ""Hari"";;"}))</f>
        <v>30 Tahun 15 Hari</v>
      </c>
      <c r="I20" s="14">
        <f t="shared" si="3"/>
        <v>56902</v>
      </c>
      <c r="J20" s="14">
        <f t="shared" si="4"/>
        <v>58380</v>
      </c>
    </row>
    <row r="21" spans="2:10" ht="19.899999999999999" customHeight="1" x14ac:dyDescent="0.25">
      <c r="B21" s="3" t="s">
        <v>31</v>
      </c>
      <c r="C21" s="3" t="s">
        <v>32</v>
      </c>
      <c r="D21" s="8">
        <v>33030</v>
      </c>
      <c r="E21" s="9">
        <f t="shared" si="0"/>
        <v>35</v>
      </c>
      <c r="F21" s="10">
        <f t="shared" si="1"/>
        <v>424</v>
      </c>
      <c r="G21" s="11">
        <f t="shared" si="2"/>
        <v>12930</v>
      </c>
      <c r="H21" s="29" t="str" cm="1">
        <f t="array" ref="H21">_xlfn.TEXTJOIN(" ",1,TEXT(DATEDIF(D21,$C$4,{"Y";"YM";"MD"}),{"[&gt;0]0 ""Tahun"";;";"[&gt;0]0 ""Bulan"";;";"[&gt;0]0 ""Hari"";;"}))</f>
        <v>35 Tahun 4 Bulan 24 Hari</v>
      </c>
      <c r="I21" s="14">
        <f t="shared" si="3"/>
        <v>54945</v>
      </c>
      <c r="J21" s="14">
        <f t="shared" si="4"/>
        <v>56431</v>
      </c>
    </row>
    <row r="22" spans="2:10" ht="19.899999999999999" customHeight="1" x14ac:dyDescent="0.25">
      <c r="B22" s="3" t="s">
        <v>33</v>
      </c>
      <c r="C22" s="3" t="s">
        <v>34</v>
      </c>
      <c r="D22" s="8">
        <v>45909</v>
      </c>
      <c r="E22" s="9">
        <f t="shared" si="0"/>
        <v>0</v>
      </c>
      <c r="F22" s="10">
        <f t="shared" si="1"/>
        <v>1</v>
      </c>
      <c r="G22" s="11">
        <f t="shared" si="2"/>
        <v>51</v>
      </c>
      <c r="H22" s="29" t="str" cm="1">
        <f t="array" ref="H22">_xlfn.TEXTJOIN(" ",1,TEXT(DATEDIF(D22,$C$4,{"Y";"YM";"MD"}),{"[&gt;0]0 ""Tahun"";;";"[&gt;0]0 ""Bulan"";;";"[&gt;0]0 ""Hari"";;"}))</f>
        <v>1 Bulan 21 Hari</v>
      </c>
      <c r="I22" s="14">
        <f t="shared" si="3"/>
        <v>67824</v>
      </c>
      <c r="J22" s="14">
        <f t="shared" si="4"/>
        <v>69307</v>
      </c>
    </row>
    <row r="23" spans="2:10" ht="19.899999999999999" customHeight="1" x14ac:dyDescent="0.25">
      <c r="B23" s="3" t="s">
        <v>35</v>
      </c>
      <c r="C23" s="3" t="s">
        <v>36</v>
      </c>
      <c r="D23" s="8">
        <v>45746</v>
      </c>
      <c r="E23" s="9">
        <f t="shared" si="0"/>
        <v>0</v>
      </c>
      <c r="F23" s="10">
        <f t="shared" si="1"/>
        <v>7</v>
      </c>
      <c r="G23" s="11">
        <f t="shared" si="2"/>
        <v>214</v>
      </c>
      <c r="H23" s="29" t="str" cm="1">
        <f t="array" ref="H23">_xlfn.TEXTJOIN(" ",1,TEXT(DATEDIF(D23,$C$4,{"Y";"YM";"MD"}),{"[&gt;0]0 ""Tahun"";;";"[&gt;0]0 ""Bulan"";;";"[&gt;0]0 ""Hari"";;"}))</f>
        <v>7 Bulan</v>
      </c>
      <c r="I23" s="14">
        <f t="shared" si="3"/>
        <v>67661</v>
      </c>
      <c r="J23" s="14">
        <f t="shared" si="4"/>
        <v>69124</v>
      </c>
    </row>
    <row r="24" spans="2:10" ht="19.899999999999999" customHeight="1" x14ac:dyDescent="0.25">
      <c r="B24" s="3" t="s">
        <v>37</v>
      </c>
      <c r="C24" s="3" t="s">
        <v>38</v>
      </c>
      <c r="D24" s="8">
        <v>35214</v>
      </c>
      <c r="E24" s="9">
        <f t="shared" si="0"/>
        <v>29</v>
      </c>
      <c r="F24" s="10">
        <f t="shared" si="1"/>
        <v>353</v>
      </c>
      <c r="G24" s="11">
        <f t="shared" si="2"/>
        <v>10746</v>
      </c>
      <c r="H24" s="29" t="str" cm="1">
        <f t="array" ref="H24">_xlfn.TEXTJOIN(" ",1,TEXT(DATEDIF(D24,$C$4,{"Y";"YM";"MD"}),{"[&gt;0]0 ""Tahun"";;";"[&gt;0]0 ""Bulan"";;";"[&gt;0]0 ""Hari"";;"}))</f>
        <v>29 Tahun 5 Bulan 1 Hari</v>
      </c>
      <c r="I24" s="14">
        <f t="shared" si="3"/>
        <v>57129</v>
      </c>
      <c r="J24" s="14">
        <f t="shared" si="4"/>
        <v>58593</v>
      </c>
    </row>
    <row r="25" spans="2:10" ht="19.899999999999999" customHeight="1" x14ac:dyDescent="0.25">
      <c r="B25" s="3" t="s">
        <v>39</v>
      </c>
      <c r="C25" s="3" t="s">
        <v>40</v>
      </c>
      <c r="D25" s="8">
        <v>42023</v>
      </c>
      <c r="E25" s="9">
        <f t="shared" si="0"/>
        <v>10</v>
      </c>
      <c r="F25" s="10">
        <f t="shared" si="1"/>
        <v>129</v>
      </c>
      <c r="G25" s="11">
        <f t="shared" si="2"/>
        <v>3937</v>
      </c>
      <c r="H25" s="29" t="str" cm="1">
        <f t="array" ref="H25">_xlfn.TEXTJOIN(" ",1,TEXT(DATEDIF(D25,$C$4,{"Y";"YM";"MD"}),{"[&gt;0]0 ""Tahun"";;";"[&gt;0]0 ""Bulan"";;";"[&gt;0]0 ""Hari"";;"}))</f>
        <v>10 Tahun 9 Bulan 11 Hari</v>
      </c>
      <c r="I25" s="14">
        <f t="shared" si="3"/>
        <v>63938</v>
      </c>
      <c r="J25" s="14">
        <f t="shared" si="4"/>
        <v>65412</v>
      </c>
    </row>
    <row r="26" spans="2:10" ht="19.899999999999999" customHeight="1" x14ac:dyDescent="0.25">
      <c r="B26" s="3" t="s">
        <v>41</v>
      </c>
      <c r="C26" s="3" t="s">
        <v>42</v>
      </c>
      <c r="D26" s="8">
        <v>40655</v>
      </c>
      <c r="E26" s="9">
        <f t="shared" si="0"/>
        <v>14</v>
      </c>
      <c r="F26" s="10">
        <f t="shared" si="1"/>
        <v>174</v>
      </c>
      <c r="G26" s="11">
        <f t="shared" si="2"/>
        <v>5305</v>
      </c>
      <c r="H26" s="29" t="str" cm="1">
        <f t="array" ref="H26">_xlfn.TEXTJOIN(" ",1,TEXT(DATEDIF(D26,$C$4,{"Y";"YM";"MD"}),{"[&gt;0]0 ""Tahun"";;";"[&gt;0]0 ""Bulan"";;";"[&gt;0]0 ""Hari"";;"}))</f>
        <v>14 Tahun 6 Bulan 8 Hari</v>
      </c>
      <c r="I26" s="14">
        <f t="shared" si="3"/>
        <v>62570</v>
      </c>
      <c r="J26" s="14">
        <f t="shared" si="4"/>
        <v>64040</v>
      </c>
    </row>
    <row r="29" spans="2:10" x14ac:dyDescent="0.25">
      <c r="B29" s="7" t="s">
        <v>50</v>
      </c>
    </row>
    <row r="30" spans="2:10" x14ac:dyDescent="0.25">
      <c r="B30" s="12">
        <v>1</v>
      </c>
      <c r="C30" s="12" t="s">
        <v>58</v>
      </c>
    </row>
    <row r="31" spans="2:10" x14ac:dyDescent="0.25">
      <c r="C31" s="13" t="s">
        <v>51</v>
      </c>
    </row>
    <row r="33" spans="2:3" x14ac:dyDescent="0.25">
      <c r="B33" s="12">
        <v>2</v>
      </c>
      <c r="C33" s="12" t="s">
        <v>59</v>
      </c>
    </row>
    <row r="34" spans="2:3" x14ac:dyDescent="0.25">
      <c r="C34" s="13" t="s">
        <v>52</v>
      </c>
    </row>
    <row r="36" spans="2:3" x14ac:dyDescent="0.25">
      <c r="B36" s="12">
        <v>3</v>
      </c>
      <c r="C36" s="12" t="s">
        <v>60</v>
      </c>
    </row>
    <row r="37" spans="2:3" x14ac:dyDescent="0.25">
      <c r="C37" s="13" t="s">
        <v>53</v>
      </c>
    </row>
    <row r="39" spans="2:3" x14ac:dyDescent="0.25">
      <c r="B39" s="12">
        <v>4</v>
      </c>
      <c r="C39" s="12" t="s">
        <v>61</v>
      </c>
    </row>
    <row r="40" spans="2:3" x14ac:dyDescent="0.25">
      <c r="C40" s="13" t="s">
        <v>56</v>
      </c>
    </row>
    <row r="41" spans="2:3" x14ac:dyDescent="0.25">
      <c r="C41" s="13" t="s">
        <v>57</v>
      </c>
    </row>
    <row r="43" spans="2:3" x14ac:dyDescent="0.25">
      <c r="B43" s="12">
        <v>5</v>
      </c>
      <c r="C43" s="12" t="s">
        <v>54</v>
      </c>
    </row>
    <row r="44" spans="2:3" x14ac:dyDescent="0.25">
      <c r="C44" s="13" t="s">
        <v>55</v>
      </c>
    </row>
    <row r="46" spans="2:3" x14ac:dyDescent="0.25">
      <c r="B46" s="12">
        <v>6</v>
      </c>
      <c r="C46" s="12" t="s">
        <v>62</v>
      </c>
    </row>
    <row r="47" spans="2:3" x14ac:dyDescent="0.25">
      <c r="C47" s="13" t="s">
        <v>63</v>
      </c>
    </row>
    <row r="48" spans="2:3" x14ac:dyDescent="0.25">
      <c r="B48" s="12"/>
      <c r="C48" s="12"/>
    </row>
    <row r="49" spans="3:3" x14ac:dyDescent="0.25">
      <c r="C49" s="26" t="s">
        <v>104</v>
      </c>
    </row>
    <row r="50" spans="3:3" x14ac:dyDescent="0.25">
      <c r="C50" s="26" t="s">
        <v>105</v>
      </c>
    </row>
  </sheetData>
  <conditionalFormatting sqref="B7:J26">
    <cfRule type="expression" dxfId="0" priority="1">
      <formula>$B7="Wulan Sari"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7BFE-9E9F-4F29-BBE7-7DED64FE3E35}">
  <sheetPr codeName="Sheet2"/>
  <dimension ref="A1:U91"/>
  <sheetViews>
    <sheetView topLeftCell="A34" workbookViewId="0">
      <selection activeCell="P54" sqref="P54"/>
    </sheetView>
  </sheetViews>
  <sheetFormatPr defaultRowHeight="15" x14ac:dyDescent="0.25"/>
  <cols>
    <col min="4" max="4" width="9.5703125" customWidth="1"/>
    <col min="5" max="5" width="9.7109375" customWidth="1"/>
    <col min="6" max="6" width="10.28515625" customWidth="1"/>
    <col min="7" max="7" width="21.85546875" bestFit="1" customWidth="1"/>
    <col min="8" max="8" width="11.7109375" customWidth="1"/>
    <col min="9" max="9" width="14.28515625" customWidth="1"/>
    <col min="16" max="16" width="116" bestFit="1" customWidth="1"/>
  </cols>
  <sheetData>
    <row r="1" spans="1:21" x14ac:dyDescent="0.25">
      <c r="A1" t="s">
        <v>67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P1">
        <v>1</v>
      </c>
      <c r="Q1">
        <v>2</v>
      </c>
      <c r="R1">
        <v>3</v>
      </c>
      <c r="S1">
        <v>4</v>
      </c>
      <c r="T1">
        <v>5</v>
      </c>
      <c r="U1">
        <v>6</v>
      </c>
    </row>
    <row r="2" spans="1:21" x14ac:dyDescent="0.25">
      <c r="A2" t="s">
        <v>106</v>
      </c>
      <c r="C2">
        <v>1</v>
      </c>
      <c r="D2">
        <f>'XL-Test'!E7</f>
        <v>25</v>
      </c>
      <c r="E2">
        <f>'XL-Test'!F7</f>
        <v>309</v>
      </c>
      <c r="F2">
        <f>'XL-Test'!G7</f>
        <v>9423</v>
      </c>
      <c r="G2" t="str">
        <f>TRIM('XL-Test'!H7)</f>
        <v>25 Tahun 9 Bulan 18 Hari</v>
      </c>
      <c r="H2">
        <f>'XL-Test'!I7</f>
        <v>58452</v>
      </c>
      <c r="I2">
        <f>'XL-Test'!J7</f>
        <v>59933</v>
      </c>
      <c r="K2">
        <f>IFERROR(SUBSTITUTE(SUBSTITUTE(SUBSTITUTE(SUBSTITUTE(LOWER(G2),"tahun",""),"bulan",""),"hari","")," ","")*1,0)+L2+M2+N2</f>
        <v>26073</v>
      </c>
      <c r="L2">
        <f>CODE(LEFT(G2))</f>
        <v>50</v>
      </c>
      <c r="M2">
        <f>CODE(LEFT(RIGHT(G2,6)))</f>
        <v>56</v>
      </c>
      <c r="N2">
        <f>CODE(LEFT(RIGHT(G2,7)))</f>
        <v>49</v>
      </c>
      <c r="O2">
        <v>1</v>
      </c>
      <c r="P2" t="str">
        <f ca="1">_xlfn.FORMULATEXT('XL-Test'!E7)</f>
        <v>=DATEDIF(D7;$C$4;"Y")</v>
      </c>
      <c r="Q2" t="str">
        <f ca="1">_xlfn.FORMULATEXT('XL-Test'!F7)</f>
        <v>=DATEDIF(D7;$C$4;"M")</v>
      </c>
      <c r="R2" t="str">
        <f ca="1">_xlfn.FORMULATEXT('XL-Test'!G7)</f>
        <v>=DATEDIF(D7;$C$4;"D")</v>
      </c>
      <c r="S2" t="str">
        <f ca="1">_xlfn.FORMULATEXT('XL-Test'!H7)</f>
        <v>=TEXTJOIN(" ";1;TEXT(DATEDIF(D7;$C$4;{"Y";"YM";"MD"});{"[&gt;0]0 ""Tahun"";;";"[&gt;0]0 ""Bulan"";;";"[&gt;0]0 ""Hari"";;"}))</v>
      </c>
      <c r="T2" t="str">
        <f ca="1">_xlfn.FORMULATEXT('XL-Test'!I7)</f>
        <v>=EDATE(D7;60*12)</v>
      </c>
      <c r="U2" t="str">
        <f ca="1">_xlfn.FORMULATEXT('XL-Test'!J7)</f>
        <v>=EOMONTH(I7;4*12)+1</v>
      </c>
    </row>
    <row r="3" spans="1:21" x14ac:dyDescent="0.25">
      <c r="C3">
        <v>2</v>
      </c>
      <c r="D3">
        <f>'XL-Test'!E8</f>
        <v>17</v>
      </c>
      <c r="E3">
        <f>'XL-Test'!F8</f>
        <v>209</v>
      </c>
      <c r="F3">
        <f>'XL-Test'!G8</f>
        <v>6369</v>
      </c>
      <c r="G3" t="str">
        <f>TRIM('XL-Test'!H8)</f>
        <v>17 Tahun 5 Bulan 7 Hari</v>
      </c>
      <c r="H3">
        <f>'XL-Test'!I8</f>
        <v>61506</v>
      </c>
      <c r="I3">
        <f>'XL-Test'!J8</f>
        <v>62976</v>
      </c>
      <c r="K3">
        <f t="shared" ref="K3:K21" si="0">IFERROR(SUBSTITUTE(SUBSTITUTE(SUBSTITUTE(SUBSTITUTE(LOWER(G3),"tahun",""),"bulan",""),"hari","")," ","")*1,0)+L3+M3+N3</f>
        <v>1893</v>
      </c>
      <c r="L3">
        <f t="shared" ref="L3:L21" si="1">CODE(LEFT(G3))</f>
        <v>49</v>
      </c>
      <c r="M3">
        <f t="shared" ref="M3:M21" si="2">CODE(LEFT(RIGHT(G3,6)))</f>
        <v>55</v>
      </c>
      <c r="N3">
        <f t="shared" ref="N3:N21" si="3">CODE(LEFT(RIGHT(G3,7)))</f>
        <v>32</v>
      </c>
      <c r="O3">
        <v>2</v>
      </c>
      <c r="P3" t="str">
        <f ca="1">Q2</f>
        <v>=DATEDIF(D7;$C$4;"M")</v>
      </c>
    </row>
    <row r="4" spans="1:21" x14ac:dyDescent="0.25">
      <c r="C4">
        <v>3</v>
      </c>
      <c r="D4">
        <f>'XL-Test'!E9</f>
        <v>30</v>
      </c>
      <c r="E4">
        <f>'XL-Test'!F9</f>
        <v>363</v>
      </c>
      <c r="F4">
        <f>'XL-Test'!G9</f>
        <v>11063</v>
      </c>
      <c r="G4" t="str">
        <f>TRIM('XL-Test'!H9)</f>
        <v>30 Tahun 3 Bulan 13 Hari</v>
      </c>
      <c r="H4">
        <f>'XL-Test'!I9</f>
        <v>56812</v>
      </c>
      <c r="I4">
        <f>'XL-Test'!J9</f>
        <v>58288</v>
      </c>
      <c r="K4">
        <f t="shared" si="0"/>
        <v>30464</v>
      </c>
      <c r="L4">
        <f t="shared" si="1"/>
        <v>51</v>
      </c>
      <c r="M4">
        <f t="shared" si="2"/>
        <v>51</v>
      </c>
      <c r="N4">
        <f t="shared" si="3"/>
        <v>49</v>
      </c>
      <c r="O4">
        <v>3</v>
      </c>
      <c r="P4" t="str">
        <f ca="1">R2</f>
        <v>=DATEDIF(D7;$C$4;"D")</v>
      </c>
    </row>
    <row r="5" spans="1:21" x14ac:dyDescent="0.25">
      <c r="C5">
        <v>4</v>
      </c>
      <c r="D5">
        <f>'XL-Test'!E10</f>
        <v>33</v>
      </c>
      <c r="E5">
        <f>'XL-Test'!F10</f>
        <v>396</v>
      </c>
      <c r="F5">
        <f>'XL-Test'!G10</f>
        <v>12072</v>
      </c>
      <c r="G5" t="str">
        <f>TRIM('XL-Test'!H10)</f>
        <v>33 Tahun 19 Hari</v>
      </c>
      <c r="H5">
        <f>'XL-Test'!I10</f>
        <v>55803</v>
      </c>
      <c r="I5">
        <f>'XL-Test'!J10</f>
        <v>57285</v>
      </c>
      <c r="K5">
        <f t="shared" si="0"/>
        <v>3476</v>
      </c>
      <c r="L5">
        <f t="shared" si="1"/>
        <v>51</v>
      </c>
      <c r="M5">
        <f t="shared" si="2"/>
        <v>57</v>
      </c>
      <c r="N5">
        <f t="shared" si="3"/>
        <v>49</v>
      </c>
      <c r="O5">
        <v>4</v>
      </c>
      <c r="P5" t="str">
        <f ca="1">S2</f>
        <v>=TEXTJOIN(" ";1;TEXT(DATEDIF(D7;$C$4;{"Y";"YM";"MD"});{"[&gt;0]0 ""Tahun"";;";"[&gt;0]0 ""Bulan"";;";"[&gt;0]0 ""Hari"";;"}))</v>
      </c>
    </row>
    <row r="6" spans="1:21" x14ac:dyDescent="0.25">
      <c r="C6">
        <v>5</v>
      </c>
      <c r="D6">
        <f>'XL-Test'!E11</f>
        <v>2</v>
      </c>
      <c r="E6">
        <f>'XL-Test'!F11</f>
        <v>31</v>
      </c>
      <c r="F6">
        <f>'XL-Test'!G11</f>
        <v>950</v>
      </c>
      <c r="G6" t="str">
        <f>TRIM('XL-Test'!H11)</f>
        <v>2 Tahun 7 Bulan 5 Hari</v>
      </c>
      <c r="H6">
        <f>'XL-Test'!I11</f>
        <v>66925</v>
      </c>
      <c r="I6">
        <f>'XL-Test'!J11</f>
        <v>68393</v>
      </c>
      <c r="K6">
        <f t="shared" si="0"/>
        <v>410</v>
      </c>
      <c r="L6">
        <f t="shared" si="1"/>
        <v>50</v>
      </c>
      <c r="M6">
        <f t="shared" si="2"/>
        <v>53</v>
      </c>
      <c r="N6">
        <f t="shared" si="3"/>
        <v>32</v>
      </c>
      <c r="O6">
        <v>5</v>
      </c>
      <c r="P6" t="str">
        <f ca="1">T2</f>
        <v>=EDATE(D7;60*12)</v>
      </c>
    </row>
    <row r="7" spans="1:21" x14ac:dyDescent="0.25">
      <c r="C7">
        <v>6</v>
      </c>
      <c r="D7">
        <f>'XL-Test'!E12</f>
        <v>0</v>
      </c>
      <c r="E7">
        <f>'XL-Test'!F12</f>
        <v>10</v>
      </c>
      <c r="F7">
        <f>'XL-Test'!G12</f>
        <v>332</v>
      </c>
      <c r="G7" t="str">
        <f>TRIM('XL-Test'!H12)</f>
        <v>10 Bulan 28 Hari</v>
      </c>
      <c r="H7">
        <f>'XL-Test'!I12</f>
        <v>67543</v>
      </c>
      <c r="I7">
        <f>'XL-Test'!J12</f>
        <v>69034</v>
      </c>
      <c r="K7">
        <f t="shared" si="0"/>
        <v>1183</v>
      </c>
      <c r="L7">
        <f t="shared" si="1"/>
        <v>49</v>
      </c>
      <c r="M7">
        <f t="shared" si="2"/>
        <v>56</v>
      </c>
      <c r="N7">
        <f t="shared" si="3"/>
        <v>50</v>
      </c>
      <c r="O7">
        <v>6</v>
      </c>
      <c r="P7" t="str">
        <f ca="1">U2</f>
        <v>=EOMONTH(I7;4*12)+1</v>
      </c>
    </row>
    <row r="8" spans="1:21" x14ac:dyDescent="0.25">
      <c r="C8">
        <v>7</v>
      </c>
      <c r="D8">
        <f>'XL-Test'!E13</f>
        <v>21</v>
      </c>
      <c r="E8">
        <f>'XL-Test'!F13</f>
        <v>256</v>
      </c>
      <c r="F8">
        <f>'XL-Test'!G13</f>
        <v>7792</v>
      </c>
      <c r="G8" t="str">
        <f>TRIM('XL-Test'!H13)</f>
        <v>21 Tahun 4 Bulan</v>
      </c>
      <c r="H8">
        <f>'XL-Test'!I13</f>
        <v>60083</v>
      </c>
      <c r="I8">
        <f>'XL-Test'!J13</f>
        <v>61545</v>
      </c>
      <c r="K8">
        <f t="shared" si="0"/>
        <v>348</v>
      </c>
      <c r="L8">
        <f t="shared" si="1"/>
        <v>50</v>
      </c>
      <c r="M8">
        <f t="shared" si="2"/>
        <v>32</v>
      </c>
      <c r="N8">
        <f t="shared" si="3"/>
        <v>52</v>
      </c>
    </row>
    <row r="9" spans="1:21" x14ac:dyDescent="0.25">
      <c r="C9">
        <v>8</v>
      </c>
      <c r="D9">
        <f>'XL-Test'!E14</f>
        <v>3</v>
      </c>
      <c r="E9">
        <f>'XL-Test'!F14</f>
        <v>37</v>
      </c>
      <c r="F9">
        <f>'XL-Test'!G14</f>
        <v>1148</v>
      </c>
      <c r="G9" t="str">
        <f>TRIM('XL-Test'!H14)</f>
        <v>3 Tahun 1 Bulan 22 Hari</v>
      </c>
      <c r="H9">
        <f>'XL-Test'!I14</f>
        <v>66727</v>
      </c>
      <c r="I9">
        <f>'XL-Test'!J14</f>
        <v>68211</v>
      </c>
      <c r="K9">
        <f t="shared" si="0"/>
        <v>3273</v>
      </c>
      <c r="L9">
        <f t="shared" si="1"/>
        <v>51</v>
      </c>
      <c r="M9">
        <f t="shared" si="2"/>
        <v>50</v>
      </c>
      <c r="N9">
        <f t="shared" si="3"/>
        <v>50</v>
      </c>
    </row>
    <row r="10" spans="1:21" x14ac:dyDescent="0.25">
      <c r="C10">
        <v>9</v>
      </c>
      <c r="D10">
        <f>'XL-Test'!E15</f>
        <v>29</v>
      </c>
      <c r="E10">
        <f>'XL-Test'!F15</f>
        <v>356</v>
      </c>
      <c r="F10">
        <f>'XL-Test'!G15</f>
        <v>10846</v>
      </c>
      <c r="G10" t="str">
        <f>TRIM('XL-Test'!H15)</f>
        <v>29 Tahun 8 Bulan 11 Hari</v>
      </c>
      <c r="H10">
        <f>'XL-Test'!I15</f>
        <v>57029</v>
      </c>
      <c r="I10">
        <f>'XL-Test'!J15</f>
        <v>58501</v>
      </c>
      <c r="K10">
        <f t="shared" si="0"/>
        <v>29959</v>
      </c>
      <c r="L10">
        <f t="shared" si="1"/>
        <v>50</v>
      </c>
      <c r="M10">
        <f t="shared" si="2"/>
        <v>49</v>
      </c>
      <c r="N10">
        <f t="shared" si="3"/>
        <v>49</v>
      </c>
    </row>
    <row r="11" spans="1:21" x14ac:dyDescent="0.25">
      <c r="C11">
        <v>10</v>
      </c>
      <c r="D11">
        <f>'XL-Test'!E16</f>
        <v>34</v>
      </c>
      <c r="E11">
        <f>'XL-Test'!F16</f>
        <v>419</v>
      </c>
      <c r="F11">
        <f>'XL-Test'!G16</f>
        <v>12778</v>
      </c>
      <c r="G11" t="str">
        <f>TRIM('XL-Test'!H16)</f>
        <v>34 Tahun 11 Bulan 25 Hari</v>
      </c>
      <c r="H11">
        <f>'XL-Test'!I16</f>
        <v>55097</v>
      </c>
      <c r="I11">
        <f>'XL-Test'!J16</f>
        <v>56584</v>
      </c>
      <c r="K11">
        <f t="shared" si="0"/>
        <v>341279</v>
      </c>
      <c r="L11">
        <f t="shared" si="1"/>
        <v>51</v>
      </c>
      <c r="M11">
        <f t="shared" si="2"/>
        <v>53</v>
      </c>
      <c r="N11">
        <f t="shared" si="3"/>
        <v>50</v>
      </c>
    </row>
    <row r="12" spans="1:21" x14ac:dyDescent="0.25">
      <c r="C12">
        <v>11</v>
      </c>
      <c r="D12">
        <f>'XL-Test'!E17</f>
        <v>28</v>
      </c>
      <c r="E12">
        <f>'XL-Test'!F17</f>
        <v>342</v>
      </c>
      <c r="F12">
        <f>'XL-Test'!G17</f>
        <v>10410</v>
      </c>
      <c r="G12" t="str">
        <f>TRIM('XL-Test'!H17)</f>
        <v>28 Tahun 6 Bulan</v>
      </c>
      <c r="H12">
        <f>'XL-Test'!I17</f>
        <v>57465</v>
      </c>
      <c r="I12">
        <f>'XL-Test'!J17</f>
        <v>58927</v>
      </c>
      <c r="K12">
        <f t="shared" si="0"/>
        <v>422</v>
      </c>
      <c r="L12">
        <f t="shared" si="1"/>
        <v>50</v>
      </c>
      <c r="M12">
        <f t="shared" si="2"/>
        <v>32</v>
      </c>
      <c r="N12">
        <f t="shared" si="3"/>
        <v>54</v>
      </c>
    </row>
    <row r="13" spans="1:21" x14ac:dyDescent="0.25">
      <c r="C13">
        <v>12</v>
      </c>
      <c r="D13">
        <f>'XL-Test'!E18</f>
        <v>32</v>
      </c>
      <c r="E13">
        <f>'XL-Test'!F18</f>
        <v>386</v>
      </c>
      <c r="F13">
        <f>'XL-Test'!G18</f>
        <v>11758</v>
      </c>
      <c r="G13" t="str">
        <f>TRIM('XL-Test'!H18)</f>
        <v>32 Tahun 2 Bulan 9 Hari</v>
      </c>
      <c r="H13">
        <f>'XL-Test'!I18</f>
        <v>56117</v>
      </c>
      <c r="I13">
        <f>'XL-Test'!J18</f>
        <v>57589</v>
      </c>
      <c r="K13">
        <f t="shared" si="0"/>
        <v>3369</v>
      </c>
      <c r="L13">
        <f t="shared" si="1"/>
        <v>51</v>
      </c>
      <c r="M13">
        <f t="shared" si="2"/>
        <v>57</v>
      </c>
      <c r="N13">
        <f t="shared" si="3"/>
        <v>32</v>
      </c>
    </row>
    <row r="14" spans="1:21" x14ac:dyDescent="0.25">
      <c r="C14">
        <v>13</v>
      </c>
      <c r="D14">
        <f>'XL-Test'!E19</f>
        <v>33</v>
      </c>
      <c r="E14">
        <f>'XL-Test'!F19</f>
        <v>399</v>
      </c>
      <c r="F14">
        <f>'XL-Test'!G19</f>
        <v>12174</v>
      </c>
      <c r="G14" t="str">
        <f>TRIM('XL-Test'!H19)</f>
        <v>33 Tahun 3 Bulan 29 Hari</v>
      </c>
      <c r="H14">
        <f>'XL-Test'!I19</f>
        <v>55701</v>
      </c>
      <c r="I14">
        <f>'XL-Test'!J19</f>
        <v>57193</v>
      </c>
      <c r="K14">
        <f t="shared" si="0"/>
        <v>33487</v>
      </c>
      <c r="L14">
        <f t="shared" si="1"/>
        <v>51</v>
      </c>
      <c r="M14">
        <f t="shared" si="2"/>
        <v>57</v>
      </c>
      <c r="N14">
        <f t="shared" si="3"/>
        <v>50</v>
      </c>
    </row>
    <row r="15" spans="1:21" x14ac:dyDescent="0.25">
      <c r="C15">
        <v>14</v>
      </c>
      <c r="D15">
        <f>'XL-Test'!E20</f>
        <v>30</v>
      </c>
      <c r="E15">
        <f>'XL-Test'!F20</f>
        <v>360</v>
      </c>
      <c r="F15">
        <f>'XL-Test'!G20</f>
        <v>10973</v>
      </c>
      <c r="G15" t="str">
        <f>TRIM('XL-Test'!H20)</f>
        <v>30 Tahun 15 Hari</v>
      </c>
      <c r="H15">
        <f>'XL-Test'!I20</f>
        <v>56902</v>
      </c>
      <c r="I15">
        <f>'XL-Test'!J20</f>
        <v>58380</v>
      </c>
      <c r="K15">
        <f t="shared" si="0"/>
        <v>3168</v>
      </c>
      <c r="L15">
        <f t="shared" si="1"/>
        <v>51</v>
      </c>
      <c r="M15">
        <f t="shared" si="2"/>
        <v>53</v>
      </c>
      <c r="N15">
        <f t="shared" si="3"/>
        <v>49</v>
      </c>
    </row>
    <row r="16" spans="1:21" x14ac:dyDescent="0.25">
      <c r="C16">
        <v>15</v>
      </c>
      <c r="D16">
        <f>'XL-Test'!E21</f>
        <v>35</v>
      </c>
      <c r="E16">
        <f>'XL-Test'!F21</f>
        <v>424</v>
      </c>
      <c r="F16">
        <f>'XL-Test'!G21</f>
        <v>12930</v>
      </c>
      <c r="G16" t="str">
        <f>TRIM('XL-Test'!H21)</f>
        <v>35 Tahun 4 Bulan 24 Hari</v>
      </c>
      <c r="H16">
        <f>'XL-Test'!I21</f>
        <v>54945</v>
      </c>
      <c r="I16">
        <f>'XL-Test'!J21</f>
        <v>56431</v>
      </c>
      <c r="K16">
        <f t="shared" si="0"/>
        <v>35577</v>
      </c>
      <c r="L16">
        <f t="shared" si="1"/>
        <v>51</v>
      </c>
      <c r="M16">
        <f t="shared" si="2"/>
        <v>52</v>
      </c>
      <c r="N16">
        <f t="shared" si="3"/>
        <v>50</v>
      </c>
    </row>
    <row r="17" spans="3:14" x14ac:dyDescent="0.25">
      <c r="C17">
        <v>16</v>
      </c>
      <c r="D17">
        <f>'XL-Test'!E22</f>
        <v>0</v>
      </c>
      <c r="E17">
        <f>'XL-Test'!F22</f>
        <v>1</v>
      </c>
      <c r="F17">
        <f>'XL-Test'!G22</f>
        <v>51</v>
      </c>
      <c r="G17" t="str">
        <f>TRIM('XL-Test'!H22)</f>
        <v>1 Bulan 21 Hari</v>
      </c>
      <c r="H17">
        <f>'XL-Test'!I22</f>
        <v>67824</v>
      </c>
      <c r="I17">
        <f>'XL-Test'!J22</f>
        <v>69307</v>
      </c>
      <c r="K17">
        <f t="shared" si="0"/>
        <v>269</v>
      </c>
      <c r="L17">
        <f t="shared" si="1"/>
        <v>49</v>
      </c>
      <c r="M17">
        <f t="shared" si="2"/>
        <v>49</v>
      </c>
      <c r="N17">
        <f t="shared" si="3"/>
        <v>50</v>
      </c>
    </row>
    <row r="18" spans="3:14" x14ac:dyDescent="0.25">
      <c r="C18">
        <v>17</v>
      </c>
      <c r="D18">
        <f>'XL-Test'!E23</f>
        <v>0</v>
      </c>
      <c r="E18">
        <f>'XL-Test'!F23</f>
        <v>7</v>
      </c>
      <c r="F18">
        <f>'XL-Test'!G23</f>
        <v>214</v>
      </c>
      <c r="G18" t="str">
        <f>TRIM('XL-Test'!H23)</f>
        <v>7 Bulan</v>
      </c>
      <c r="H18">
        <f>'XL-Test'!I23</f>
        <v>67661</v>
      </c>
      <c r="I18">
        <f>'XL-Test'!J23</f>
        <v>69124</v>
      </c>
      <c r="K18">
        <f t="shared" si="0"/>
        <v>149</v>
      </c>
      <c r="L18">
        <f t="shared" si="1"/>
        <v>55</v>
      </c>
      <c r="M18">
        <f t="shared" si="2"/>
        <v>32</v>
      </c>
      <c r="N18">
        <f t="shared" si="3"/>
        <v>55</v>
      </c>
    </row>
    <row r="19" spans="3:14" x14ac:dyDescent="0.25">
      <c r="C19">
        <v>18</v>
      </c>
      <c r="D19">
        <f>'XL-Test'!E24</f>
        <v>29</v>
      </c>
      <c r="E19">
        <f>'XL-Test'!F24</f>
        <v>353</v>
      </c>
      <c r="F19">
        <f>'XL-Test'!G24</f>
        <v>10746</v>
      </c>
      <c r="G19" t="str">
        <f>TRIM('XL-Test'!H24)</f>
        <v>29 Tahun 5 Bulan 1 Hari</v>
      </c>
      <c r="H19">
        <f>'XL-Test'!I24</f>
        <v>57129</v>
      </c>
      <c r="I19">
        <f>'XL-Test'!J24</f>
        <v>58593</v>
      </c>
      <c r="K19">
        <f t="shared" si="0"/>
        <v>3082</v>
      </c>
      <c r="L19">
        <f t="shared" si="1"/>
        <v>50</v>
      </c>
      <c r="M19">
        <f t="shared" si="2"/>
        <v>49</v>
      </c>
      <c r="N19">
        <f t="shared" si="3"/>
        <v>32</v>
      </c>
    </row>
    <row r="20" spans="3:14" x14ac:dyDescent="0.25">
      <c r="C20">
        <v>19</v>
      </c>
      <c r="D20">
        <f>'XL-Test'!E25</f>
        <v>10</v>
      </c>
      <c r="E20">
        <f>'XL-Test'!F25</f>
        <v>129</v>
      </c>
      <c r="F20">
        <f>'XL-Test'!G25</f>
        <v>3937</v>
      </c>
      <c r="G20" t="str">
        <f>TRIM('XL-Test'!H25)</f>
        <v>10 Tahun 9 Bulan 11 Hari</v>
      </c>
      <c r="H20">
        <f>'XL-Test'!I25</f>
        <v>63938</v>
      </c>
      <c r="I20">
        <f>'XL-Test'!J25</f>
        <v>65412</v>
      </c>
      <c r="K20">
        <f t="shared" si="0"/>
        <v>11058</v>
      </c>
      <c r="L20">
        <f t="shared" si="1"/>
        <v>49</v>
      </c>
      <c r="M20">
        <f t="shared" si="2"/>
        <v>49</v>
      </c>
      <c r="N20">
        <f t="shared" si="3"/>
        <v>49</v>
      </c>
    </row>
    <row r="21" spans="3:14" x14ac:dyDescent="0.25">
      <c r="C21">
        <v>20</v>
      </c>
      <c r="D21">
        <f>'XL-Test'!E26</f>
        <v>14</v>
      </c>
      <c r="E21">
        <f>'XL-Test'!F26</f>
        <v>174</v>
      </c>
      <c r="F21">
        <f>'XL-Test'!G26</f>
        <v>5305</v>
      </c>
      <c r="G21" t="str">
        <f>TRIM('XL-Test'!H26)</f>
        <v>14 Tahun 6 Bulan 8 Hari</v>
      </c>
      <c r="H21">
        <f>'XL-Test'!I26</f>
        <v>62570</v>
      </c>
      <c r="I21">
        <f>'XL-Test'!J26</f>
        <v>64040</v>
      </c>
      <c r="K21">
        <f t="shared" si="0"/>
        <v>1605</v>
      </c>
      <c r="L21">
        <f t="shared" si="1"/>
        <v>49</v>
      </c>
      <c r="M21">
        <f t="shared" si="2"/>
        <v>56</v>
      </c>
      <c r="N21">
        <f t="shared" si="3"/>
        <v>32</v>
      </c>
    </row>
    <row r="24" spans="3:14" x14ac:dyDescent="0.25">
      <c r="C24" t="s">
        <v>68</v>
      </c>
      <c r="D24">
        <f>(SUM(D2:D21)+D3+D5+D7+D10+D14+D17+D19+D21)*100</f>
        <v>56000</v>
      </c>
      <c r="E24">
        <f t="shared" ref="E24:K24" si="4">SUM(E2:E21)+E3+E5+E7+E10+E14+E17+E19+E21</f>
        <v>6859</v>
      </c>
      <c r="F24">
        <f t="shared" si="4"/>
        <v>209166</v>
      </c>
      <c r="G24">
        <f>K24</f>
        <v>605498</v>
      </c>
      <c r="H24">
        <f t="shared" si="4"/>
        <v>1691334</v>
      </c>
      <c r="I24">
        <f t="shared" si="4"/>
        <v>1732675</v>
      </c>
      <c r="K24">
        <f t="shared" si="4"/>
        <v>605498</v>
      </c>
    </row>
    <row r="25" spans="3:14" x14ac:dyDescent="0.25">
      <c r="D25" t="str">
        <f>DEC2HEX(D24)</f>
        <v>DAC0</v>
      </c>
      <c r="E25" t="str">
        <f t="shared" ref="E25:I25" si="5">DEC2HEX(E24)</f>
        <v>1ACB</v>
      </c>
      <c r="F25" t="str">
        <f t="shared" si="5"/>
        <v>3310E</v>
      </c>
      <c r="G25" t="str">
        <f t="shared" si="5"/>
        <v>93D3A</v>
      </c>
      <c r="H25" t="str">
        <f t="shared" si="5"/>
        <v>19CEC6</v>
      </c>
      <c r="I25" t="str">
        <f t="shared" si="5"/>
        <v>1A7043</v>
      </c>
    </row>
    <row r="27" spans="3:14" x14ac:dyDescent="0.25">
      <c r="C27" t="s">
        <v>69</v>
      </c>
      <c r="D27">
        <v>6150</v>
      </c>
      <c r="E27">
        <v>1991</v>
      </c>
      <c r="F27">
        <v>3871</v>
      </c>
      <c r="G27">
        <v>7181</v>
      </c>
      <c r="H27">
        <v>2455</v>
      </c>
      <c r="I27">
        <v>5363</v>
      </c>
    </row>
    <row r="28" spans="3:14" x14ac:dyDescent="0.25">
      <c r="D28" t="str">
        <f>DEC2HEX(D27)</f>
        <v>1806</v>
      </c>
      <c r="E28" t="str">
        <f t="shared" ref="E28:I28" si="6">DEC2HEX(E27)</f>
        <v>7C7</v>
      </c>
      <c r="F28" t="str">
        <f t="shared" si="6"/>
        <v>F1F</v>
      </c>
      <c r="G28" t="str">
        <f t="shared" si="6"/>
        <v>1C0D</v>
      </c>
      <c r="H28" t="str">
        <f t="shared" si="6"/>
        <v>997</v>
      </c>
      <c r="I28" t="str">
        <f t="shared" si="6"/>
        <v>14F3</v>
      </c>
    </row>
    <row r="30" spans="3:14" x14ac:dyDescent="0.25">
      <c r="C30" t="b">
        <v>1</v>
      </c>
      <c r="D30" t="str">
        <f>DEC2HEX(LEFT(D27,2)+COLUMN())</f>
        <v>41</v>
      </c>
      <c r="E30" t="str">
        <f t="shared" ref="E30:I30" si="7">DEC2HEX(LEFT(E27,2)+COLUMN())</f>
        <v>18</v>
      </c>
      <c r="F30" t="str">
        <f t="shared" si="7"/>
        <v>2C</v>
      </c>
      <c r="G30" t="str">
        <f t="shared" si="7"/>
        <v>4E</v>
      </c>
      <c r="H30" t="str">
        <f t="shared" si="7"/>
        <v>20</v>
      </c>
      <c r="I30" t="str">
        <f t="shared" si="7"/>
        <v>3E</v>
      </c>
    </row>
    <row r="31" spans="3:14" x14ac:dyDescent="0.25">
      <c r="C31" t="b">
        <v>0</v>
      </c>
      <c r="D31" t="str">
        <f>DEC2HEX(RIGHT(D27,2)+COLUMN())</f>
        <v>36</v>
      </c>
      <c r="E31" t="str">
        <f t="shared" ref="E31:I31" si="8">DEC2HEX(RIGHT(E27,2)+COLUMN())</f>
        <v>60</v>
      </c>
      <c r="F31" t="str">
        <f t="shared" si="8"/>
        <v>4D</v>
      </c>
      <c r="G31" t="str">
        <f t="shared" si="8"/>
        <v>58</v>
      </c>
      <c r="H31" t="str">
        <f t="shared" si="8"/>
        <v>3F</v>
      </c>
      <c r="I31" t="str">
        <f t="shared" si="8"/>
        <v>48</v>
      </c>
    </row>
    <row r="34" spans="3:9" x14ac:dyDescent="0.25">
      <c r="C34" t="s">
        <v>71</v>
      </c>
      <c r="D34" t="b">
        <f>NOT(OR(D2=0,D2=""))</f>
        <v>1</v>
      </c>
      <c r="E34" t="b">
        <f t="shared" ref="E34:I34" si="9">NOT(OR(E2=0,E2=""))</f>
        <v>1</v>
      </c>
      <c r="F34" t="b">
        <f t="shared" si="9"/>
        <v>1</v>
      </c>
      <c r="G34" t="b">
        <f t="shared" si="9"/>
        <v>1</v>
      </c>
      <c r="H34" t="b">
        <f t="shared" si="9"/>
        <v>1</v>
      </c>
      <c r="I34" t="b">
        <f t="shared" si="9"/>
        <v>1</v>
      </c>
    </row>
    <row r="35" spans="3:9" x14ac:dyDescent="0.25">
      <c r="C35" t="s">
        <v>70</v>
      </c>
      <c r="D35" t="b">
        <f ca="1">AND(ISNUMBER(FIND("=",P2)),ISNUMBER(FIND("(",P2)))</f>
        <v>1</v>
      </c>
      <c r="E35" t="b">
        <f t="shared" ref="E35:I35" ca="1" si="10">AND(ISNUMBER(FIND("=",Q2)),ISNUMBER(FIND("(",Q2)))</f>
        <v>1</v>
      </c>
      <c r="F35" t="b">
        <f t="shared" ca="1" si="10"/>
        <v>1</v>
      </c>
      <c r="G35" t="b">
        <f t="shared" ca="1" si="10"/>
        <v>1</v>
      </c>
      <c r="H35" t="b">
        <f t="shared" ca="1" si="10"/>
        <v>1</v>
      </c>
      <c r="I35" t="b">
        <f t="shared" ca="1" si="10"/>
        <v>1</v>
      </c>
    </row>
    <row r="36" spans="3:9" x14ac:dyDescent="0.25">
      <c r="C36" t="s">
        <v>72</v>
      </c>
      <c r="D36" t="b">
        <f ca="1">D80</f>
        <v>1</v>
      </c>
      <c r="E36" t="b">
        <f t="shared" ref="E36:I36" ca="1" si="11">E80</f>
        <v>1</v>
      </c>
      <c r="F36" t="b">
        <f t="shared" ca="1" si="11"/>
        <v>1</v>
      </c>
      <c r="G36" t="b">
        <f t="shared" ca="1" si="11"/>
        <v>1</v>
      </c>
      <c r="H36" t="b">
        <f t="shared" ca="1" si="11"/>
        <v>1</v>
      </c>
      <c r="I36" t="b">
        <f t="shared" ca="1" si="11"/>
        <v>1</v>
      </c>
    </row>
    <row r="37" spans="3:9" x14ac:dyDescent="0.25">
      <c r="C37" t="s">
        <v>76</v>
      </c>
      <c r="D37" t="b">
        <f ca="1">AND(D34:D36)</f>
        <v>1</v>
      </c>
      <c r="E37" t="b">
        <f t="shared" ref="E37:I37" ca="1" si="12">AND(E34:E36)</f>
        <v>1</v>
      </c>
      <c r="F37" t="b">
        <f t="shared" ca="1" si="12"/>
        <v>1</v>
      </c>
      <c r="G37" t="b">
        <f t="shared" ca="1" si="12"/>
        <v>1</v>
      </c>
      <c r="H37" t="b">
        <f t="shared" ca="1" si="12"/>
        <v>1</v>
      </c>
      <c r="I37" t="b">
        <f t="shared" ca="1" si="12"/>
        <v>1</v>
      </c>
    </row>
    <row r="39" spans="3:9" x14ac:dyDescent="0.25">
      <c r="C39" t="s">
        <v>73</v>
      </c>
      <c r="D39">
        <f ca="1">IFERROR(LEN(P2)-LEN(SUBSTITUTE(P2,"(","")),99)</f>
        <v>1</v>
      </c>
      <c r="E39">
        <f t="shared" ref="E39:I39" ca="1" si="13">IFERROR(LEN(Q2)-LEN(SUBSTITUTE(Q2,"(","")),99)</f>
        <v>1</v>
      </c>
      <c r="F39">
        <f t="shared" ca="1" si="13"/>
        <v>1</v>
      </c>
      <c r="G39">
        <f t="shared" ca="1" si="13"/>
        <v>3</v>
      </c>
      <c r="H39">
        <f t="shared" ca="1" si="13"/>
        <v>1</v>
      </c>
      <c r="I39">
        <f t="shared" ca="1" si="13"/>
        <v>1</v>
      </c>
    </row>
    <row r="40" spans="3:9" x14ac:dyDescent="0.25">
      <c r="D40">
        <v>1</v>
      </c>
      <c r="E40">
        <v>1</v>
      </c>
      <c r="F40">
        <v>1</v>
      </c>
      <c r="G40">
        <v>6</v>
      </c>
      <c r="H40">
        <v>1</v>
      </c>
      <c r="I40">
        <v>1</v>
      </c>
    </row>
    <row r="41" spans="3:9" x14ac:dyDescent="0.25">
      <c r="D41" t="b">
        <f ca="1">D39&lt;=D40</f>
        <v>1</v>
      </c>
      <c r="E41" t="b">
        <f t="shared" ref="E41:I41" ca="1" si="14">E39&lt;=E40</f>
        <v>1</v>
      </c>
      <c r="F41" t="b">
        <f t="shared" ca="1" si="14"/>
        <v>1</v>
      </c>
      <c r="G41" t="b">
        <f t="shared" ca="1" si="14"/>
        <v>1</v>
      </c>
      <c r="H41" t="b">
        <f t="shared" ca="1" si="14"/>
        <v>1</v>
      </c>
      <c r="I41" t="b">
        <f t="shared" ca="1" si="14"/>
        <v>1</v>
      </c>
    </row>
    <row r="43" spans="3:9" x14ac:dyDescent="0.25">
      <c r="C43" t="s">
        <v>74</v>
      </c>
      <c r="D43">
        <f ca="1">IFERROR((LEN(P2)-LEN(SUBSTITUTE(P2,"DATEDIF","")))/7,99)</f>
        <v>1</v>
      </c>
      <c r="E43">
        <f t="shared" ref="E43:I43" ca="1" si="15">IFERROR((LEN(Q2)-LEN(SUBSTITUTE(Q2,"DATEDIF","")))/7,99)</f>
        <v>1</v>
      </c>
      <c r="F43">
        <f t="shared" ca="1" si="15"/>
        <v>1</v>
      </c>
      <c r="G43">
        <f t="shared" ca="1" si="15"/>
        <v>1</v>
      </c>
      <c r="H43">
        <f t="shared" ca="1" si="15"/>
        <v>0</v>
      </c>
      <c r="I43">
        <f t="shared" ca="1" si="15"/>
        <v>0</v>
      </c>
    </row>
    <row r="44" spans="3:9" x14ac:dyDescent="0.25">
      <c r="D44">
        <v>1</v>
      </c>
      <c r="E44">
        <v>1</v>
      </c>
      <c r="F44">
        <v>1</v>
      </c>
      <c r="G44">
        <v>3</v>
      </c>
    </row>
    <row r="45" spans="3:9" x14ac:dyDescent="0.25">
      <c r="D45" t="b">
        <f ca="1">D43&lt;=D44</f>
        <v>1</v>
      </c>
      <c r="E45" t="b">
        <f t="shared" ref="E45:I45" ca="1" si="16">E43&lt;=E44</f>
        <v>1</v>
      </c>
      <c r="F45" t="b">
        <f t="shared" ca="1" si="16"/>
        <v>1</v>
      </c>
      <c r="G45" t="b">
        <f t="shared" ca="1" si="16"/>
        <v>1</v>
      </c>
      <c r="H45" t="b">
        <f t="shared" ca="1" si="16"/>
        <v>1</v>
      </c>
      <c r="I45" t="b">
        <f t="shared" ca="1" si="16"/>
        <v>1</v>
      </c>
    </row>
    <row r="46" spans="3:9" x14ac:dyDescent="0.25">
      <c r="C46" t="s">
        <v>75</v>
      </c>
      <c r="D46" t="b">
        <f ca="1">ISNUMBER(FIND("DATEDIF",P2))</f>
        <v>1</v>
      </c>
      <c r="E46" t="b">
        <f ca="1">ISNUMBER(FIND("DATEDIF",Q2))</f>
        <v>1</v>
      </c>
      <c r="F46" t="b">
        <f ca="1">ISNUMBER(FIND("DATEDIF",R2))</f>
        <v>1</v>
      </c>
      <c r="G46" t="b">
        <f ca="1">AND(ISNUMBER(FIND("DATEDIF",S2)),ISNUMBER(FIND("EXT",S2)))</f>
        <v>1</v>
      </c>
      <c r="H46" t="b">
        <f ca="1">ISNUMBER(FIND("EDA",T2))</f>
        <v>1</v>
      </c>
      <c r="I46" t="b">
        <f ca="1">ISNUMBER(FIND("OMON",U2))</f>
        <v>1</v>
      </c>
    </row>
    <row r="48" spans="3:9" x14ac:dyDescent="0.25">
      <c r="C48" t="s">
        <v>76</v>
      </c>
      <c r="D48" t="b">
        <f ca="1">AND(D46,D45,D41)</f>
        <v>1</v>
      </c>
      <c r="E48" t="b">
        <f t="shared" ref="E48:I48" ca="1" si="17">AND(E46,E45,E41)</f>
        <v>1</v>
      </c>
      <c r="F48" t="b">
        <f t="shared" ca="1" si="17"/>
        <v>1</v>
      </c>
      <c r="G48" t="b">
        <f t="shared" ca="1" si="17"/>
        <v>1</v>
      </c>
      <c r="H48" t="b">
        <f t="shared" ca="1" si="17"/>
        <v>1</v>
      </c>
      <c r="I48" t="b">
        <f t="shared" ca="1" si="17"/>
        <v>1</v>
      </c>
    </row>
    <row r="51" spans="2:9" x14ac:dyDescent="0.25">
      <c r="B51">
        <v>7</v>
      </c>
      <c r="C51">
        <v>1</v>
      </c>
      <c r="D51">
        <f ca="1">IFERROR(LEN(_xlfn.FORMULATEXT('XL-Test'!E7)),0)</f>
        <v>21</v>
      </c>
      <c r="E51">
        <f ca="1">IFERROR(LEN(_xlfn.FORMULATEXT('XL-Test'!F7)),0)</f>
        <v>21</v>
      </c>
      <c r="F51">
        <f ca="1">IFERROR(LEN(_xlfn.FORMULATEXT('XL-Test'!G7)),0)</f>
        <v>21</v>
      </c>
      <c r="G51">
        <f ca="1">IFERROR(LEN(_xlfn.FORMULATEXT('XL-Test'!H7)),0)</f>
        <v>116</v>
      </c>
      <c r="H51">
        <f ca="1">IFERROR(LEN(_xlfn.FORMULATEXT('XL-Test'!I7)),0)</f>
        <v>16</v>
      </c>
      <c r="I51">
        <f ca="1">IFERROR(LEN(_xlfn.FORMULATEXT('XL-Test'!J7)),0)</f>
        <v>19</v>
      </c>
    </row>
    <row r="52" spans="2:9" x14ac:dyDescent="0.25">
      <c r="B52">
        <v>8</v>
      </c>
      <c r="C52">
        <v>2</v>
      </c>
      <c r="D52">
        <f ca="1">IFERROR(LEN(_xlfn.FORMULATEXT('XL-Test'!E8)),0)</f>
        <v>21</v>
      </c>
      <c r="E52">
        <f ca="1">IFERROR(LEN(_xlfn.FORMULATEXT('XL-Test'!F8)),0)</f>
        <v>21</v>
      </c>
      <c r="F52">
        <f ca="1">IFERROR(LEN(_xlfn.FORMULATEXT('XL-Test'!G8)),0)</f>
        <v>21</v>
      </c>
      <c r="G52">
        <f ca="1">IFERROR(LEN(_xlfn.FORMULATEXT('XL-Test'!H8)),0)</f>
        <v>116</v>
      </c>
      <c r="H52">
        <f ca="1">IFERROR(LEN(_xlfn.FORMULATEXT('XL-Test'!I8)),0)</f>
        <v>16</v>
      </c>
      <c r="I52">
        <f ca="1">IFERROR(LEN(_xlfn.FORMULATEXT('XL-Test'!J8)),0)</f>
        <v>19</v>
      </c>
    </row>
    <row r="53" spans="2:9" x14ac:dyDescent="0.25">
      <c r="B53">
        <v>9</v>
      </c>
      <c r="C53">
        <v>3</v>
      </c>
      <c r="D53">
        <f ca="1">IFERROR(LEN(_xlfn.FORMULATEXT('XL-Test'!E9)),0)</f>
        <v>21</v>
      </c>
      <c r="E53">
        <f ca="1">IFERROR(LEN(_xlfn.FORMULATEXT('XL-Test'!F9)),0)</f>
        <v>21</v>
      </c>
      <c r="F53">
        <f ca="1">IFERROR(LEN(_xlfn.FORMULATEXT('XL-Test'!G9)),0)</f>
        <v>21</v>
      </c>
      <c r="G53">
        <f ca="1">IFERROR(LEN(_xlfn.FORMULATEXT('XL-Test'!H9)),0)</f>
        <v>116</v>
      </c>
      <c r="H53">
        <f ca="1">IFERROR(LEN(_xlfn.FORMULATEXT('XL-Test'!I9)),0)</f>
        <v>16</v>
      </c>
      <c r="I53">
        <f ca="1">IFERROR(LEN(_xlfn.FORMULATEXT('XL-Test'!J9)),0)</f>
        <v>19</v>
      </c>
    </row>
    <row r="54" spans="2:9" x14ac:dyDescent="0.25">
      <c r="B54">
        <v>10</v>
      </c>
      <c r="C54">
        <v>4</v>
      </c>
      <c r="D54">
        <f ca="1">IFERROR(LEN(_xlfn.FORMULATEXT('XL-Test'!E10)),0)</f>
        <v>22</v>
      </c>
      <c r="E54">
        <f ca="1">IFERROR(LEN(_xlfn.FORMULATEXT('XL-Test'!F10)),0)</f>
        <v>22</v>
      </c>
      <c r="F54">
        <f ca="1">IFERROR(LEN(_xlfn.FORMULATEXT('XL-Test'!G10)),0)</f>
        <v>22</v>
      </c>
      <c r="G54">
        <f ca="1">IFERROR(LEN(_xlfn.FORMULATEXT('XL-Test'!H10)),0)</f>
        <v>117</v>
      </c>
      <c r="H54">
        <f ca="1">IFERROR(LEN(_xlfn.FORMULATEXT('XL-Test'!I10)),0)</f>
        <v>17</v>
      </c>
      <c r="I54">
        <f ca="1">IFERROR(LEN(_xlfn.FORMULATEXT('XL-Test'!J10)),0)</f>
        <v>20</v>
      </c>
    </row>
    <row r="55" spans="2:9" x14ac:dyDescent="0.25">
      <c r="B55">
        <v>11</v>
      </c>
      <c r="C55">
        <v>5</v>
      </c>
      <c r="D55">
        <f ca="1">IFERROR(LEN(_xlfn.FORMULATEXT('XL-Test'!E11)),0)</f>
        <v>22</v>
      </c>
      <c r="E55">
        <f ca="1">IFERROR(LEN(_xlfn.FORMULATEXT('XL-Test'!F11)),0)</f>
        <v>22</v>
      </c>
      <c r="F55">
        <f ca="1">IFERROR(LEN(_xlfn.FORMULATEXT('XL-Test'!G11)),0)</f>
        <v>22</v>
      </c>
      <c r="G55">
        <f ca="1">IFERROR(LEN(_xlfn.FORMULATEXT('XL-Test'!H11)),0)</f>
        <v>117</v>
      </c>
      <c r="H55">
        <f ca="1">IFERROR(LEN(_xlfn.FORMULATEXT('XL-Test'!I11)),0)</f>
        <v>17</v>
      </c>
      <c r="I55">
        <f ca="1">IFERROR(LEN(_xlfn.FORMULATEXT('XL-Test'!J11)),0)</f>
        <v>20</v>
      </c>
    </row>
    <row r="56" spans="2:9" x14ac:dyDescent="0.25">
      <c r="B56">
        <v>12</v>
      </c>
      <c r="C56">
        <v>6</v>
      </c>
      <c r="D56">
        <f ca="1">IFERROR(LEN(_xlfn.FORMULATEXT('XL-Test'!E12)),0)</f>
        <v>22</v>
      </c>
      <c r="E56">
        <f ca="1">IFERROR(LEN(_xlfn.FORMULATEXT('XL-Test'!F12)),0)</f>
        <v>22</v>
      </c>
      <c r="F56">
        <f ca="1">IFERROR(LEN(_xlfn.FORMULATEXT('XL-Test'!G12)),0)</f>
        <v>22</v>
      </c>
      <c r="G56">
        <f ca="1">IFERROR(LEN(_xlfn.FORMULATEXT('XL-Test'!H12)),0)</f>
        <v>117</v>
      </c>
      <c r="H56">
        <f ca="1">IFERROR(LEN(_xlfn.FORMULATEXT('XL-Test'!I12)),0)</f>
        <v>17</v>
      </c>
      <c r="I56">
        <f ca="1">IFERROR(LEN(_xlfn.FORMULATEXT('XL-Test'!J12)),0)</f>
        <v>20</v>
      </c>
    </row>
    <row r="57" spans="2:9" x14ac:dyDescent="0.25">
      <c r="B57">
        <v>13</v>
      </c>
      <c r="C57">
        <v>7</v>
      </c>
      <c r="D57">
        <f ca="1">IFERROR(LEN(_xlfn.FORMULATEXT('XL-Test'!E13)),0)</f>
        <v>22</v>
      </c>
      <c r="E57">
        <f ca="1">IFERROR(LEN(_xlfn.FORMULATEXT('XL-Test'!F13)),0)</f>
        <v>22</v>
      </c>
      <c r="F57">
        <f ca="1">IFERROR(LEN(_xlfn.FORMULATEXT('XL-Test'!G13)),0)</f>
        <v>22</v>
      </c>
      <c r="G57">
        <f ca="1">IFERROR(LEN(_xlfn.FORMULATEXT('XL-Test'!H13)),0)</f>
        <v>117</v>
      </c>
      <c r="H57">
        <f ca="1">IFERROR(LEN(_xlfn.FORMULATEXT('XL-Test'!I13)),0)</f>
        <v>17</v>
      </c>
      <c r="I57">
        <f ca="1">IFERROR(LEN(_xlfn.FORMULATEXT('XL-Test'!J13)),0)</f>
        <v>20</v>
      </c>
    </row>
    <row r="58" spans="2:9" x14ac:dyDescent="0.25">
      <c r="B58">
        <v>14</v>
      </c>
      <c r="C58">
        <v>8</v>
      </c>
      <c r="D58">
        <f ca="1">IFERROR(LEN(_xlfn.FORMULATEXT('XL-Test'!E14)),0)</f>
        <v>22</v>
      </c>
      <c r="E58">
        <f ca="1">IFERROR(LEN(_xlfn.FORMULATEXT('XL-Test'!F14)),0)</f>
        <v>22</v>
      </c>
      <c r="F58">
        <f ca="1">IFERROR(LEN(_xlfn.FORMULATEXT('XL-Test'!G14)),0)</f>
        <v>22</v>
      </c>
      <c r="G58">
        <f ca="1">IFERROR(LEN(_xlfn.FORMULATEXT('XL-Test'!H14)),0)</f>
        <v>117</v>
      </c>
      <c r="H58">
        <f ca="1">IFERROR(LEN(_xlfn.FORMULATEXT('XL-Test'!I14)),0)</f>
        <v>17</v>
      </c>
      <c r="I58">
        <f ca="1">IFERROR(LEN(_xlfn.FORMULATEXT('XL-Test'!J14)),0)</f>
        <v>20</v>
      </c>
    </row>
    <row r="59" spans="2:9" x14ac:dyDescent="0.25">
      <c r="B59">
        <v>15</v>
      </c>
      <c r="C59">
        <v>9</v>
      </c>
      <c r="D59">
        <f ca="1">IFERROR(LEN(_xlfn.FORMULATEXT('XL-Test'!E15)),0)</f>
        <v>22</v>
      </c>
      <c r="E59">
        <f ca="1">IFERROR(LEN(_xlfn.FORMULATEXT('XL-Test'!F15)),0)</f>
        <v>22</v>
      </c>
      <c r="F59">
        <f ca="1">IFERROR(LEN(_xlfn.FORMULATEXT('XL-Test'!G15)),0)</f>
        <v>22</v>
      </c>
      <c r="G59">
        <f ca="1">IFERROR(LEN(_xlfn.FORMULATEXT('XL-Test'!H15)),0)</f>
        <v>117</v>
      </c>
      <c r="H59">
        <f ca="1">IFERROR(LEN(_xlfn.FORMULATEXT('XL-Test'!I15)),0)</f>
        <v>17</v>
      </c>
      <c r="I59">
        <f ca="1">IFERROR(LEN(_xlfn.FORMULATEXT('XL-Test'!J15)),0)</f>
        <v>20</v>
      </c>
    </row>
    <row r="60" spans="2:9" x14ac:dyDescent="0.25">
      <c r="B60">
        <v>16</v>
      </c>
      <c r="C60">
        <v>10</v>
      </c>
      <c r="D60">
        <f ca="1">IFERROR(LEN(_xlfn.FORMULATEXT('XL-Test'!E16)),0)</f>
        <v>22</v>
      </c>
      <c r="E60">
        <f ca="1">IFERROR(LEN(_xlfn.FORMULATEXT('XL-Test'!F16)),0)</f>
        <v>22</v>
      </c>
      <c r="F60">
        <f ca="1">IFERROR(LEN(_xlfn.FORMULATEXT('XL-Test'!G16)),0)</f>
        <v>22</v>
      </c>
      <c r="G60">
        <f ca="1">IFERROR(LEN(_xlfn.FORMULATEXT('XL-Test'!H16)),0)</f>
        <v>117</v>
      </c>
      <c r="H60">
        <f ca="1">IFERROR(LEN(_xlfn.FORMULATEXT('XL-Test'!I16)),0)</f>
        <v>17</v>
      </c>
      <c r="I60">
        <f ca="1">IFERROR(LEN(_xlfn.FORMULATEXT('XL-Test'!J16)),0)</f>
        <v>20</v>
      </c>
    </row>
    <row r="61" spans="2:9" x14ac:dyDescent="0.25">
      <c r="B61">
        <v>17</v>
      </c>
      <c r="C61">
        <v>11</v>
      </c>
      <c r="D61">
        <f ca="1">IFERROR(LEN(_xlfn.FORMULATEXT('XL-Test'!E17)),0)</f>
        <v>22</v>
      </c>
      <c r="E61">
        <f ca="1">IFERROR(LEN(_xlfn.FORMULATEXT('XL-Test'!F17)),0)</f>
        <v>22</v>
      </c>
      <c r="F61">
        <f ca="1">IFERROR(LEN(_xlfn.FORMULATEXT('XL-Test'!G17)),0)</f>
        <v>22</v>
      </c>
      <c r="G61">
        <f ca="1">IFERROR(LEN(_xlfn.FORMULATEXT('XL-Test'!H17)),0)</f>
        <v>117</v>
      </c>
      <c r="H61">
        <f ca="1">IFERROR(LEN(_xlfn.FORMULATEXT('XL-Test'!I17)),0)</f>
        <v>17</v>
      </c>
      <c r="I61">
        <f ca="1">IFERROR(LEN(_xlfn.FORMULATEXT('XL-Test'!J17)),0)</f>
        <v>20</v>
      </c>
    </row>
    <row r="62" spans="2:9" x14ac:dyDescent="0.25">
      <c r="B62">
        <v>18</v>
      </c>
      <c r="C62">
        <v>12</v>
      </c>
      <c r="D62">
        <f ca="1">IFERROR(LEN(_xlfn.FORMULATEXT('XL-Test'!E18)),0)</f>
        <v>22</v>
      </c>
      <c r="E62">
        <f ca="1">IFERROR(LEN(_xlfn.FORMULATEXT('XL-Test'!F18)),0)</f>
        <v>22</v>
      </c>
      <c r="F62">
        <f ca="1">IFERROR(LEN(_xlfn.FORMULATEXT('XL-Test'!G18)),0)</f>
        <v>22</v>
      </c>
      <c r="G62">
        <f ca="1">IFERROR(LEN(_xlfn.FORMULATEXT('XL-Test'!H18)),0)</f>
        <v>117</v>
      </c>
      <c r="H62">
        <f ca="1">IFERROR(LEN(_xlfn.FORMULATEXT('XL-Test'!I18)),0)</f>
        <v>17</v>
      </c>
      <c r="I62">
        <f ca="1">IFERROR(LEN(_xlfn.FORMULATEXT('XL-Test'!J18)),0)</f>
        <v>20</v>
      </c>
    </row>
    <row r="63" spans="2:9" x14ac:dyDescent="0.25">
      <c r="B63">
        <v>19</v>
      </c>
      <c r="C63">
        <v>13</v>
      </c>
      <c r="D63">
        <f ca="1">IFERROR(LEN(_xlfn.FORMULATEXT('XL-Test'!E19)),0)</f>
        <v>22</v>
      </c>
      <c r="E63">
        <f ca="1">IFERROR(LEN(_xlfn.FORMULATEXT('XL-Test'!F19)),0)</f>
        <v>22</v>
      </c>
      <c r="F63">
        <f ca="1">IFERROR(LEN(_xlfn.FORMULATEXT('XL-Test'!G19)),0)</f>
        <v>22</v>
      </c>
      <c r="G63">
        <f ca="1">IFERROR(LEN(_xlfn.FORMULATEXT('XL-Test'!H19)),0)</f>
        <v>117</v>
      </c>
      <c r="H63">
        <f ca="1">IFERROR(LEN(_xlfn.FORMULATEXT('XL-Test'!I19)),0)</f>
        <v>17</v>
      </c>
      <c r="I63">
        <f ca="1">IFERROR(LEN(_xlfn.FORMULATEXT('XL-Test'!J19)),0)</f>
        <v>20</v>
      </c>
    </row>
    <row r="64" spans="2:9" x14ac:dyDescent="0.25">
      <c r="B64">
        <v>20</v>
      </c>
      <c r="C64">
        <v>14</v>
      </c>
      <c r="D64">
        <f ca="1">IFERROR(LEN(_xlfn.FORMULATEXT('XL-Test'!E20)),0)</f>
        <v>22</v>
      </c>
      <c r="E64">
        <f ca="1">IFERROR(LEN(_xlfn.FORMULATEXT('XL-Test'!F20)),0)</f>
        <v>22</v>
      </c>
      <c r="F64">
        <f ca="1">IFERROR(LEN(_xlfn.FORMULATEXT('XL-Test'!G20)),0)</f>
        <v>22</v>
      </c>
      <c r="G64">
        <f ca="1">IFERROR(LEN(_xlfn.FORMULATEXT('XL-Test'!H20)),0)</f>
        <v>117</v>
      </c>
      <c r="H64">
        <f ca="1">IFERROR(LEN(_xlfn.FORMULATEXT('XL-Test'!I20)),0)</f>
        <v>17</v>
      </c>
      <c r="I64">
        <f ca="1">IFERROR(LEN(_xlfn.FORMULATEXT('XL-Test'!J20)),0)</f>
        <v>20</v>
      </c>
    </row>
    <row r="65" spans="2:9" x14ac:dyDescent="0.25">
      <c r="B65">
        <v>21</v>
      </c>
      <c r="C65">
        <v>15</v>
      </c>
      <c r="D65">
        <f ca="1">IFERROR(LEN(_xlfn.FORMULATEXT('XL-Test'!E21)),0)</f>
        <v>22</v>
      </c>
      <c r="E65">
        <f ca="1">IFERROR(LEN(_xlfn.FORMULATEXT('XL-Test'!F21)),0)</f>
        <v>22</v>
      </c>
      <c r="F65">
        <f ca="1">IFERROR(LEN(_xlfn.FORMULATEXT('XL-Test'!G21)),0)</f>
        <v>22</v>
      </c>
      <c r="G65">
        <f ca="1">IFERROR(LEN(_xlfn.FORMULATEXT('XL-Test'!H21)),0)</f>
        <v>117</v>
      </c>
      <c r="H65">
        <f ca="1">IFERROR(LEN(_xlfn.FORMULATEXT('XL-Test'!I21)),0)</f>
        <v>17</v>
      </c>
      <c r="I65">
        <f ca="1">IFERROR(LEN(_xlfn.FORMULATEXT('XL-Test'!J21)),0)</f>
        <v>20</v>
      </c>
    </row>
    <row r="66" spans="2:9" x14ac:dyDescent="0.25">
      <c r="B66">
        <v>22</v>
      </c>
      <c r="C66">
        <v>16</v>
      </c>
      <c r="D66">
        <f ca="1">IFERROR(LEN(_xlfn.FORMULATEXT('XL-Test'!E22)),0)</f>
        <v>22</v>
      </c>
      <c r="E66">
        <f ca="1">IFERROR(LEN(_xlfn.FORMULATEXT('XL-Test'!F22)),0)</f>
        <v>22</v>
      </c>
      <c r="F66">
        <f ca="1">IFERROR(LEN(_xlfn.FORMULATEXT('XL-Test'!G22)),0)</f>
        <v>22</v>
      </c>
      <c r="G66">
        <f ca="1">IFERROR(LEN(_xlfn.FORMULATEXT('XL-Test'!H22)),0)</f>
        <v>117</v>
      </c>
      <c r="H66">
        <f ca="1">IFERROR(LEN(_xlfn.FORMULATEXT('XL-Test'!I22)),0)</f>
        <v>17</v>
      </c>
      <c r="I66">
        <f ca="1">IFERROR(LEN(_xlfn.FORMULATEXT('XL-Test'!J22)),0)</f>
        <v>20</v>
      </c>
    </row>
    <row r="67" spans="2:9" x14ac:dyDescent="0.25">
      <c r="B67">
        <v>23</v>
      </c>
      <c r="C67">
        <v>17</v>
      </c>
      <c r="D67">
        <f ca="1">IFERROR(LEN(_xlfn.FORMULATEXT('XL-Test'!E23)),0)</f>
        <v>22</v>
      </c>
      <c r="E67">
        <f ca="1">IFERROR(LEN(_xlfn.FORMULATEXT('XL-Test'!F23)),0)</f>
        <v>22</v>
      </c>
      <c r="F67">
        <f ca="1">IFERROR(LEN(_xlfn.FORMULATEXT('XL-Test'!G23)),0)</f>
        <v>22</v>
      </c>
      <c r="G67">
        <f ca="1">IFERROR(LEN(_xlfn.FORMULATEXT('XL-Test'!H23)),0)</f>
        <v>117</v>
      </c>
      <c r="H67">
        <f ca="1">IFERROR(LEN(_xlfn.FORMULATEXT('XL-Test'!I23)),0)</f>
        <v>17</v>
      </c>
      <c r="I67">
        <f ca="1">IFERROR(LEN(_xlfn.FORMULATEXT('XL-Test'!J23)),0)</f>
        <v>20</v>
      </c>
    </row>
    <row r="68" spans="2:9" x14ac:dyDescent="0.25">
      <c r="B68">
        <v>24</v>
      </c>
      <c r="C68">
        <v>18</v>
      </c>
      <c r="D68">
        <f ca="1">IFERROR(LEN(_xlfn.FORMULATEXT('XL-Test'!E24)),0)</f>
        <v>22</v>
      </c>
      <c r="E68">
        <f ca="1">IFERROR(LEN(_xlfn.FORMULATEXT('XL-Test'!F24)),0)</f>
        <v>22</v>
      </c>
      <c r="F68">
        <f ca="1">IFERROR(LEN(_xlfn.FORMULATEXT('XL-Test'!G24)),0)</f>
        <v>22</v>
      </c>
      <c r="G68">
        <f ca="1">IFERROR(LEN(_xlfn.FORMULATEXT('XL-Test'!H24)),0)</f>
        <v>117</v>
      </c>
      <c r="H68">
        <f ca="1">IFERROR(LEN(_xlfn.FORMULATEXT('XL-Test'!I24)),0)</f>
        <v>17</v>
      </c>
      <c r="I68">
        <f ca="1">IFERROR(LEN(_xlfn.FORMULATEXT('XL-Test'!J24)),0)</f>
        <v>20</v>
      </c>
    </row>
    <row r="69" spans="2:9" x14ac:dyDescent="0.25">
      <c r="B69">
        <v>25</v>
      </c>
      <c r="C69">
        <v>19</v>
      </c>
      <c r="D69">
        <f ca="1">IFERROR(LEN(_xlfn.FORMULATEXT('XL-Test'!E25)),0)</f>
        <v>22</v>
      </c>
      <c r="E69">
        <f ca="1">IFERROR(LEN(_xlfn.FORMULATEXT('XL-Test'!F25)),0)</f>
        <v>22</v>
      </c>
      <c r="F69">
        <f ca="1">IFERROR(LEN(_xlfn.FORMULATEXT('XL-Test'!G25)),0)</f>
        <v>22</v>
      </c>
      <c r="G69">
        <f ca="1">IFERROR(LEN(_xlfn.FORMULATEXT('XL-Test'!H25)),0)</f>
        <v>117</v>
      </c>
      <c r="H69">
        <f ca="1">IFERROR(LEN(_xlfn.FORMULATEXT('XL-Test'!I25)),0)</f>
        <v>17</v>
      </c>
      <c r="I69">
        <f ca="1">IFERROR(LEN(_xlfn.FORMULATEXT('XL-Test'!J25)),0)</f>
        <v>20</v>
      </c>
    </row>
    <row r="70" spans="2:9" x14ac:dyDescent="0.25">
      <c r="B70">
        <v>26</v>
      </c>
      <c r="C70">
        <v>20</v>
      </c>
      <c r="D70">
        <f ca="1">IFERROR(LEN(_xlfn.FORMULATEXT('XL-Test'!E26)),0)</f>
        <v>22</v>
      </c>
      <c r="E70">
        <f ca="1">IFERROR(LEN(_xlfn.FORMULATEXT('XL-Test'!F26)),0)</f>
        <v>22</v>
      </c>
      <c r="F70">
        <f ca="1">IFERROR(LEN(_xlfn.FORMULATEXT('XL-Test'!G26)),0)</f>
        <v>22</v>
      </c>
      <c r="G70">
        <f ca="1">IFERROR(LEN(_xlfn.FORMULATEXT('XL-Test'!H26)),0)</f>
        <v>117</v>
      </c>
      <c r="H70">
        <f ca="1">IFERROR(LEN(_xlfn.FORMULATEXT('XL-Test'!I26)),0)</f>
        <v>17</v>
      </c>
      <c r="I70">
        <f ca="1">IFERROR(LEN(_xlfn.FORMULATEXT('XL-Test'!J26)),0)</f>
        <v>20</v>
      </c>
    </row>
    <row r="73" spans="2:9" x14ac:dyDescent="0.25">
      <c r="C73" t="s">
        <v>77</v>
      </c>
      <c r="D73">
        <f ca="1">AVERAGE(D51:D53)</f>
        <v>21</v>
      </c>
      <c r="E73">
        <f t="shared" ref="E73:I73" ca="1" si="18">AVERAGE(E51:E53)</f>
        <v>21</v>
      </c>
      <c r="F73">
        <f t="shared" ca="1" si="18"/>
        <v>21</v>
      </c>
      <c r="G73">
        <f t="shared" ca="1" si="18"/>
        <v>116</v>
      </c>
      <c r="H73">
        <f t="shared" ca="1" si="18"/>
        <v>16</v>
      </c>
      <c r="I73">
        <f t="shared" ca="1" si="18"/>
        <v>19</v>
      </c>
    </row>
    <row r="74" spans="2:9" x14ac:dyDescent="0.25">
      <c r="D74" t="b">
        <f ca="1">D73=D51</f>
        <v>1</v>
      </c>
      <c r="E74" t="b">
        <f t="shared" ref="E74:I74" ca="1" si="19">E73=E51</f>
        <v>1</v>
      </c>
      <c r="F74" t="b">
        <f t="shared" ca="1" si="19"/>
        <v>1</v>
      </c>
      <c r="G74" t="b">
        <f t="shared" ca="1" si="19"/>
        <v>1</v>
      </c>
      <c r="H74" t="b">
        <f t="shared" ca="1" si="19"/>
        <v>1</v>
      </c>
      <c r="I74" t="b">
        <f t="shared" ca="1" si="19"/>
        <v>1</v>
      </c>
    </row>
    <row r="75" spans="2:9" x14ac:dyDescent="0.25">
      <c r="C75" t="s">
        <v>78</v>
      </c>
      <c r="D75">
        <f ca="1">AVERAGE(D54:D70)</f>
        <v>22</v>
      </c>
      <c r="E75">
        <f t="shared" ref="E75:I75" ca="1" si="20">AVERAGE(E54:E70)</f>
        <v>22</v>
      </c>
      <c r="F75">
        <f t="shared" ca="1" si="20"/>
        <v>22</v>
      </c>
      <c r="G75">
        <f t="shared" ca="1" si="20"/>
        <v>117</v>
      </c>
      <c r="H75">
        <f t="shared" ca="1" si="20"/>
        <v>17</v>
      </c>
      <c r="I75">
        <f t="shared" ca="1" si="20"/>
        <v>20</v>
      </c>
    </row>
    <row r="76" spans="2:9" x14ac:dyDescent="0.25">
      <c r="D76" t="b">
        <f ca="1">D75=D57</f>
        <v>1</v>
      </c>
      <c r="E76" t="b">
        <f t="shared" ref="E76:I76" ca="1" si="21">E75=E57</f>
        <v>1</v>
      </c>
      <c r="F76" t="b">
        <f t="shared" ca="1" si="21"/>
        <v>1</v>
      </c>
      <c r="G76" t="b">
        <f t="shared" ca="1" si="21"/>
        <v>1</v>
      </c>
      <c r="H76" t="b">
        <f t="shared" ca="1" si="21"/>
        <v>1</v>
      </c>
      <c r="I76" t="b">
        <f t="shared" ca="1" si="21"/>
        <v>1</v>
      </c>
    </row>
    <row r="77" spans="2:9" x14ac:dyDescent="0.25">
      <c r="C77" t="s">
        <v>76</v>
      </c>
      <c r="D77" t="b">
        <f ca="1">AND(D76,D74)</f>
        <v>1</v>
      </c>
      <c r="E77" t="b">
        <f t="shared" ref="E77:I77" ca="1" si="22">AND(E76,E74)</f>
        <v>1</v>
      </c>
      <c r="F77" t="b">
        <f t="shared" ca="1" si="22"/>
        <v>1</v>
      </c>
      <c r="G77" t="b">
        <f t="shared" ca="1" si="22"/>
        <v>1</v>
      </c>
      <c r="H77" t="b">
        <f t="shared" ca="1" si="22"/>
        <v>1</v>
      </c>
      <c r="I77" t="b">
        <f t="shared" ca="1" si="22"/>
        <v>1</v>
      </c>
    </row>
    <row r="78" spans="2:9" x14ac:dyDescent="0.25">
      <c r="C78" t="s">
        <v>79</v>
      </c>
      <c r="D78" t="b">
        <f ca="1">AND(D51&gt;0,D54=0,D5&gt;0)</f>
        <v>0</v>
      </c>
      <c r="E78" t="b">
        <f t="shared" ref="E78:I78" ca="1" si="23">AND(E51&gt;0,E54=0,E5&gt;0)</f>
        <v>0</v>
      </c>
      <c r="F78" t="b">
        <f t="shared" ca="1" si="23"/>
        <v>0</v>
      </c>
      <c r="G78" t="b">
        <f t="shared" ca="1" si="23"/>
        <v>0</v>
      </c>
      <c r="H78" t="b">
        <f t="shared" ca="1" si="23"/>
        <v>0</v>
      </c>
      <c r="I78" t="b">
        <f t="shared" ca="1" si="23"/>
        <v>0</v>
      </c>
    </row>
    <row r="80" spans="2:9" x14ac:dyDescent="0.25">
      <c r="D80" t="b">
        <f ca="1">IFERROR(OR(D78,D77),FALSE)</f>
        <v>1</v>
      </c>
      <c r="E80" t="b">
        <f t="shared" ref="E80:I80" ca="1" si="24">IFERROR(OR(E78,E77),FALSE)</f>
        <v>1</v>
      </c>
      <c r="F80" t="b">
        <f t="shared" ca="1" si="24"/>
        <v>1</v>
      </c>
      <c r="G80" t="b">
        <f t="shared" ca="1" si="24"/>
        <v>1</v>
      </c>
      <c r="H80" t="b">
        <f t="shared" ca="1" si="24"/>
        <v>1</v>
      </c>
      <c r="I80" t="b">
        <f t="shared" ca="1" si="24"/>
        <v>1</v>
      </c>
    </row>
    <row r="83" spans="3:14" x14ac:dyDescent="0.25">
      <c r="C83" t="s">
        <v>80</v>
      </c>
      <c r="D83" t="str">
        <f ca="1">IFERROR(IF(D48,D30,D31),"00")</f>
        <v>41</v>
      </c>
      <c r="E83" t="str">
        <f t="shared" ref="E83:I83" ca="1" si="25">IFERROR(IF(E48,E30,E31),"00")</f>
        <v>18</v>
      </c>
      <c r="F83" t="str">
        <f t="shared" ca="1" si="25"/>
        <v>2C</v>
      </c>
      <c r="G83" t="str">
        <f t="shared" ca="1" si="25"/>
        <v>4E</v>
      </c>
      <c r="H83" t="str">
        <f t="shared" ca="1" si="25"/>
        <v>20</v>
      </c>
      <c r="I83" t="str">
        <f t="shared" ca="1" si="25"/>
        <v>3E</v>
      </c>
    </row>
    <row r="84" spans="3:14" x14ac:dyDescent="0.25">
      <c r="C84" t="s">
        <v>81</v>
      </c>
      <c r="D84" t="str">
        <f ca="1">IFERROR(IF(D37,D25,D28),"EEE")</f>
        <v>DAC0</v>
      </c>
      <c r="E84" t="str">
        <f t="shared" ref="E84:I84" ca="1" si="26">IFERROR(IF(E37,E25,E28),"EEE")</f>
        <v>1ACB</v>
      </c>
      <c r="F84" t="str">
        <f t="shared" ca="1" si="26"/>
        <v>3310E</v>
      </c>
      <c r="G84" t="str">
        <f t="shared" ca="1" si="26"/>
        <v>93D3A</v>
      </c>
      <c r="H84" t="str">
        <f t="shared" ca="1" si="26"/>
        <v>19CEC6</v>
      </c>
      <c r="I84" t="str">
        <f t="shared" ca="1" si="26"/>
        <v>1A7043</v>
      </c>
    </row>
    <row r="86" spans="3:14" x14ac:dyDescent="0.25">
      <c r="D86" t="str">
        <f ca="1">D83&amp;"-"&amp;D84&amp;";"</f>
        <v>41-DAC0;</v>
      </c>
      <c r="E86" t="str">
        <f t="shared" ref="E86:H86" ca="1" si="27">E83&amp;"-"&amp;E84&amp;";"</f>
        <v>18-1ACB;</v>
      </c>
      <c r="F86" t="str">
        <f t="shared" ca="1" si="27"/>
        <v>2C-3310E;</v>
      </c>
      <c r="G86" t="str">
        <f t="shared" ca="1" si="27"/>
        <v>4E-93D3A;</v>
      </c>
      <c r="H86" t="str">
        <f t="shared" ca="1" si="27"/>
        <v>20-19CEC6;</v>
      </c>
      <c r="I86" t="str">
        <f ca="1">I83&amp;"-"&amp;I84</f>
        <v>3E-1A7043</v>
      </c>
      <c r="L86" t="s">
        <v>82</v>
      </c>
      <c r="M86">
        <v>25</v>
      </c>
      <c r="N86" t="s">
        <v>87</v>
      </c>
    </row>
    <row r="87" spans="3:14" x14ac:dyDescent="0.25">
      <c r="D87" t="str">
        <f ca="1">D86&amp;E86&amp;F86&amp;G86&amp;H86&amp;I86</f>
        <v>41-DAC0;18-1ACB;2C-3310E;4E-93D3A;20-19CEC6;3E-1A7043</v>
      </c>
      <c r="L87" t="s">
        <v>83</v>
      </c>
      <c r="M87">
        <v>41</v>
      </c>
      <c r="N87" t="s">
        <v>86</v>
      </c>
    </row>
    <row r="88" spans="3:14" x14ac:dyDescent="0.25">
      <c r="L88" t="s">
        <v>84</v>
      </c>
      <c r="M88">
        <v>15</v>
      </c>
      <c r="N88" t="s">
        <v>85</v>
      </c>
    </row>
    <row r="89" spans="3:14" x14ac:dyDescent="0.25">
      <c r="D89" t="str">
        <f ca="1">A2&amp;"|"&amp;_41_DAC0</f>
        <v>ML2|41-DAC0;18-1ACB;2C-3310E;4E-93D3A;20-19CEC6;3E-1A7043</v>
      </c>
    </row>
    <row r="91" spans="3:14" x14ac:dyDescent="0.25">
      <c r="D91" t="str" cm="1">
        <f t="array" aca="1" ref="D91" ca="1">INDIRECT("_"&amp;VLOOKUP("C",L86:N88,2,0)&amp;"_"&amp;VLOOKUP("A",L86:N88,3,0))</f>
        <v>ML2|41-DAC0;18-1ACB;2C-3310E;4E-93D3A;20-19CEC6;3E-1A7043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C0B1-0EFF-43BA-822D-8D9CDBF19866}">
  <sheetPr codeName="Sheet3"/>
  <dimension ref="A1:J25"/>
  <sheetViews>
    <sheetView showGridLines="0" workbookViewId="0">
      <selection activeCell="K30" sqref="K30"/>
    </sheetView>
  </sheetViews>
  <sheetFormatPr defaultColWidth="8.85546875" defaultRowHeight="15" x14ac:dyDescent="0.25"/>
  <cols>
    <col min="1" max="3" width="8.85546875" style="21"/>
    <col min="4" max="4" width="10.42578125" style="21" customWidth="1"/>
    <col min="5" max="5" width="9.28515625" style="21" customWidth="1"/>
    <col min="6" max="7" width="8.85546875" style="21"/>
    <col min="8" max="8" width="26.42578125" style="21" customWidth="1"/>
    <col min="9" max="16384" width="8.85546875" style="21"/>
  </cols>
  <sheetData>
    <row r="1" spans="1:10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0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</row>
    <row r="6" spans="1:10" x14ac:dyDescent="0.25">
      <c r="A6" s="20"/>
      <c r="B6" s="20"/>
      <c r="C6" s="20" t="s">
        <v>88</v>
      </c>
      <c r="D6" s="20"/>
      <c r="E6" s="20"/>
      <c r="F6" s="20"/>
      <c r="G6" s="20"/>
      <c r="H6" s="20"/>
      <c r="I6" s="20"/>
      <c r="J6" s="20"/>
    </row>
    <row r="7" spans="1:10" x14ac:dyDescent="0.25">
      <c r="A7" s="20"/>
      <c r="B7" s="20"/>
      <c r="C7" s="20" t="s">
        <v>89</v>
      </c>
      <c r="D7" s="20"/>
      <c r="E7" s="20"/>
      <c r="F7" s="20"/>
      <c r="G7" s="20"/>
      <c r="H7" s="20"/>
      <c r="I7" s="20"/>
      <c r="J7" s="20"/>
    </row>
    <row r="8" spans="1:10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0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spans="1:10" x14ac:dyDescent="0.25">
      <c r="A10" s="20"/>
      <c r="B10" s="20"/>
      <c r="C10" s="20" t="s">
        <v>90</v>
      </c>
      <c r="D10" s="20"/>
      <c r="E10" s="20"/>
      <c r="F10" s="20"/>
      <c r="G10" s="20"/>
      <c r="H10" s="20"/>
      <c r="I10" s="20"/>
      <c r="J10" s="20"/>
    </row>
    <row r="11" spans="1:10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spans="1:10" x14ac:dyDescent="0.25">
      <c r="A12" s="20"/>
      <c r="B12" s="20"/>
      <c r="C12" s="20"/>
      <c r="D12" s="27" t="s">
        <v>91</v>
      </c>
      <c r="E12" s="27"/>
      <c r="F12" s="28" t="s">
        <v>92</v>
      </c>
      <c r="G12" s="28"/>
      <c r="H12" s="20"/>
      <c r="I12" s="20"/>
      <c r="J12" s="20"/>
    </row>
    <row r="13" spans="1:10" x14ac:dyDescent="0.25">
      <c r="A13" s="20"/>
      <c r="B13" s="20"/>
      <c r="C13" s="20"/>
      <c r="D13" s="27" t="s">
        <v>93</v>
      </c>
      <c r="E13" s="27"/>
      <c r="F13" s="22" t="s">
        <v>94</v>
      </c>
      <c r="G13" s="23"/>
      <c r="H13" s="20"/>
      <c r="I13" s="20"/>
      <c r="J13" s="20"/>
    </row>
    <row r="14" spans="1:10" x14ac:dyDescent="0.25">
      <c r="A14" s="20"/>
      <c r="B14" s="20"/>
      <c r="C14" s="20"/>
      <c r="D14" s="27" t="s">
        <v>95</v>
      </c>
      <c r="E14" s="27"/>
      <c r="F14" s="22" t="s">
        <v>96</v>
      </c>
      <c r="G14" s="24"/>
      <c r="H14" s="20"/>
      <c r="I14" s="20"/>
      <c r="J14" s="20"/>
    </row>
    <row r="15" spans="1:10" x14ac:dyDescent="0.25">
      <c r="A15" s="20"/>
      <c r="B15" s="20"/>
      <c r="C15" s="20"/>
      <c r="D15" s="27" t="s">
        <v>97</v>
      </c>
      <c r="E15" s="27"/>
      <c r="F15" s="22" t="s">
        <v>98</v>
      </c>
      <c r="G15" s="24"/>
      <c r="H15" s="20"/>
      <c r="I15" s="20"/>
      <c r="J15" s="20"/>
    </row>
    <row r="16" spans="1:10" x14ac:dyDescent="0.25">
      <c r="A16" s="20"/>
      <c r="B16" s="20"/>
      <c r="C16" s="20"/>
      <c r="D16" s="27" t="s">
        <v>99</v>
      </c>
      <c r="E16" s="27"/>
      <c r="F16" s="22" t="s">
        <v>100</v>
      </c>
      <c r="G16" s="24"/>
      <c r="H16" s="20"/>
      <c r="I16" s="20"/>
      <c r="J16" s="20"/>
    </row>
    <row r="17" spans="1:10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</row>
    <row r="18" spans="1:10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</row>
    <row r="19" spans="1:10" x14ac:dyDescent="0.25">
      <c r="A19" s="20"/>
      <c r="B19" s="20"/>
      <c r="C19" s="20" t="s">
        <v>101</v>
      </c>
      <c r="D19" s="20"/>
      <c r="E19" s="20"/>
      <c r="F19" s="20"/>
      <c r="G19" s="20"/>
      <c r="H19" s="20"/>
      <c r="I19" s="20"/>
      <c r="J19" s="20"/>
    </row>
    <row r="20" spans="1:10" x14ac:dyDescent="0.25">
      <c r="A20" s="20"/>
      <c r="B20" s="20"/>
      <c r="C20" s="25" t="s">
        <v>102</v>
      </c>
      <c r="D20" s="20"/>
      <c r="E20" s="20"/>
      <c r="F20" s="20"/>
      <c r="G20" s="20"/>
      <c r="H20" s="20"/>
      <c r="I20" s="20"/>
      <c r="J20" s="20"/>
    </row>
    <row r="21" spans="1:10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spans="1:10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0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spans="1:10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</row>
    <row r="25" spans="1:10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</row>
  </sheetData>
  <mergeCells count="6">
    <mergeCell ref="D16:E16"/>
    <mergeCell ref="D12:E12"/>
    <mergeCell ref="F12:G12"/>
    <mergeCell ref="D13:E13"/>
    <mergeCell ref="D14:E14"/>
    <mergeCell ref="D15:E15"/>
  </mergeCells>
  <hyperlinks>
    <hyperlink ref="C20" r:id="rId1" xr:uid="{CC6C50D1-C8AE-4FC7-94A7-D23DC7B2C533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XL-Test</vt:lpstr>
      <vt:lpstr>About</vt:lpstr>
      <vt:lpstr>DF!_15_AJEH</vt:lpstr>
      <vt:lpstr>DF!_41_DAC0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2025-10-31T12:13:41Z</dcterms:created>
  <dcterms:modified xsi:type="dcterms:W3CDTF">2026-02-23T05:37:44Z</dcterms:modified>
</cp:coreProperties>
</file>