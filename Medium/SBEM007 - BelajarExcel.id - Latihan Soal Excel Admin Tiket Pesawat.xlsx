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4b3130b3dd6cff9/VBA REPO/File BelajarExcel.id/Soal/"/>
    </mc:Choice>
  </mc:AlternateContent>
  <xr:revisionPtr revIDLastSave="398" documentId="8_{A8FF7FAE-44E0-481C-8DF3-638E6C33A3ED}" xr6:coauthVersionLast="47" xr6:coauthVersionMax="47" xr10:uidLastSave="{37AF20B6-1BAC-4BCD-B136-4F27EFAE833E}"/>
  <workbookProtection workbookAlgorithmName="SHA-512" workbookHashValue="TSApRVwlRAd60Zw3NNb9xHjm5vEFc5nvqIcpm7VcSfjeRN7sNKBEm3xpsFW3lCUPsFGvDEeniT1/vwwHOmbqpw==" workbookSaltValue="yAkja2799eywYs2H8XkkPw==" workbookSpinCount="100000" lockStructure="1"/>
  <bookViews>
    <workbookView xWindow="28692" yWindow="-108" windowWidth="29016" windowHeight="15696" xr2:uid="{1E600C1A-041B-4BC6-B0BF-433E0184B614}"/>
  </bookViews>
  <sheets>
    <sheet name="XL-Test" sheetId="1" r:id="rId1"/>
    <sheet name="About" sheetId="3" r:id="rId2"/>
    <sheet name="DF" sheetId="2" state="veryHidden" r:id="rId3"/>
  </sheets>
  <definedNames>
    <definedName name="kode_jawaban">DF!$C$13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K9" i="1"/>
  <c r="K10" i="1"/>
  <c r="K11" i="1"/>
  <c r="K12" i="1"/>
  <c r="K13" i="1"/>
  <c r="K14" i="1"/>
  <c r="K15" i="1"/>
  <c r="K16" i="1"/>
  <c r="K17" i="1"/>
  <c r="K18" i="1"/>
  <c r="K7" i="1"/>
  <c r="L8" i="1"/>
  <c r="L9" i="1"/>
  <c r="L10" i="1"/>
  <c r="L11" i="1"/>
  <c r="L12" i="1"/>
  <c r="L13" i="1"/>
  <c r="L14" i="1"/>
  <c r="L15" i="1"/>
  <c r="L16" i="1"/>
  <c r="L17" i="1"/>
  <c r="L18" i="1"/>
  <c r="L7" i="1"/>
  <c r="D8" i="1"/>
  <c r="D9" i="1"/>
  <c r="D10" i="1"/>
  <c r="D11" i="1"/>
  <c r="D12" i="1"/>
  <c r="D13" i="1"/>
  <c r="D14" i="1"/>
  <c r="D15" i="1"/>
  <c r="D16" i="1"/>
  <c r="D17" i="1"/>
  <c r="D18" i="1"/>
  <c r="D7" i="1"/>
  <c r="M8" i="1"/>
  <c r="M9" i="1"/>
  <c r="M10" i="1"/>
  <c r="M11" i="1"/>
  <c r="M12" i="1"/>
  <c r="M13" i="1"/>
  <c r="M14" i="1"/>
  <c r="M15" i="1"/>
  <c r="M16" i="1"/>
  <c r="M17" i="1"/>
  <c r="M18" i="1"/>
  <c r="M7" i="1"/>
  <c r="J8" i="1"/>
  <c r="J9" i="1"/>
  <c r="J10" i="1"/>
  <c r="J11" i="1"/>
  <c r="J12" i="1"/>
  <c r="J13" i="1"/>
  <c r="J14" i="1"/>
  <c r="J15" i="1"/>
  <c r="J16" i="1"/>
  <c r="J17" i="1"/>
  <c r="J18" i="1"/>
  <c r="J7" i="1"/>
  <c r="F8" i="1"/>
  <c r="F9" i="1"/>
  <c r="F10" i="1"/>
  <c r="F11" i="1"/>
  <c r="F12" i="1"/>
  <c r="F13" i="1"/>
  <c r="F14" i="1"/>
  <c r="F15" i="1"/>
  <c r="F16" i="1"/>
  <c r="F17" i="1"/>
  <c r="F18" i="1"/>
  <c r="F7" i="1"/>
  <c r="G8" i="1"/>
  <c r="G9" i="1"/>
  <c r="G10" i="1"/>
  <c r="G11" i="1"/>
  <c r="G12" i="1"/>
  <c r="G13" i="1"/>
  <c r="G14" i="1"/>
  <c r="G15" i="1"/>
  <c r="G16" i="1"/>
  <c r="G17" i="1"/>
  <c r="G18" i="1"/>
  <c r="G7" i="1"/>
  <c r="G37" i="2"/>
  <c r="H37" i="2"/>
  <c r="I37" i="2"/>
  <c r="J37" i="2"/>
  <c r="K37" i="2"/>
  <c r="G38" i="2"/>
  <c r="H38" i="2"/>
  <c r="I38" i="2"/>
  <c r="J38" i="2"/>
  <c r="K38" i="2"/>
  <c r="G39" i="2"/>
  <c r="H39" i="2"/>
  <c r="I39" i="2"/>
  <c r="J39" i="2"/>
  <c r="K39" i="2"/>
  <c r="G40" i="2"/>
  <c r="H40" i="2"/>
  <c r="I40" i="2"/>
  <c r="J40" i="2"/>
  <c r="K40" i="2"/>
  <c r="G41" i="2"/>
  <c r="H41" i="2"/>
  <c r="I41" i="2"/>
  <c r="J41" i="2"/>
  <c r="K41" i="2"/>
  <c r="G42" i="2"/>
  <c r="H42" i="2"/>
  <c r="I42" i="2"/>
  <c r="J42" i="2"/>
  <c r="K42" i="2"/>
  <c r="G43" i="2"/>
  <c r="H43" i="2"/>
  <c r="I43" i="2"/>
  <c r="J43" i="2"/>
  <c r="K43" i="2"/>
  <c r="G44" i="2"/>
  <c r="H44" i="2"/>
  <c r="I44" i="2"/>
  <c r="J44" i="2"/>
  <c r="K44" i="2"/>
  <c r="G45" i="2"/>
  <c r="H45" i="2"/>
  <c r="I45" i="2"/>
  <c r="J45" i="2"/>
  <c r="K45" i="2"/>
  <c r="G46" i="2"/>
  <c r="H46" i="2"/>
  <c r="I46" i="2"/>
  <c r="J46" i="2"/>
  <c r="K46" i="2"/>
  <c r="G47" i="2"/>
  <c r="H47" i="2"/>
  <c r="I47" i="2"/>
  <c r="J47" i="2"/>
  <c r="K47" i="2"/>
  <c r="G48" i="2"/>
  <c r="H48" i="2"/>
  <c r="I48" i="2"/>
  <c r="J48" i="2"/>
  <c r="K48" i="2"/>
  <c r="F37" i="2"/>
  <c r="F38" i="2"/>
  <c r="F39" i="2"/>
  <c r="F40" i="2"/>
  <c r="F41" i="2"/>
  <c r="F42" i="2"/>
  <c r="F43" i="2"/>
  <c r="F44" i="2"/>
  <c r="F45" i="2"/>
  <c r="F46" i="2"/>
  <c r="F47" i="2"/>
  <c r="F48" i="2"/>
  <c r="E37" i="2"/>
  <c r="E38" i="2"/>
  <c r="E39" i="2"/>
  <c r="E40" i="2"/>
  <c r="E41" i="2"/>
  <c r="E42" i="2"/>
  <c r="E43" i="2"/>
  <c r="E44" i="2"/>
  <c r="E45" i="2"/>
  <c r="E46" i="2"/>
  <c r="E47" i="2"/>
  <c r="E48" i="2"/>
  <c r="D37" i="2"/>
  <c r="D38" i="2"/>
  <c r="D39" i="2"/>
  <c r="D40" i="2"/>
  <c r="D41" i="2"/>
  <c r="D42" i="2"/>
  <c r="D43" i="2"/>
  <c r="D44" i="2"/>
  <c r="D45" i="2"/>
  <c r="D46" i="2"/>
  <c r="D47" i="2"/>
  <c r="D48" i="2"/>
  <c r="C38" i="2"/>
  <c r="C39" i="2"/>
  <c r="C40" i="2"/>
  <c r="C41" i="2"/>
  <c r="C42" i="2"/>
  <c r="C43" i="2"/>
  <c r="C44" i="2"/>
  <c r="C45" i="2"/>
  <c r="C46" i="2"/>
  <c r="C47" i="2"/>
  <c r="C48" i="2"/>
  <c r="C37" i="2"/>
  <c r="Z2" i="2"/>
  <c r="AA2" i="2"/>
  <c r="AB2" i="2"/>
  <c r="AC2" i="2"/>
  <c r="AD2" i="2"/>
  <c r="Y2" i="2"/>
  <c r="X2" i="2"/>
  <c r="W2" i="2"/>
  <c r="F18" i="2"/>
  <c r="F19" i="2"/>
  <c r="F20" i="2"/>
  <c r="F21" i="2"/>
  <c r="F22" i="2"/>
  <c r="F23" i="2"/>
  <c r="F24" i="2"/>
  <c r="F25" i="2"/>
  <c r="F26" i="2"/>
  <c r="F27" i="2"/>
  <c r="F28" i="2"/>
  <c r="F17" i="2"/>
  <c r="G17" i="2"/>
  <c r="H17" i="2"/>
  <c r="I17" i="2"/>
  <c r="G18" i="2"/>
  <c r="H18" i="2"/>
  <c r="I18" i="2"/>
  <c r="G19" i="2"/>
  <c r="H19" i="2"/>
  <c r="I19" i="2"/>
  <c r="G20" i="2"/>
  <c r="H20" i="2"/>
  <c r="I20" i="2"/>
  <c r="G21" i="2"/>
  <c r="H21" i="2"/>
  <c r="I21" i="2"/>
  <c r="G22" i="2"/>
  <c r="H22" i="2"/>
  <c r="I22" i="2"/>
  <c r="G23" i="2"/>
  <c r="H23" i="2"/>
  <c r="I23" i="2"/>
  <c r="G24" i="2"/>
  <c r="H24" i="2"/>
  <c r="I24" i="2"/>
  <c r="G25" i="2"/>
  <c r="H25" i="2"/>
  <c r="I25" i="2"/>
  <c r="G26" i="2"/>
  <c r="H26" i="2"/>
  <c r="I26" i="2"/>
  <c r="G27" i="2"/>
  <c r="H27" i="2"/>
  <c r="I27" i="2"/>
  <c r="G28" i="2"/>
  <c r="H28" i="2"/>
  <c r="I28" i="2"/>
  <c r="E17" i="2"/>
  <c r="E18" i="2"/>
  <c r="E19" i="2"/>
  <c r="E20" i="2"/>
  <c r="E21" i="2"/>
  <c r="E22" i="2"/>
  <c r="E23" i="2"/>
  <c r="E24" i="2"/>
  <c r="E25" i="2"/>
  <c r="E26" i="2"/>
  <c r="E27" i="2"/>
  <c r="E28" i="2"/>
  <c r="D17" i="2"/>
  <c r="D18" i="2"/>
  <c r="D19" i="2"/>
  <c r="D20" i="2"/>
  <c r="D21" i="2"/>
  <c r="D22" i="2"/>
  <c r="D23" i="2"/>
  <c r="D24" i="2"/>
  <c r="D25" i="2"/>
  <c r="D26" i="2"/>
  <c r="D27" i="2"/>
  <c r="D28" i="2"/>
  <c r="C18" i="2"/>
  <c r="C19" i="2"/>
  <c r="C20" i="2"/>
  <c r="C21" i="2"/>
  <c r="C22" i="2"/>
  <c r="C23" i="2"/>
  <c r="C24" i="2"/>
  <c r="C25" i="2"/>
  <c r="C26" i="2"/>
  <c r="C27" i="2"/>
  <c r="C28" i="2"/>
  <c r="C17" i="2"/>
  <c r="E8" i="2"/>
  <c r="D7" i="2"/>
  <c r="E7" i="2"/>
  <c r="E6" i="2"/>
  <c r="F5" i="2"/>
  <c r="D5" i="2"/>
  <c r="E5" i="2"/>
  <c r="C5" i="2"/>
  <c r="F4" i="2"/>
  <c r="D4" i="2"/>
  <c r="E4" i="2"/>
  <c r="C4" i="2"/>
  <c r="D3" i="2"/>
  <c r="E3" i="2"/>
  <c r="F2" i="2"/>
  <c r="D2" i="2"/>
  <c r="E2" i="2"/>
  <c r="C2" i="2"/>
  <c r="M3" i="2"/>
  <c r="M4" i="2"/>
  <c r="M5" i="2"/>
  <c r="M6" i="2"/>
  <c r="M7" i="2"/>
  <c r="M8" i="2"/>
  <c r="M9" i="2"/>
  <c r="M10" i="2"/>
  <c r="M2" i="2"/>
  <c r="V10" i="2"/>
  <c r="V9" i="2"/>
  <c r="V8" i="2"/>
  <c r="V7" i="2"/>
  <c r="V6" i="2"/>
  <c r="V5" i="2"/>
  <c r="V4" i="2"/>
  <c r="V3" i="2"/>
  <c r="D69" i="2" s="1"/>
  <c r="V2" i="2"/>
  <c r="C71" i="2" s="1"/>
  <c r="C74" i="2" s="1"/>
  <c r="N18" i="1" l="1"/>
  <c r="O18" i="1"/>
  <c r="K28" i="2" s="1"/>
  <c r="N17" i="1"/>
  <c r="J27" i="2" s="1"/>
  <c r="O17" i="1"/>
  <c r="N16" i="1"/>
  <c r="J26" i="2" s="1"/>
  <c r="O16" i="1"/>
  <c r="K26" i="2" s="1"/>
  <c r="N15" i="1"/>
  <c r="J25" i="2" s="1"/>
  <c r="O15" i="1"/>
  <c r="K25" i="2" s="1"/>
  <c r="N14" i="1"/>
  <c r="J24" i="2" s="1"/>
  <c r="O14" i="1"/>
  <c r="K24" i="2" s="1"/>
  <c r="N13" i="1"/>
  <c r="J23" i="2" s="1"/>
  <c r="O13" i="1"/>
  <c r="K23" i="2" s="1"/>
  <c r="N12" i="1"/>
  <c r="J22" i="2" s="1"/>
  <c r="O12" i="1"/>
  <c r="K22" i="2" s="1"/>
  <c r="N11" i="1"/>
  <c r="J21" i="2" s="1"/>
  <c r="O11" i="1"/>
  <c r="K21" i="2" s="1"/>
  <c r="N10" i="1"/>
  <c r="J20" i="2" s="1"/>
  <c r="O10" i="1"/>
  <c r="K20" i="2" s="1"/>
  <c r="N9" i="1"/>
  <c r="J19" i="2" s="1"/>
  <c r="O9" i="1"/>
  <c r="K19" i="2" s="1"/>
  <c r="N8" i="1"/>
  <c r="J18" i="2" s="1"/>
  <c r="O8" i="1"/>
  <c r="K18" i="2" s="1"/>
  <c r="N7" i="1"/>
  <c r="J17" i="2" s="1"/>
  <c r="O7" i="1"/>
  <c r="K17" i="2" s="1"/>
  <c r="K53" i="2"/>
  <c r="K54" i="2" s="1"/>
  <c r="J53" i="2"/>
  <c r="J54" i="2" s="1"/>
  <c r="I53" i="2"/>
  <c r="I54" i="2" s="1"/>
  <c r="H53" i="2"/>
  <c r="H54" i="2" s="1"/>
  <c r="G53" i="2"/>
  <c r="G54" i="2" s="1"/>
  <c r="F53" i="2"/>
  <c r="F54" i="2" s="1"/>
  <c r="E53" i="2"/>
  <c r="E54" i="2" s="1"/>
  <c r="D53" i="2"/>
  <c r="D54" i="2" s="1"/>
  <c r="C53" i="2"/>
  <c r="C54" i="2" s="1"/>
  <c r="F31" i="2"/>
  <c r="F61" i="2"/>
  <c r="G61" i="2"/>
  <c r="G31" i="2"/>
  <c r="H61" i="2"/>
  <c r="H31" i="2"/>
  <c r="I61" i="2"/>
  <c r="I31" i="2"/>
  <c r="J61" i="2"/>
  <c r="K61" i="2"/>
  <c r="E61" i="2"/>
  <c r="E31" i="2"/>
  <c r="D61" i="2"/>
  <c r="D31" i="2"/>
  <c r="C31" i="2"/>
  <c r="C61" i="2"/>
  <c r="G34" i="2"/>
  <c r="G71" i="2"/>
  <c r="G74" i="2" s="1"/>
  <c r="H34" i="2"/>
  <c r="H71" i="2"/>
  <c r="H74" i="2" s="1"/>
  <c r="I34" i="2"/>
  <c r="I71" i="2"/>
  <c r="J34" i="2"/>
  <c r="J71" i="2"/>
  <c r="J74" i="2" s="1"/>
  <c r="K34" i="2"/>
  <c r="K71" i="2"/>
  <c r="F34" i="2"/>
  <c r="F71" i="2"/>
  <c r="F74" i="2" s="1"/>
  <c r="E34" i="2"/>
  <c r="E71" i="2"/>
  <c r="E74" i="2" s="1"/>
  <c r="D34" i="2"/>
  <c r="D71" i="2"/>
  <c r="D74" i="2" s="1"/>
  <c r="D76" i="2" s="1"/>
  <c r="O25" i="2"/>
  <c r="K69" i="2"/>
  <c r="K76" i="2" s="1"/>
  <c r="O24" i="2"/>
  <c r="J69" i="2"/>
  <c r="O23" i="2"/>
  <c r="I69" i="2"/>
  <c r="I76" i="2" s="1"/>
  <c r="O22" i="2"/>
  <c r="H69" i="2"/>
  <c r="O21" i="2"/>
  <c r="G69" i="2"/>
  <c r="O20" i="2"/>
  <c r="F69" i="2"/>
  <c r="O19" i="2"/>
  <c r="E69" i="2"/>
  <c r="O18" i="2"/>
  <c r="C34" i="2"/>
  <c r="C69" i="2"/>
  <c r="C76" i="2" s="1"/>
  <c r="G51" i="2"/>
  <c r="G52" i="2" s="1"/>
  <c r="G55" i="2" s="1"/>
  <c r="G57" i="2"/>
  <c r="H51" i="2"/>
  <c r="H52" i="2" s="1"/>
  <c r="H55" i="2" s="1"/>
  <c r="H57" i="2"/>
  <c r="I51" i="2"/>
  <c r="I52" i="2" s="1"/>
  <c r="I55" i="2" s="1"/>
  <c r="I57" i="2"/>
  <c r="J51" i="2"/>
  <c r="J52" i="2" s="1"/>
  <c r="J55" i="2" s="1"/>
  <c r="J57" i="2"/>
  <c r="K51" i="2"/>
  <c r="K52" i="2" s="1"/>
  <c r="K55" i="2" s="1"/>
  <c r="K57" i="2"/>
  <c r="F51" i="2"/>
  <c r="F52" i="2" s="1"/>
  <c r="F55" i="2" s="1"/>
  <c r="F57" i="2"/>
  <c r="E51" i="2"/>
  <c r="E52" i="2" s="1"/>
  <c r="E55" i="2" s="1"/>
  <c r="E57" i="2"/>
  <c r="D51" i="2"/>
  <c r="D52" i="2" s="1"/>
  <c r="D55" i="2" s="1"/>
  <c r="D57" i="2"/>
  <c r="C51" i="2"/>
  <c r="C52" i="2" s="1"/>
  <c r="C55" i="2" s="1"/>
  <c r="C57" i="2"/>
  <c r="O17" i="2"/>
  <c r="C3" i="2"/>
  <c r="F3" i="2"/>
  <c r="G3" i="2" s="1"/>
  <c r="L3" i="2" s="1"/>
  <c r="G2" i="2"/>
  <c r="L2" i="2" s="1"/>
  <c r="F6" i="2"/>
  <c r="C6" i="2"/>
  <c r="F7" i="2"/>
  <c r="C7" i="2"/>
  <c r="C8" i="2"/>
  <c r="C9" i="2"/>
  <c r="D6" i="2"/>
  <c r="F8" i="2"/>
  <c r="J10" i="2"/>
  <c r="J9" i="2"/>
  <c r="J8" i="2"/>
  <c r="J7" i="2"/>
  <c r="J6" i="2"/>
  <c r="J5" i="2"/>
  <c r="J4" i="2"/>
  <c r="J3" i="2"/>
  <c r="J2" i="2"/>
  <c r="G4" i="2"/>
  <c r="L4" i="2" s="1"/>
  <c r="G5" i="2"/>
  <c r="L5" i="2" s="1"/>
  <c r="K27" i="2" l="1"/>
  <c r="K31" i="2" s="1"/>
  <c r="E10" i="2"/>
  <c r="J28" i="2"/>
  <c r="J31" i="2" s="1"/>
  <c r="E9" i="2"/>
  <c r="G76" i="2"/>
  <c r="H76" i="2"/>
  <c r="J76" i="2"/>
  <c r="F76" i="2"/>
  <c r="E76" i="2"/>
  <c r="G59" i="2"/>
  <c r="G63" i="2" s="1"/>
  <c r="E59" i="2"/>
  <c r="E63" i="2" s="1"/>
  <c r="H59" i="2"/>
  <c r="H63" i="2" s="1"/>
  <c r="I59" i="2"/>
  <c r="I63" i="2" s="1"/>
  <c r="D59" i="2"/>
  <c r="D63" i="2" s="1"/>
  <c r="J59" i="2"/>
  <c r="J63" i="2" s="1"/>
  <c r="K59" i="2"/>
  <c r="K63" i="2" s="1"/>
  <c r="F59" i="2"/>
  <c r="F63" i="2" s="1"/>
  <c r="C59" i="2"/>
  <c r="C63" i="2" s="1"/>
  <c r="G7" i="2"/>
  <c r="H2" i="2"/>
  <c r="K3" i="2"/>
  <c r="H3" i="2"/>
  <c r="C10" i="2"/>
  <c r="D8" i="2"/>
  <c r="G8" i="2" s="1"/>
  <c r="G6" i="2"/>
  <c r="L6" i="2" s="1"/>
  <c r="F9" i="2"/>
  <c r="K5" i="2"/>
  <c r="K2" i="2"/>
  <c r="H5" i="2"/>
  <c r="H4" i="2"/>
  <c r="G65" i="2" l="1"/>
  <c r="G66" i="2"/>
  <c r="E65" i="2"/>
  <c r="E66" i="2"/>
  <c r="H65" i="2"/>
  <c r="H66" i="2"/>
  <c r="I65" i="2"/>
  <c r="I66" i="2"/>
  <c r="D65" i="2"/>
  <c r="D66" i="2"/>
  <c r="J65" i="2"/>
  <c r="J66" i="2"/>
  <c r="K65" i="2"/>
  <c r="K66" i="2"/>
  <c r="F65" i="2"/>
  <c r="F66" i="2"/>
  <c r="C65" i="2"/>
  <c r="C66" i="2"/>
  <c r="L7" i="2"/>
  <c r="H7" i="2"/>
  <c r="H8" i="2"/>
  <c r="L8" i="2"/>
  <c r="N2" i="2"/>
  <c r="K7" i="2"/>
  <c r="K4" i="2"/>
  <c r="N4" i="2" s="1"/>
  <c r="N3" i="2"/>
  <c r="K8" i="2"/>
  <c r="K6" i="2"/>
  <c r="H6" i="2"/>
  <c r="D9" i="2"/>
  <c r="G9" i="2" s="1"/>
  <c r="L9" i="2" s="1"/>
  <c r="N5" i="2"/>
  <c r="J78" i="2" l="1"/>
  <c r="J80" i="2" s="1"/>
  <c r="G78" i="2"/>
  <c r="G80" i="2" s="1"/>
  <c r="H78" i="2"/>
  <c r="H80" i="2" s="1"/>
  <c r="I78" i="2"/>
  <c r="I80" i="2" s="1"/>
  <c r="K78" i="2"/>
  <c r="K80" i="2" s="1"/>
  <c r="F78" i="2"/>
  <c r="F80" i="2" s="1"/>
  <c r="E78" i="2"/>
  <c r="E80" i="2" s="1"/>
  <c r="D78" i="2"/>
  <c r="D80" i="2" s="1"/>
  <c r="C78" i="2"/>
  <c r="C80" i="2" s="1"/>
  <c r="N7" i="2"/>
  <c r="N8" i="2"/>
  <c r="N6" i="2"/>
  <c r="K9" i="2"/>
  <c r="H9" i="2"/>
  <c r="F10" i="2"/>
  <c r="D10" i="2"/>
  <c r="C82" i="2" l="1"/>
  <c r="C13" i="2" s="1"/>
  <c r="N9" i="2"/>
  <c r="G10" i="2"/>
  <c r="L10" i="2" s="1"/>
  <c r="H10" i="2" l="1"/>
  <c r="K10" i="2" l="1"/>
  <c r="N10" i="2" s="1"/>
  <c r="H2" i="1" s="1"/>
</calcChain>
</file>

<file path=xl/sharedStrings.xml><?xml version="1.0" encoding="utf-8"?>
<sst xmlns="http://schemas.openxmlformats.org/spreadsheetml/2006/main" count="143" uniqueCount="137">
  <si>
    <r>
      <t xml:space="preserve">Medium Level  </t>
    </r>
    <r>
      <rPr>
        <sz val="9"/>
        <color rgb="FFFFC000"/>
        <rFont val="Aptos Narrow"/>
        <family val="2"/>
        <scheme val="minor"/>
      </rPr>
      <t>(⭐⭐)</t>
    </r>
  </si>
  <si>
    <t>KODE SOAL</t>
  </si>
  <si>
    <t>SBEM007</t>
  </si>
  <si>
    <t>KODE JAWABAN</t>
  </si>
  <si>
    <t xml:space="preserve">NO </t>
  </si>
  <si>
    <t>TICKET</t>
  </si>
  <si>
    <r>
      <t xml:space="preserve">FLIGHT TYPE </t>
    </r>
    <r>
      <rPr>
        <vertAlign val="superscript"/>
        <sz val="11"/>
        <color theme="5" tint="-0.249977111117893"/>
        <rFont val="Aptos Narrow"/>
        <family val="2"/>
        <scheme val="minor"/>
      </rPr>
      <t>1</t>
    </r>
  </si>
  <si>
    <t>TAKE OFF</t>
  </si>
  <si>
    <r>
      <t xml:space="preserve">LANDING </t>
    </r>
    <r>
      <rPr>
        <vertAlign val="superscript"/>
        <sz val="11"/>
        <color theme="5" tint="-0.249977111117893"/>
        <rFont val="Aptos Narrow"/>
        <family val="2"/>
        <scheme val="minor"/>
      </rPr>
      <t>2</t>
    </r>
  </si>
  <si>
    <r>
      <t xml:space="preserve">FLIGHT AREA </t>
    </r>
    <r>
      <rPr>
        <vertAlign val="superscript"/>
        <sz val="11"/>
        <color theme="5" tint="-0.249977111117893"/>
        <rFont val="Aptos Narrow"/>
        <family val="2"/>
        <scheme val="minor"/>
      </rPr>
      <t>3</t>
    </r>
  </si>
  <si>
    <t>JUMLAH TIKET</t>
  </si>
  <si>
    <r>
      <t xml:space="preserve">Flight Class </t>
    </r>
    <r>
      <rPr>
        <vertAlign val="superscript"/>
        <sz val="11"/>
        <color theme="5" tint="-0.249977111117893"/>
        <rFont val="Aptos Narrow"/>
        <family val="2"/>
        <scheme val="minor"/>
      </rPr>
      <t>4</t>
    </r>
  </si>
  <si>
    <t>HARGA TIKET</t>
  </si>
  <si>
    <r>
      <t xml:space="preserve">TOTAL </t>
    </r>
    <r>
      <rPr>
        <vertAlign val="superscript"/>
        <sz val="11"/>
        <color theme="5" tint="-0.249977111117893"/>
        <rFont val="Aptos Narrow"/>
        <family val="2"/>
        <scheme val="minor"/>
      </rPr>
      <t>7</t>
    </r>
  </si>
  <si>
    <r>
      <t xml:space="preserve">PSC AGEN </t>
    </r>
    <r>
      <rPr>
        <vertAlign val="superscript"/>
        <sz val="11"/>
        <color theme="5" tint="-0.249977111117893"/>
        <rFont val="Aptos Narrow"/>
        <family val="2"/>
        <scheme val="minor"/>
      </rPr>
      <t>8</t>
    </r>
  </si>
  <si>
    <r>
      <t xml:space="preserve">TOTAL BAYAR </t>
    </r>
    <r>
      <rPr>
        <b/>
        <vertAlign val="superscript"/>
        <sz val="11"/>
        <color theme="5" tint="-0.249977111117893"/>
        <rFont val="Aptos Narrow"/>
        <family val="2"/>
        <scheme val="minor"/>
      </rPr>
      <t>9</t>
    </r>
  </si>
  <si>
    <t>DEWASA-1</t>
  </si>
  <si>
    <t>ANAK-1</t>
  </si>
  <si>
    <r>
      <t xml:space="preserve">DEWASA-2 </t>
    </r>
    <r>
      <rPr>
        <vertAlign val="superscript"/>
        <sz val="11"/>
        <color theme="5" tint="-0.249977111117893"/>
        <rFont val="Aptos Narrow"/>
        <family val="2"/>
        <scheme val="minor"/>
      </rPr>
      <t>5</t>
    </r>
  </si>
  <si>
    <r>
      <t xml:space="preserve">ANAK-2 </t>
    </r>
    <r>
      <rPr>
        <vertAlign val="superscript"/>
        <sz val="11"/>
        <color theme="5" tint="-0.249977111117893"/>
        <rFont val="Aptos Narrow"/>
        <family val="2"/>
        <scheme val="minor"/>
      </rPr>
      <t>6</t>
    </r>
  </si>
  <si>
    <t>3ZBEP</t>
  </si>
  <si>
    <t>1YBDB</t>
  </si>
  <si>
    <t>2YAEP</t>
  </si>
  <si>
    <t>1ZADE</t>
  </si>
  <si>
    <t>3XBCB</t>
  </si>
  <si>
    <t>1YACE</t>
  </si>
  <si>
    <t>2XAEB</t>
  </si>
  <si>
    <t>2ZBDP</t>
  </si>
  <si>
    <t>3XBDE</t>
  </si>
  <si>
    <t>1ZBCB</t>
  </si>
  <si>
    <t>2YADP</t>
  </si>
  <si>
    <t>Tabel Flight Type</t>
  </si>
  <si>
    <r>
      <rPr>
        <b/>
        <sz val="11"/>
        <color indexed="8"/>
        <rFont val="Aptos Narrow"/>
        <family val="2"/>
        <scheme val="minor"/>
      </rPr>
      <t>Ticket</t>
    </r>
    <r>
      <rPr>
        <sz val="11"/>
        <color indexed="8"/>
        <rFont val="Aptos Narrow"/>
        <family val="2"/>
        <scheme val="minor"/>
      </rPr>
      <t xml:space="preserve"> : Karakter ke-1 : Kode Pesawat, ke-2 : Kode Nama Pesawat, ke-3 : Kode Awal Pemberangkatan, ke-4 : Kode Tujuan, ke-5 : Kode Kelas</t>
    </r>
  </si>
  <si>
    <t>Kode Pesawat</t>
  </si>
  <si>
    <t>Kode Flight Type</t>
  </si>
  <si>
    <t>Tabel Tujuan</t>
  </si>
  <si>
    <t>X</t>
  </si>
  <si>
    <t>Y</t>
  </si>
  <si>
    <t>Z</t>
  </si>
  <si>
    <t>Kode Tujuan</t>
  </si>
  <si>
    <t>Daerah</t>
  </si>
  <si>
    <t>Soal</t>
  </si>
  <si>
    <t>DC-9</t>
  </si>
  <si>
    <t>Boeing 737</t>
  </si>
  <si>
    <t>Sukhoi SJ 100</t>
  </si>
  <si>
    <t>C</t>
  </si>
  <si>
    <t>Singapore</t>
  </si>
  <si>
    <r>
      <rPr>
        <b/>
        <sz val="11"/>
        <color theme="1"/>
        <rFont val="Aptos Narrow"/>
        <family val="2"/>
        <scheme val="minor"/>
      </rPr>
      <t xml:space="preserve"> Flight Type</t>
    </r>
    <r>
      <rPr>
        <sz val="11"/>
        <color theme="1"/>
        <rFont val="Aptos Narrow"/>
        <family val="2"/>
        <scheme val="minor"/>
      </rPr>
      <t xml:space="preserve"> berasal dari Tabel Flight Type, berdasarkan Kode Pesawat dan Kode Nama Pesawat</t>
    </r>
  </si>
  <si>
    <t>Air Bus 3</t>
  </si>
  <si>
    <t>DC-10</t>
  </si>
  <si>
    <t>CN 250</t>
  </si>
  <si>
    <t>D</t>
  </si>
  <si>
    <t>Malaysia</t>
  </si>
  <si>
    <r>
      <rPr>
        <b/>
        <sz val="11"/>
        <color indexed="8"/>
        <rFont val="Aptos Narrow"/>
        <family val="2"/>
        <scheme val="minor"/>
      </rPr>
      <t>Landing</t>
    </r>
    <r>
      <rPr>
        <sz val="11"/>
        <color indexed="8"/>
        <rFont val="Aptos Narrow"/>
        <family val="2"/>
        <scheme val="minor"/>
      </rPr>
      <t xml:space="preserve"> di dapat dari Jam Berangkat ditambah dengan Lama Perjalanan</t>
    </r>
  </si>
  <si>
    <t>Boeing 747</t>
  </si>
  <si>
    <t>DC-11</t>
  </si>
  <si>
    <t>Turbo N-125</t>
  </si>
  <si>
    <t>E</t>
  </si>
  <si>
    <t>Brunei</t>
  </si>
  <si>
    <t>(Tujuan ke Singapore : 3 Jam, Malaysia : 2 Jam, Brunei : 1 Jam)</t>
  </si>
  <si>
    <r>
      <rPr>
        <b/>
        <sz val="11"/>
        <color indexed="8"/>
        <rFont val="Aptos Narrow"/>
        <family val="2"/>
        <scheme val="minor"/>
      </rPr>
      <t>Flight Area</t>
    </r>
    <r>
      <rPr>
        <sz val="11"/>
        <color indexed="8"/>
        <rFont val="Aptos Narrow"/>
        <family val="2"/>
        <scheme val="minor"/>
      </rPr>
      <t xml:space="preserve"> berdasarkan Kode Awal Pemberangkatan &amp; Kode Tujuan</t>
    </r>
  </si>
  <si>
    <t>Tabel Harga Tiket</t>
  </si>
  <si>
    <t>(misal : Jakarta-Malaysia)</t>
  </si>
  <si>
    <t>Golongan</t>
  </si>
  <si>
    <t>Kelas</t>
  </si>
  <si>
    <t>Tabel Pemberangkatan</t>
  </si>
  <si>
    <r>
      <rPr>
        <b/>
        <sz val="11"/>
        <color indexed="8"/>
        <rFont val="Aptos Narrow"/>
        <family val="2"/>
        <scheme val="minor"/>
      </rPr>
      <t>Flight Class</t>
    </r>
    <r>
      <rPr>
        <sz val="11"/>
        <color indexed="8"/>
        <rFont val="Aptos Narrow"/>
        <family val="2"/>
        <scheme val="minor"/>
      </rPr>
      <t xml:space="preserve"> berdasarkan Kode Kelas, </t>
    </r>
  </si>
  <si>
    <t>Ekonomi</t>
  </si>
  <si>
    <t>Bisnis</t>
  </si>
  <si>
    <t>First Class</t>
  </si>
  <si>
    <t>Kode Awal</t>
  </si>
  <si>
    <r>
      <t>Jika Kode Kelas E :</t>
    </r>
    <r>
      <rPr>
        <b/>
        <sz val="11"/>
        <color theme="1"/>
        <rFont val="Aptos Narrow"/>
        <family val="2"/>
        <scheme val="minor"/>
      </rPr>
      <t>Ekonomi</t>
    </r>
    <r>
      <rPr>
        <sz val="11"/>
        <color theme="1"/>
        <rFont val="Aptos Narrow"/>
        <family val="2"/>
        <scheme val="minor"/>
      </rPr>
      <t xml:space="preserve">, Kode Kelas B : </t>
    </r>
    <r>
      <rPr>
        <b/>
        <sz val="11"/>
        <color theme="1"/>
        <rFont val="Aptos Narrow"/>
        <family val="2"/>
        <scheme val="minor"/>
      </rPr>
      <t>Bisnis</t>
    </r>
    <r>
      <rPr>
        <sz val="11"/>
        <color theme="1"/>
        <rFont val="Aptos Narrow"/>
        <family val="2"/>
        <scheme val="minor"/>
      </rPr>
      <t xml:space="preserve">, Kode Kelas P : </t>
    </r>
    <r>
      <rPr>
        <b/>
        <sz val="11"/>
        <color theme="1"/>
        <rFont val="Aptos Narrow"/>
        <family val="2"/>
        <scheme val="minor"/>
      </rPr>
      <t>First Class</t>
    </r>
  </si>
  <si>
    <t>Dewasa</t>
  </si>
  <si>
    <t>A</t>
  </si>
  <si>
    <t>Jakarta</t>
  </si>
  <si>
    <t>5,6</t>
  </si>
  <si>
    <r>
      <rPr>
        <b/>
        <sz val="11"/>
        <color indexed="8"/>
        <rFont val="Aptos Narrow"/>
        <family val="2"/>
        <scheme val="minor"/>
      </rPr>
      <t xml:space="preserve">Harga Tiket </t>
    </r>
    <r>
      <rPr>
        <sz val="11"/>
        <color indexed="8"/>
        <rFont val="Aptos Narrow"/>
        <family val="2"/>
        <scheme val="minor"/>
      </rPr>
      <t xml:space="preserve"> didapatkan dari perkalian antara Jumlah Tiket masing-masing dengan Harga Tiket satuan</t>
    </r>
  </si>
  <si>
    <t>Anak - Anak</t>
  </si>
  <si>
    <t>B</t>
  </si>
  <si>
    <t>Bali</t>
  </si>
  <si>
    <r>
      <rPr>
        <b/>
        <sz val="11"/>
        <color indexed="8"/>
        <rFont val="Aptos Narrow"/>
        <family val="2"/>
        <scheme val="minor"/>
      </rPr>
      <t xml:space="preserve">Total </t>
    </r>
    <r>
      <rPr>
        <sz val="11"/>
        <color indexed="8"/>
        <rFont val="Aptos Narrow"/>
        <family val="2"/>
        <scheme val="minor"/>
      </rPr>
      <t xml:space="preserve"> merupakan penjumlahan antara Harga Tiket Dewasa dan Harga Tiket Anak</t>
    </r>
  </si>
  <si>
    <r>
      <rPr>
        <b/>
        <sz val="11"/>
        <color indexed="8"/>
        <rFont val="Aptos Narrow"/>
        <family val="2"/>
        <scheme val="minor"/>
      </rPr>
      <t>PSC Agen</t>
    </r>
    <r>
      <rPr>
        <sz val="11"/>
        <color indexed="8"/>
        <rFont val="Aptos Narrow"/>
        <family val="2"/>
        <scheme val="minor"/>
      </rPr>
      <t xml:space="preserve"> : Jika Total Kurang dari atau sama dengan 5.000.000 : 2,5% dari Total</t>
    </r>
  </si>
  <si>
    <t xml:space="preserve">                         Jika Total 5.000.001 s.d. 15.000.000 : 3% dari Total</t>
  </si>
  <si>
    <t xml:space="preserve">                         Jika Total 15.000.001 s.d. 30.000.000 : 3,5% dari Total, selain itu 4%</t>
  </si>
  <si>
    <r>
      <rPr>
        <b/>
        <sz val="11"/>
        <color indexed="8"/>
        <rFont val="Aptos Narrow"/>
        <family val="2"/>
        <scheme val="minor"/>
      </rPr>
      <t xml:space="preserve">Total </t>
    </r>
    <r>
      <rPr>
        <sz val="11"/>
        <color indexed="8"/>
        <rFont val="Aptos Narrow"/>
        <family val="2"/>
        <scheme val="minor"/>
      </rPr>
      <t xml:space="preserve"> Bayar merupakan penjumlahan antara Total dan PSC Agen</t>
    </r>
  </si>
  <si>
    <t>https://belajarexcel.id/xl-test/</t>
  </si>
  <si>
    <r>
      <t xml:space="preserve">Kirimkan </t>
    </r>
    <r>
      <rPr>
        <b/>
        <i/>
        <sz val="11"/>
        <color theme="4" tint="-0.249977111117893"/>
        <rFont val="Aptos Narrow"/>
        <family val="2"/>
        <scheme val="minor"/>
      </rPr>
      <t>Kode Soal</t>
    </r>
    <r>
      <rPr>
        <i/>
        <sz val="11"/>
        <color theme="4" tint="-0.249977111117893"/>
        <rFont val="Aptos Narrow"/>
        <family val="2"/>
        <scheme val="minor"/>
      </rPr>
      <t xml:space="preserve"> dan </t>
    </r>
    <r>
      <rPr>
        <b/>
        <i/>
        <sz val="11"/>
        <color theme="4" tint="-0.249977111117893"/>
        <rFont val="Aptos Narrow"/>
        <family val="2"/>
        <scheme val="minor"/>
      </rPr>
      <t>Kode Jawaban</t>
    </r>
    <r>
      <rPr>
        <i/>
        <sz val="11"/>
        <color theme="4" tint="-0.249977111117893"/>
        <rFont val="Aptos Narrow"/>
        <family val="2"/>
        <scheme val="minor"/>
      </rPr>
      <t xml:space="preserve"> ke alamat :  </t>
    </r>
    <r>
      <rPr>
        <b/>
        <i/>
        <u/>
        <sz val="11"/>
        <color theme="4" tint="-0.249977111117893"/>
        <rFont val="Aptos Narrow"/>
        <family val="2"/>
        <scheme val="minor"/>
      </rPr>
      <t>https://belajarexcel.id/xl-test/jawaban</t>
    </r>
    <r>
      <rPr>
        <i/>
        <sz val="11"/>
        <color theme="4" tint="-0.249977111117893"/>
        <rFont val="Aptos Narrow"/>
        <family val="2"/>
        <scheme val="minor"/>
      </rPr>
      <t xml:space="preserve">  untuk mengecek hasil benar/salah</t>
    </r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</si>
  <si>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</si>
  <si>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</si>
  <si>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</si>
  <si>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</si>
  <si>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</si>
  <si>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</si>
  <si>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</si>
  <si>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</si>
  <si>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</si>
  <si>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</si>
  <si>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</si>
  <si>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</si>
  <si>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</si>
  <si>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Free Access</t>
  </si>
  <si>
    <t>V1</t>
  </si>
  <si>
    <t>V2</t>
  </si>
  <si>
    <t>V3</t>
  </si>
  <si>
    <t>V4</t>
  </si>
  <si>
    <t>V5</t>
  </si>
  <si>
    <t>VF</t>
  </si>
  <si>
    <t>Empty</t>
  </si>
  <si>
    <t>Cek</t>
  </si>
  <si>
    <t>Cek F</t>
  </si>
  <si>
    <t>DEF</t>
  </si>
  <si>
    <t>ANSH15</t>
  </si>
  <si>
    <t>MG1</t>
  </si>
  <si>
    <t>RFERW</t>
  </si>
  <si>
    <t>ABSH56</t>
  </si>
  <si>
    <t>AGR123</t>
  </si>
  <si>
    <t>BSF142</t>
  </si>
  <si>
    <t>G231SV</t>
  </si>
  <si>
    <t>BS122</t>
  </si>
  <si>
    <t>HJE1548</t>
  </si>
  <si>
    <t>AHBN123</t>
  </si>
  <si>
    <t>Vrand</t>
  </si>
  <si>
    <t>**</t>
  </si>
  <si>
    <t>Cek Manual</t>
  </si>
  <si>
    <t>AVG 1</t>
  </si>
  <si>
    <t>AVG2</t>
  </si>
  <si>
    <t>Final</t>
  </si>
  <si>
    <t>Array</t>
  </si>
  <si>
    <t>Final 2</t>
  </si>
  <si>
    <t>kosong</t>
  </si>
  <si>
    <t>Value V</t>
  </si>
  <si>
    <t>Cek Formula</t>
  </si>
  <si>
    <t>Jumlah F</t>
  </si>
  <si>
    <t>BB</t>
  </si>
  <si>
    <t>Final F</t>
  </si>
  <si>
    <t>Hasil For</t>
  </si>
  <si>
    <t>gabung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</si>
</sst>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h:mm;@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5" tint="0.39997558519241921"/>
      <name val="Aptos Narrow"/>
      <family val="2"/>
      <scheme val="minor"/>
    </font>
    <font>
      <b/>
      <vertAlign val="superscript"/>
      <sz val="11"/>
      <color theme="5" tint="-0.249977111117893"/>
      <name val="Aptos Narrow"/>
      <family val="2"/>
      <scheme val="minor"/>
    </font>
    <font>
      <vertAlign val="superscript"/>
      <sz val="11"/>
      <color theme="5" tint="-0.249977111117893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4" tint="-0.249977111117893"/>
      <name val="Aptos Narrow"/>
      <family val="2"/>
      <scheme val="minor"/>
    </font>
    <font>
      <b/>
      <i/>
      <sz val="11"/>
      <color theme="4" tint="-0.249977111117893"/>
      <name val="Aptos Narrow"/>
      <family val="2"/>
      <scheme val="minor"/>
    </font>
    <font>
      <b/>
      <i/>
      <u/>
      <sz val="11"/>
      <color theme="4" tint="-0.249977111117893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8"/>
      <color rgb="FF0070C0"/>
      <name val="Aptos Narrow"/>
      <family val="2"/>
      <scheme val="minor"/>
    </font>
    <font>
      <sz val="9"/>
      <color rgb="FFFFC000"/>
      <name val="Aptos Narrow"/>
      <family val="2"/>
      <scheme val="minor"/>
    </font>
    <font>
      <sz val="10"/>
      <color theme="6" tint="-0.249977111117893"/>
      <name val="Aptos Narrow"/>
      <family val="2"/>
      <scheme val="minor"/>
    </font>
    <font>
      <sz val="9"/>
      <color theme="6" tint="-0.249977111117893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1" applyFont="1" applyBorder="1"/>
    <xf numFmtId="0" fontId="0" fillId="0" borderId="1" xfId="0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164" fontId="0" fillId="0" borderId="0" xfId="0" applyNumberFormat="1"/>
    <xf numFmtId="49" fontId="0" fillId="0" borderId="0" xfId="0" applyNumberFormat="1" applyAlignment="1">
      <alignment horizontal="left"/>
    </xf>
    <xf numFmtId="0" fontId="0" fillId="3" borderId="2" xfId="0" applyFill="1" applyBorder="1" applyAlignment="1">
      <alignment horizontal="center"/>
    </xf>
    <xf numFmtId="20" fontId="0" fillId="3" borderId="2" xfId="0" applyNumberFormat="1" applyFill="1" applyBorder="1" applyAlignment="1">
      <alignment horizontal="center"/>
    </xf>
    <xf numFmtId="164" fontId="0" fillId="4" borderId="2" xfId="1" applyFont="1" applyFill="1" applyBorder="1"/>
    <xf numFmtId="0" fontId="0" fillId="4" borderId="2" xfId="0" applyFill="1" applyBorder="1" applyAlignment="1">
      <alignment horizontal="left" indent="1"/>
    </xf>
    <xf numFmtId="0" fontId="5" fillId="0" borderId="0" xfId="0" applyFont="1"/>
    <xf numFmtId="0" fontId="8" fillId="4" borderId="2" xfId="0" applyFont="1" applyFill="1" applyBorder="1" applyAlignment="1">
      <alignment horizontal="left" indent="1"/>
    </xf>
    <xf numFmtId="49" fontId="4" fillId="0" borderId="0" xfId="0" applyNumberFormat="1" applyFont="1" applyAlignment="1">
      <alignment horizontal="left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10" fillId="0" borderId="0" xfId="0" applyFont="1"/>
    <xf numFmtId="0" fontId="9" fillId="0" borderId="0" xfId="2"/>
    <xf numFmtId="165" fontId="0" fillId="4" borderId="2" xfId="0" applyNumberFormat="1" applyFill="1" applyBorder="1" applyAlignment="1">
      <alignment horizontal="left" indent="1"/>
    </xf>
    <xf numFmtId="0" fontId="16" fillId="7" borderId="0" xfId="0" applyFont="1" applyFill="1" applyAlignment="1">
      <alignment vertical="center"/>
    </xf>
    <xf numFmtId="0" fontId="16" fillId="8" borderId="0" xfId="0" applyFont="1" applyFill="1" applyAlignment="1">
      <alignment vertical="center"/>
    </xf>
    <xf numFmtId="0" fontId="0" fillId="8" borderId="0" xfId="0" applyFill="1"/>
    <xf numFmtId="0" fontId="1" fillId="0" borderId="2" xfId="3" applyBorder="1"/>
    <xf numFmtId="0" fontId="1" fillId="0" borderId="0" xfId="3"/>
    <xf numFmtId="0" fontId="20" fillId="0" borderId="2" xfId="3" applyFont="1" applyBorder="1" applyAlignment="1">
      <alignment horizontal="left"/>
    </xf>
    <xf numFmtId="0" fontId="20" fillId="0" borderId="2" xfId="3" applyFont="1" applyBorder="1"/>
    <xf numFmtId="0" fontId="9" fillId="0" borderId="2" xfId="4" applyBorder="1"/>
    <xf numFmtId="0" fontId="0" fillId="2" borderId="2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9" fillId="0" borderId="2" xfId="3" applyFont="1" applyBorder="1" applyAlignment="1">
      <alignment horizontal="left"/>
    </xf>
    <xf numFmtId="20" fontId="0" fillId="4" borderId="2" xfId="0" applyNumberFormat="1" applyFill="1" applyBorder="1" applyAlignment="1">
      <alignment horizontal="center" wrapText="1"/>
    </xf>
    <xf numFmtId="164" fontId="0" fillId="4" borderId="2" xfId="1" applyFont="1" applyFill="1" applyBorder="1" applyAlignment="1">
      <alignment wrapText="1"/>
    </xf>
    <xf numFmtId="164" fontId="0" fillId="4" borderId="2" xfId="1" applyFont="1" applyFill="1" applyBorder="1" applyAlignment="1">
      <alignment horizontal="left" wrapText="1"/>
    </xf>
    <xf numFmtId="0" fontId="2" fillId="0" borderId="0" xfId="0" applyFont="1" applyAlignment="1">
      <alignment horizontal="left"/>
    </xf>
    <xf numFmtId="0" fontId="15" fillId="6" borderId="0" xfId="0" applyFont="1" applyFill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8" fillId="0" borderId="2" xfId="3" applyFont="1" applyBorder="1" applyAlignment="1">
      <alignment horizontal="left"/>
    </xf>
    <xf numFmtId="0" fontId="19" fillId="0" borderId="2" xfId="3" applyFont="1" applyBorder="1" applyAlignment="1">
      <alignment horizontal="left"/>
    </xf>
  </cellXfs>
  <cellStyles count="5">
    <cellStyle name="Comma [0]" xfId="1" builtinId="6"/>
    <cellStyle name="Hyperlink" xfId="2" builtinId="8"/>
    <cellStyle name="Hyperlink 2" xfId="4" xr:uid="{20D36B5B-3BBE-4D23-B9B8-E3847A4937CE}"/>
    <cellStyle name="Normal" xfId="0" builtinId="0"/>
    <cellStyle name="Normal 2" xfId="3" xr:uid="{BE068EE8-91D2-424F-8FA2-B6CFD3EFD9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belajarexcel.id/xl-test/jawaban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830580</xdr:colOff>
      <xdr:row>34</xdr:row>
      <xdr:rowOff>68580</xdr:rowOff>
    </xdr:from>
    <xdr:to>
      <xdr:col>11</xdr:col>
      <xdr:colOff>293134</xdr:colOff>
      <xdr:row>37</xdr:row>
      <xdr:rowOff>53340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CB173F-9090-4B60-B469-9C54CD0B5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3480" y="7414260"/>
          <a:ext cx="1504714" cy="533400"/>
        </a:xfrm>
        <a:prstGeom prst="rect">
          <a:avLst/>
        </a:prstGeom>
      </xdr:spPr>
    </xdr:pic>
    <xdr:clientData/>
  </xdr:twoCellAnchor>
  <xdr:twoCellAnchor>
    <xdr:from>
      <xdr:col>6</xdr:col>
      <xdr:colOff>754380</xdr:colOff>
      <xdr:row>40</xdr:row>
      <xdr:rowOff>99060</xdr:rowOff>
    </xdr:from>
    <xdr:to>
      <xdr:col>8</xdr:col>
      <xdr:colOff>327660</xdr:colOff>
      <xdr:row>41</xdr:row>
      <xdr:rowOff>175260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8B237C-690C-4AC9-B619-37F93262C93B}"/>
            </a:ext>
          </a:extLst>
        </xdr:cNvPr>
        <xdr:cNvSpPr/>
      </xdr:nvSpPr>
      <xdr:spPr>
        <a:xfrm>
          <a:off x="6096000" y="8542020"/>
          <a:ext cx="1432560" cy="25908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502920</xdr:colOff>
      <xdr:row>1</xdr:row>
      <xdr:rowOff>53340</xdr:rowOff>
    </xdr:from>
    <xdr:ext cx="1554479" cy="586842"/>
    <xdr:pic>
      <xdr:nvPicPr>
        <xdr:cNvPr id="2" name="Picture 1">
          <a:extLst>
            <a:ext uri="{FF2B5EF4-FFF2-40B4-BE49-F238E27FC236}">
              <a16:creationId xmlns:a16="http://schemas.microsoft.com/office/drawing/2014/main" id="{B537A48D-3738-4D2E-BAA2-4E2B344D6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" y="236220"/>
          <a:ext cx="1554479" cy="58684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belajarexcel.id/xl-test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belajarexcel.id/xl-te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8E227-EF86-4293-8582-EAEB309B0B41}">
  <sheetPr codeName="Sheet1"/>
  <dimension ref="B1:Q40"/>
  <sheetViews>
    <sheetView tabSelected="1" topLeftCell="B29" workbookViewId="0">
      <selection activeCell="H2" sqref="H2"/>
    </sheetView>
  </sheetViews>
  <sheetFormatPr defaultRowHeight="14.45"/>
  <cols>
    <col min="2" max="2" width="10.42578125" customWidth="1"/>
    <col min="3" max="3" width="12.42578125" customWidth="1"/>
    <col min="4" max="4" width="15.140625" customWidth="1"/>
    <col min="5" max="5" width="16.7109375" customWidth="1"/>
    <col min="6" max="6" width="14.28515625" customWidth="1"/>
    <col min="7" max="7" width="17.5703125" customWidth="1"/>
    <col min="8" max="8" width="11.85546875" customWidth="1"/>
    <col min="9" max="9" width="11.140625" customWidth="1"/>
    <col min="10" max="10" width="14.7109375" customWidth="1"/>
    <col min="11" max="11" width="15" customWidth="1"/>
    <col min="12" max="12" width="13.7109375" customWidth="1"/>
    <col min="13" max="13" width="13.85546875" customWidth="1"/>
    <col min="14" max="14" width="14.42578125" customWidth="1"/>
    <col min="15" max="15" width="14.5703125" customWidth="1"/>
    <col min="16" max="16" width="11.7109375" customWidth="1"/>
    <col min="17" max="17" width="10.28515625" customWidth="1"/>
    <col min="19" max="19" width="11.85546875" customWidth="1"/>
  </cols>
  <sheetData>
    <row r="1" spans="2:17">
      <c r="B1" s="38" t="s">
        <v>0</v>
      </c>
      <c r="C1" s="38"/>
    </row>
    <row r="2" spans="2:17" ht="22.15" customHeight="1">
      <c r="B2" s="35" t="s">
        <v>1</v>
      </c>
      <c r="C2" s="35"/>
      <c r="D2" s="20" t="s">
        <v>2</v>
      </c>
      <c r="F2" s="35" t="s">
        <v>3</v>
      </c>
      <c r="G2" s="35"/>
      <c r="H2" s="21" t="str">
        <f ca="1">kode_jawaban</f>
        <v>MG1|D1-CE1;15-11EF4;16-117B;E7-E17;30-29F9D;1C-1461A;47-3E553;20-16B98;33-284A2F</v>
      </c>
      <c r="I2" s="22"/>
      <c r="J2" s="22"/>
      <c r="K2" s="22"/>
      <c r="L2" s="22"/>
      <c r="M2" s="22"/>
      <c r="N2" s="22"/>
      <c r="O2" s="22"/>
      <c r="P2" s="22"/>
      <c r="Q2" s="22"/>
    </row>
    <row r="4" spans="2:17">
      <c r="D4" s="12"/>
    </row>
    <row r="5" spans="2:17" ht="21" customHeight="1">
      <c r="B5" s="36" t="s">
        <v>4</v>
      </c>
      <c r="C5" s="36" t="s">
        <v>5</v>
      </c>
      <c r="D5" s="36" t="s">
        <v>6</v>
      </c>
      <c r="E5" s="36" t="s">
        <v>7</v>
      </c>
      <c r="F5" s="36" t="s">
        <v>8</v>
      </c>
      <c r="G5" s="36" t="s">
        <v>9</v>
      </c>
      <c r="H5" s="36" t="s">
        <v>10</v>
      </c>
      <c r="I5" s="36"/>
      <c r="J5" s="36" t="s">
        <v>11</v>
      </c>
      <c r="K5" s="39" t="s">
        <v>12</v>
      </c>
      <c r="L5" s="40"/>
      <c r="M5" s="36" t="s">
        <v>13</v>
      </c>
      <c r="N5" s="36" t="s">
        <v>14</v>
      </c>
      <c r="O5" s="37" t="s">
        <v>15</v>
      </c>
    </row>
    <row r="6" spans="2:17" ht="24" customHeight="1">
      <c r="B6" s="36"/>
      <c r="C6" s="36"/>
      <c r="D6" s="36"/>
      <c r="E6" s="36"/>
      <c r="F6" s="36"/>
      <c r="G6" s="36"/>
      <c r="H6" s="28" t="s">
        <v>16</v>
      </c>
      <c r="I6" s="28" t="s">
        <v>17</v>
      </c>
      <c r="J6" s="36"/>
      <c r="K6" s="28" t="s">
        <v>18</v>
      </c>
      <c r="L6" s="28" t="s">
        <v>19</v>
      </c>
      <c r="M6" s="36"/>
      <c r="N6" s="36"/>
      <c r="O6" s="37"/>
    </row>
    <row r="7" spans="2:17" ht="19.899999999999999" customHeight="1">
      <c r="B7" s="8">
        <v>1</v>
      </c>
      <c r="C7" s="8" t="s">
        <v>20</v>
      </c>
      <c r="D7" s="13" t="str">
        <f>HLOOKUP(MID(C7,2,1), $L$23:$N$26, LEFT(C7,1)+1, TRUE)</f>
        <v>Turbo N-125</v>
      </c>
      <c r="E7" s="9">
        <v>0.6875</v>
      </c>
      <c r="F7" s="31">
        <f>E7 + IF(MID(C7,4,1)="C", 3/24, IF(MID(C7,4,1)="D", 2/24, IF(MID(C7,4,1)="E", 1/24, 0)))</f>
        <v>0.72916666666666663</v>
      </c>
      <c r="G7" s="19" t="str">
        <f>VLOOKUP(MID(C7,3,1),$P$31:$Q$32,2,0) &amp;"-"&amp; VLOOKUP(MID(C7,4,1),$P$24:$Q$26,2,0)</f>
        <v>Bali-Brunei</v>
      </c>
      <c r="H7" s="8">
        <v>2</v>
      </c>
      <c r="I7" s="8">
        <v>3</v>
      </c>
      <c r="J7" s="11" t="str">
        <f>IF(RIGHT(C7,1)="P","First Class",IF(RIGHT(C7,1)="B","Bisnis","Ekonomi"))</f>
        <v>First Class</v>
      </c>
      <c r="K7" s="32">
        <f>H7 * HLOOKUP(J7, $L$30:$N$32, 2, FALSE)</f>
        <v>16000000</v>
      </c>
      <c r="L7" s="10">
        <f>I7 * HLOOKUP(J7, $L$30:$N$32, 3, FALSE)</f>
        <v>21000000</v>
      </c>
      <c r="M7" s="10">
        <f>SUM(K7:L7)</f>
        <v>37000000</v>
      </c>
      <c r="N7" s="33">
        <f>IF(M7&gt;30000000,4%*M7,IF(M7&gt;15000000,3.5%*M7,IF(M7&gt;5000000,3%*M7,2.5%*M7)))</f>
        <v>1480000</v>
      </c>
      <c r="O7" s="10">
        <f>SUM(M7:N7)</f>
        <v>38480000</v>
      </c>
    </row>
    <row r="8" spans="2:17" ht="19.899999999999999" customHeight="1">
      <c r="B8" s="8">
        <v>2</v>
      </c>
      <c r="C8" s="8" t="s">
        <v>21</v>
      </c>
      <c r="D8" s="13" t="str">
        <f t="shared" ref="D8:D18" si="0">HLOOKUP(MID(C8,2,1), $L$23:$N$26, LEFT(C8,1)+1, TRUE)</f>
        <v>Boeing 737</v>
      </c>
      <c r="E8" s="9">
        <v>0.70833333333333337</v>
      </c>
      <c r="F8" s="31">
        <f t="shared" ref="F8:F18" si="1">E8 + IF(MID(C8,4,1)="C", 3/24, IF(MID(C8,4,1)="D", 2/24, IF(MID(C8,4,1)="E", 1/24, 0)))</f>
        <v>0.79166666666666674</v>
      </c>
      <c r="G8" s="19" t="str">
        <f t="shared" ref="G8:G18" si="2">VLOOKUP(MID(C8,3,1),$P$31:$Q$32,2,0) &amp;"-"&amp; VLOOKUP(MID(C8,4,1),$P$24:$Q$26,2,0)</f>
        <v>Bali-Malaysia</v>
      </c>
      <c r="H8" s="8">
        <v>3</v>
      </c>
      <c r="I8" s="8">
        <v>0</v>
      </c>
      <c r="J8" s="11" t="str">
        <f t="shared" ref="J8:J18" si="3">IF(RIGHT(C8,1)="P","First Class",IF(RIGHT(C8,1)="B","Bisnis","Ekonomi"))</f>
        <v>Bisnis</v>
      </c>
      <c r="K8" s="32">
        <f t="shared" ref="K8:K18" si="4">H8 * HLOOKUP(J8, $L$30:$N$32, 2, FALSE)</f>
        <v>13500000</v>
      </c>
      <c r="L8" s="10">
        <f t="shared" ref="L8:L18" si="5">I8 * HLOOKUP(J8, $L$30:$N$32, 3, FALSE)</f>
        <v>0</v>
      </c>
      <c r="M8" s="10">
        <f t="shared" ref="M8:M18" si="6">SUM(K8:L8)</f>
        <v>13500000</v>
      </c>
      <c r="N8" s="33">
        <f t="shared" ref="N8:N18" si="7">IF(M8&gt;30000000,4%*M8,IF(M8&gt;15000000,3.5%*M8,IF(M8&gt;5000000,3%*M8,2.5%*M8)))</f>
        <v>405000</v>
      </c>
      <c r="O8" s="10">
        <f t="shared" ref="O8:O18" si="8">SUM(M8:N8)</f>
        <v>13905000</v>
      </c>
    </row>
    <row r="9" spans="2:17" ht="19.899999999999999" customHeight="1">
      <c r="B9" s="8">
        <v>3</v>
      </c>
      <c r="C9" s="8" t="s">
        <v>22</v>
      </c>
      <c r="D9" s="13" t="str">
        <f t="shared" si="0"/>
        <v>DC-10</v>
      </c>
      <c r="E9" s="9">
        <v>0.5</v>
      </c>
      <c r="F9" s="31">
        <f t="shared" si="1"/>
        <v>0.54166666666666663</v>
      </c>
      <c r="G9" s="19" t="str">
        <f t="shared" si="2"/>
        <v>Jakarta-Brunei</v>
      </c>
      <c r="H9" s="8">
        <v>3</v>
      </c>
      <c r="I9" s="8">
        <v>2</v>
      </c>
      <c r="J9" s="11" t="str">
        <f t="shared" si="3"/>
        <v>First Class</v>
      </c>
      <c r="K9" s="32">
        <f t="shared" si="4"/>
        <v>24000000</v>
      </c>
      <c r="L9" s="10">
        <f t="shared" si="5"/>
        <v>14000000</v>
      </c>
      <c r="M9" s="10">
        <f t="shared" si="6"/>
        <v>38000000</v>
      </c>
      <c r="N9" s="33">
        <f t="shared" si="7"/>
        <v>1520000</v>
      </c>
      <c r="O9" s="10">
        <f t="shared" si="8"/>
        <v>39520000</v>
      </c>
    </row>
    <row r="10" spans="2:17" ht="19.899999999999999" customHeight="1">
      <c r="B10" s="8">
        <v>4</v>
      </c>
      <c r="C10" s="8" t="s">
        <v>23</v>
      </c>
      <c r="D10" s="13" t="str">
        <f t="shared" si="0"/>
        <v>Sukhoi SJ 100</v>
      </c>
      <c r="E10" s="9">
        <v>0.70833333333333337</v>
      </c>
      <c r="F10" s="31">
        <f t="shared" si="1"/>
        <v>0.79166666666666674</v>
      </c>
      <c r="G10" s="19" t="str">
        <f t="shared" si="2"/>
        <v>Jakarta-Malaysia</v>
      </c>
      <c r="H10" s="8">
        <v>4</v>
      </c>
      <c r="I10" s="8">
        <v>2</v>
      </c>
      <c r="J10" s="11" t="str">
        <f t="shared" si="3"/>
        <v>Ekonomi</v>
      </c>
      <c r="K10" s="32">
        <f t="shared" si="4"/>
        <v>6000000</v>
      </c>
      <c r="L10" s="10">
        <f t="shared" si="5"/>
        <v>2400000</v>
      </c>
      <c r="M10" s="10">
        <f t="shared" si="6"/>
        <v>8400000</v>
      </c>
      <c r="N10" s="33">
        <f t="shared" si="7"/>
        <v>252000</v>
      </c>
      <c r="O10" s="10">
        <f t="shared" si="8"/>
        <v>8652000</v>
      </c>
    </row>
    <row r="11" spans="2:17" ht="19.899999999999999" customHeight="1">
      <c r="B11" s="8">
        <v>5</v>
      </c>
      <c r="C11" s="8" t="s">
        <v>24</v>
      </c>
      <c r="D11" s="13" t="str">
        <f t="shared" si="0"/>
        <v>Boeing 747</v>
      </c>
      <c r="E11" s="9">
        <v>0.39583333333333331</v>
      </c>
      <c r="F11" s="31">
        <f t="shared" si="1"/>
        <v>0.52083333333333326</v>
      </c>
      <c r="G11" s="19" t="str">
        <f t="shared" si="2"/>
        <v>Bali-Singapore</v>
      </c>
      <c r="H11" s="8">
        <v>1</v>
      </c>
      <c r="I11" s="8">
        <v>1</v>
      </c>
      <c r="J11" s="11" t="str">
        <f t="shared" si="3"/>
        <v>Bisnis</v>
      </c>
      <c r="K11" s="32">
        <f t="shared" si="4"/>
        <v>4500000</v>
      </c>
      <c r="L11" s="10">
        <f t="shared" si="5"/>
        <v>4000000</v>
      </c>
      <c r="M11" s="10">
        <f t="shared" si="6"/>
        <v>8500000</v>
      </c>
      <c r="N11" s="33">
        <f t="shared" si="7"/>
        <v>255000</v>
      </c>
      <c r="O11" s="10">
        <f t="shared" si="8"/>
        <v>8755000</v>
      </c>
    </row>
    <row r="12" spans="2:17" ht="19.899999999999999" customHeight="1">
      <c r="B12" s="8">
        <v>6</v>
      </c>
      <c r="C12" s="8" t="s">
        <v>20</v>
      </c>
      <c r="D12" s="13" t="str">
        <f t="shared" si="0"/>
        <v>Turbo N-125</v>
      </c>
      <c r="E12" s="9">
        <v>0.47916666666666669</v>
      </c>
      <c r="F12" s="31">
        <f t="shared" si="1"/>
        <v>0.52083333333333337</v>
      </c>
      <c r="G12" s="19" t="str">
        <f t="shared" si="2"/>
        <v>Bali-Brunei</v>
      </c>
      <c r="H12" s="8">
        <v>3</v>
      </c>
      <c r="I12" s="8">
        <v>0</v>
      </c>
      <c r="J12" s="11" t="str">
        <f t="shared" si="3"/>
        <v>First Class</v>
      </c>
      <c r="K12" s="32">
        <f t="shared" si="4"/>
        <v>24000000</v>
      </c>
      <c r="L12" s="10">
        <f t="shared" si="5"/>
        <v>0</v>
      </c>
      <c r="M12" s="10">
        <f t="shared" si="6"/>
        <v>24000000</v>
      </c>
      <c r="N12" s="33">
        <f t="shared" si="7"/>
        <v>840000.00000000012</v>
      </c>
      <c r="O12" s="10">
        <f t="shared" si="8"/>
        <v>24840000</v>
      </c>
    </row>
    <row r="13" spans="2:17" ht="19.899999999999999" customHeight="1">
      <c r="B13" s="8">
        <v>7</v>
      </c>
      <c r="C13" s="8" t="s">
        <v>25</v>
      </c>
      <c r="D13" s="13" t="str">
        <f t="shared" si="0"/>
        <v>Boeing 737</v>
      </c>
      <c r="E13" s="9">
        <v>0.3125</v>
      </c>
      <c r="F13" s="31">
        <f t="shared" si="1"/>
        <v>0.4375</v>
      </c>
      <c r="G13" s="19" t="str">
        <f t="shared" si="2"/>
        <v>Jakarta-Singapore</v>
      </c>
      <c r="H13" s="8">
        <v>5</v>
      </c>
      <c r="I13" s="8">
        <v>3</v>
      </c>
      <c r="J13" s="11" t="str">
        <f t="shared" si="3"/>
        <v>Ekonomi</v>
      </c>
      <c r="K13" s="32">
        <f t="shared" si="4"/>
        <v>7500000</v>
      </c>
      <c r="L13" s="10">
        <f t="shared" si="5"/>
        <v>3600000</v>
      </c>
      <c r="M13" s="10">
        <f t="shared" si="6"/>
        <v>11100000</v>
      </c>
      <c r="N13" s="33">
        <f t="shared" si="7"/>
        <v>333000</v>
      </c>
      <c r="O13" s="10">
        <f t="shared" si="8"/>
        <v>11433000</v>
      </c>
    </row>
    <row r="14" spans="2:17" ht="19.899999999999999" customHeight="1">
      <c r="B14" s="8">
        <v>8</v>
      </c>
      <c r="C14" s="8" t="s">
        <v>26</v>
      </c>
      <c r="D14" s="13" t="str">
        <f t="shared" si="0"/>
        <v>Air Bus 3</v>
      </c>
      <c r="E14" s="9">
        <v>0.39583333333333331</v>
      </c>
      <c r="F14" s="31">
        <f t="shared" si="1"/>
        <v>0.4375</v>
      </c>
      <c r="G14" s="19" t="str">
        <f t="shared" si="2"/>
        <v>Jakarta-Brunei</v>
      </c>
      <c r="H14" s="8">
        <v>4</v>
      </c>
      <c r="I14" s="8">
        <v>2</v>
      </c>
      <c r="J14" s="11" t="str">
        <f t="shared" si="3"/>
        <v>Bisnis</v>
      </c>
      <c r="K14" s="32">
        <f t="shared" si="4"/>
        <v>18000000</v>
      </c>
      <c r="L14" s="10">
        <f t="shared" si="5"/>
        <v>8000000</v>
      </c>
      <c r="M14" s="10">
        <f t="shared" si="6"/>
        <v>26000000</v>
      </c>
      <c r="N14" s="33">
        <f t="shared" si="7"/>
        <v>910000.00000000012</v>
      </c>
      <c r="O14" s="10">
        <f t="shared" si="8"/>
        <v>26910000</v>
      </c>
    </row>
    <row r="15" spans="2:17" ht="19.899999999999999" customHeight="1">
      <c r="B15" s="8">
        <v>9</v>
      </c>
      <c r="C15" s="8" t="s">
        <v>27</v>
      </c>
      <c r="D15" s="13" t="str">
        <f t="shared" si="0"/>
        <v>CN 250</v>
      </c>
      <c r="E15" s="9">
        <v>0.47916666666666669</v>
      </c>
      <c r="F15" s="31">
        <f t="shared" si="1"/>
        <v>0.5625</v>
      </c>
      <c r="G15" s="19" t="str">
        <f t="shared" si="2"/>
        <v>Bali-Malaysia</v>
      </c>
      <c r="H15" s="8">
        <v>2</v>
      </c>
      <c r="I15" s="8">
        <v>0</v>
      </c>
      <c r="J15" s="11" t="str">
        <f t="shared" si="3"/>
        <v>First Class</v>
      </c>
      <c r="K15" s="32">
        <f t="shared" si="4"/>
        <v>16000000</v>
      </c>
      <c r="L15" s="10">
        <f t="shared" si="5"/>
        <v>0</v>
      </c>
      <c r="M15" s="10">
        <f t="shared" si="6"/>
        <v>16000000</v>
      </c>
      <c r="N15" s="33">
        <f t="shared" si="7"/>
        <v>560000</v>
      </c>
      <c r="O15" s="10">
        <f t="shared" si="8"/>
        <v>16560000</v>
      </c>
    </row>
    <row r="16" spans="2:17" ht="19.899999999999999" customHeight="1">
      <c r="B16" s="8">
        <v>10</v>
      </c>
      <c r="C16" s="8" t="s">
        <v>28</v>
      </c>
      <c r="D16" s="13" t="str">
        <f t="shared" si="0"/>
        <v>Boeing 747</v>
      </c>
      <c r="E16" s="9">
        <v>0.3125</v>
      </c>
      <c r="F16" s="31">
        <f t="shared" si="1"/>
        <v>0.39583333333333331</v>
      </c>
      <c r="G16" s="19" t="str">
        <f t="shared" si="2"/>
        <v>Bali-Malaysia</v>
      </c>
      <c r="H16" s="8">
        <v>3</v>
      </c>
      <c r="I16" s="8">
        <v>1</v>
      </c>
      <c r="J16" s="11" t="str">
        <f t="shared" si="3"/>
        <v>Ekonomi</v>
      </c>
      <c r="K16" s="32">
        <f t="shared" si="4"/>
        <v>4500000</v>
      </c>
      <c r="L16" s="10">
        <f t="shared" si="5"/>
        <v>1200000</v>
      </c>
      <c r="M16" s="10">
        <f t="shared" si="6"/>
        <v>5700000</v>
      </c>
      <c r="N16" s="33">
        <f t="shared" si="7"/>
        <v>171000</v>
      </c>
      <c r="O16" s="10">
        <f t="shared" si="8"/>
        <v>5871000</v>
      </c>
    </row>
    <row r="17" spans="2:17" ht="19.899999999999999" customHeight="1">
      <c r="B17" s="8">
        <v>11</v>
      </c>
      <c r="C17" s="8" t="s">
        <v>29</v>
      </c>
      <c r="D17" s="13" t="str">
        <f t="shared" si="0"/>
        <v>Sukhoi SJ 100</v>
      </c>
      <c r="E17" s="9">
        <v>0.67708333333333337</v>
      </c>
      <c r="F17" s="31">
        <f t="shared" si="1"/>
        <v>0.80208333333333337</v>
      </c>
      <c r="G17" s="19" t="str">
        <f t="shared" si="2"/>
        <v>Bali-Singapore</v>
      </c>
      <c r="H17" s="8">
        <v>3</v>
      </c>
      <c r="I17" s="8">
        <v>2</v>
      </c>
      <c r="J17" s="11" t="str">
        <f t="shared" si="3"/>
        <v>Bisnis</v>
      </c>
      <c r="K17" s="32">
        <f t="shared" si="4"/>
        <v>13500000</v>
      </c>
      <c r="L17" s="10">
        <f t="shared" si="5"/>
        <v>8000000</v>
      </c>
      <c r="M17" s="10">
        <f t="shared" si="6"/>
        <v>21500000</v>
      </c>
      <c r="N17" s="33">
        <f t="shared" si="7"/>
        <v>752500.00000000012</v>
      </c>
      <c r="O17" s="10">
        <f t="shared" si="8"/>
        <v>22252500</v>
      </c>
    </row>
    <row r="18" spans="2:17" ht="19.899999999999999" customHeight="1">
      <c r="B18" s="8">
        <v>12</v>
      </c>
      <c r="C18" s="8" t="s">
        <v>30</v>
      </c>
      <c r="D18" s="13" t="str">
        <f t="shared" si="0"/>
        <v>DC-10</v>
      </c>
      <c r="E18" s="9">
        <v>0.69791666666666663</v>
      </c>
      <c r="F18" s="31">
        <f t="shared" si="1"/>
        <v>0.78125</v>
      </c>
      <c r="G18" s="19" t="str">
        <f t="shared" si="2"/>
        <v>Jakarta-Malaysia</v>
      </c>
      <c r="H18" s="8">
        <v>3</v>
      </c>
      <c r="I18" s="8">
        <v>3</v>
      </c>
      <c r="J18" s="11" t="str">
        <f t="shared" si="3"/>
        <v>First Class</v>
      </c>
      <c r="K18" s="32">
        <f t="shared" si="4"/>
        <v>24000000</v>
      </c>
      <c r="L18" s="10">
        <f t="shared" si="5"/>
        <v>21000000</v>
      </c>
      <c r="M18" s="10">
        <f t="shared" si="6"/>
        <v>45000000</v>
      </c>
      <c r="N18" s="33">
        <f t="shared" si="7"/>
        <v>1800000</v>
      </c>
      <c r="O18" s="10">
        <f t="shared" si="8"/>
        <v>46800000</v>
      </c>
    </row>
    <row r="21" spans="2:17">
      <c r="K21" s="34" t="s">
        <v>31</v>
      </c>
      <c r="L21" s="34"/>
      <c r="M21" s="34"/>
      <c r="N21" s="34"/>
    </row>
    <row r="22" spans="2:17">
      <c r="B22" s="14" t="s">
        <v>32</v>
      </c>
      <c r="K22" s="41" t="s">
        <v>33</v>
      </c>
      <c r="L22" s="41" t="s">
        <v>34</v>
      </c>
      <c r="M22" s="41"/>
      <c r="N22" s="41"/>
      <c r="P22" s="34" t="s">
        <v>35</v>
      </c>
      <c r="Q22" s="34"/>
    </row>
    <row r="23" spans="2:17">
      <c r="K23" s="41"/>
      <c r="L23" s="29" t="s">
        <v>36</v>
      </c>
      <c r="M23" s="29" t="s">
        <v>37</v>
      </c>
      <c r="N23" s="29" t="s">
        <v>38</v>
      </c>
      <c r="P23" s="29" t="s">
        <v>39</v>
      </c>
      <c r="Q23" s="29" t="s">
        <v>40</v>
      </c>
    </row>
    <row r="24" spans="2:17">
      <c r="B24" s="15" t="s">
        <v>41</v>
      </c>
      <c r="K24" s="4">
        <v>1</v>
      </c>
      <c r="L24" s="1" t="s">
        <v>42</v>
      </c>
      <c r="M24" s="1" t="s">
        <v>43</v>
      </c>
      <c r="N24" s="1" t="s">
        <v>44</v>
      </c>
      <c r="P24" s="3" t="s">
        <v>45</v>
      </c>
      <c r="Q24" s="3" t="s">
        <v>46</v>
      </c>
    </row>
    <row r="25" spans="2:17">
      <c r="B25" s="16">
        <v>1</v>
      </c>
      <c r="C25" t="s">
        <v>47</v>
      </c>
      <c r="K25" s="4">
        <v>2</v>
      </c>
      <c r="L25" s="1" t="s">
        <v>48</v>
      </c>
      <c r="M25" s="1" t="s">
        <v>49</v>
      </c>
      <c r="N25" s="1" t="s">
        <v>50</v>
      </c>
      <c r="P25" s="3" t="s">
        <v>51</v>
      </c>
      <c r="Q25" s="3" t="s">
        <v>52</v>
      </c>
    </row>
    <row r="26" spans="2:17">
      <c r="B26">
        <v>2</v>
      </c>
      <c r="C26" s="14" t="s">
        <v>53</v>
      </c>
      <c r="I26" s="6"/>
      <c r="K26" s="4">
        <v>3</v>
      </c>
      <c r="L26" s="1" t="s">
        <v>54</v>
      </c>
      <c r="M26" s="1" t="s">
        <v>55</v>
      </c>
      <c r="N26" s="1" t="s">
        <v>56</v>
      </c>
      <c r="P26" s="1" t="s">
        <v>57</v>
      </c>
      <c r="Q26" s="1" t="s">
        <v>58</v>
      </c>
    </row>
    <row r="27" spans="2:17">
      <c r="C27" t="s">
        <v>59</v>
      </c>
    </row>
    <row r="28" spans="2:17">
      <c r="B28">
        <v>3</v>
      </c>
      <c r="C28" s="14" t="s">
        <v>60</v>
      </c>
      <c r="K28" s="34" t="s">
        <v>61</v>
      </c>
      <c r="L28" s="34"/>
      <c r="M28" s="34"/>
      <c r="N28" s="34"/>
    </row>
    <row r="29" spans="2:17" ht="13.9" customHeight="1">
      <c r="C29" t="s">
        <v>62</v>
      </c>
      <c r="K29" s="42" t="s">
        <v>63</v>
      </c>
      <c r="L29" s="43" t="s">
        <v>64</v>
      </c>
      <c r="M29" s="43"/>
      <c r="N29" s="43"/>
      <c r="P29" s="34" t="s">
        <v>65</v>
      </c>
      <c r="Q29" s="34"/>
    </row>
    <row r="30" spans="2:17">
      <c r="B30">
        <v>4</v>
      </c>
      <c r="C30" s="14" t="s">
        <v>66</v>
      </c>
      <c r="K30" s="42"/>
      <c r="L30" s="29" t="s">
        <v>67</v>
      </c>
      <c r="M30" s="29" t="s">
        <v>68</v>
      </c>
      <c r="N30" s="29" t="s">
        <v>69</v>
      </c>
      <c r="P30" s="29" t="s">
        <v>70</v>
      </c>
      <c r="Q30" s="29" t="s">
        <v>40</v>
      </c>
    </row>
    <row r="31" spans="2:17">
      <c r="C31" t="s">
        <v>71</v>
      </c>
      <c r="K31" s="5" t="s">
        <v>72</v>
      </c>
      <c r="L31" s="2">
        <v>1500000</v>
      </c>
      <c r="M31" s="2">
        <v>4500000</v>
      </c>
      <c r="N31" s="2">
        <v>8000000</v>
      </c>
      <c r="P31" s="3" t="s">
        <v>73</v>
      </c>
      <c r="Q31" s="3" t="s">
        <v>74</v>
      </c>
    </row>
    <row r="32" spans="2:17">
      <c r="B32" s="16" t="s">
        <v>75</v>
      </c>
      <c r="C32" s="14" t="s">
        <v>76</v>
      </c>
      <c r="K32" s="5" t="s">
        <v>77</v>
      </c>
      <c r="L32" s="2">
        <v>1200000</v>
      </c>
      <c r="M32" s="2">
        <v>4000000</v>
      </c>
      <c r="N32" s="2">
        <v>7000000</v>
      </c>
      <c r="P32" s="1" t="s">
        <v>78</v>
      </c>
      <c r="Q32" s="1" t="s">
        <v>79</v>
      </c>
    </row>
    <row r="33" spans="2:11">
      <c r="B33">
        <v>7</v>
      </c>
      <c r="C33" s="14" t="s">
        <v>80</v>
      </c>
    </row>
    <row r="34" spans="2:11">
      <c r="B34">
        <v>8</v>
      </c>
      <c r="C34" s="14" t="s">
        <v>81</v>
      </c>
    </row>
    <row r="35" spans="2:11">
      <c r="C35" s="7" t="s">
        <v>82</v>
      </c>
    </row>
    <row r="36" spans="2:11">
      <c r="C36" s="7" t="s">
        <v>83</v>
      </c>
    </row>
    <row r="37" spans="2:11">
      <c r="B37">
        <v>9</v>
      </c>
      <c r="C37" s="14" t="s">
        <v>84</v>
      </c>
    </row>
    <row r="38" spans="2:11">
      <c r="K38" s="18" t="s">
        <v>85</v>
      </c>
    </row>
    <row r="40" spans="2:11">
      <c r="B40" s="17" t="s">
        <v>86</v>
      </c>
    </row>
  </sheetData>
  <mergeCells count="23">
    <mergeCell ref="B1:C1"/>
    <mergeCell ref="K28:N28"/>
    <mergeCell ref="P29:Q29"/>
    <mergeCell ref="B5:B6"/>
    <mergeCell ref="C5:C6"/>
    <mergeCell ref="D5:D6"/>
    <mergeCell ref="E5:E6"/>
    <mergeCell ref="F5:F6"/>
    <mergeCell ref="G5:G6"/>
    <mergeCell ref="H5:I5"/>
    <mergeCell ref="J5:J6"/>
    <mergeCell ref="K5:L5"/>
    <mergeCell ref="K22:K23"/>
    <mergeCell ref="L22:N22"/>
    <mergeCell ref="K29:K30"/>
    <mergeCell ref="L29:N29"/>
    <mergeCell ref="P22:Q22"/>
    <mergeCell ref="B2:C2"/>
    <mergeCell ref="F2:G2"/>
    <mergeCell ref="M5:M6"/>
    <mergeCell ref="N5:N6"/>
    <mergeCell ref="O5:O6"/>
    <mergeCell ref="K21:N21"/>
  </mergeCells>
  <hyperlinks>
    <hyperlink ref="K38" r:id="rId1" xr:uid="{8A474AFB-0831-4D7D-B6EA-CB61FD2FD956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FF4AF-ADD8-474A-A5E1-627C703B4931}">
  <sheetPr codeName="Sheet3"/>
  <dimension ref="A1:J25"/>
  <sheetViews>
    <sheetView showGridLines="0" workbookViewId="0">
      <selection activeCell="H29" sqref="H29"/>
    </sheetView>
  </sheetViews>
  <sheetFormatPr defaultColWidth="8.85546875" defaultRowHeight="14.45"/>
  <cols>
    <col min="1" max="3" width="8.85546875" style="24"/>
    <col min="4" max="4" width="10.42578125" style="24" customWidth="1"/>
    <col min="5" max="5" width="9.28515625" style="24" customWidth="1"/>
    <col min="6" max="7" width="8.85546875" style="24"/>
    <col min="8" max="8" width="26.42578125" style="24" customWidth="1"/>
    <col min="9" max="16384" width="8.85546875" style="24"/>
  </cols>
  <sheetData>
    <row r="1" spans="1:10">
      <c r="A1" s="23"/>
      <c r="B1" s="23"/>
      <c r="C1" s="23"/>
      <c r="D1" s="23"/>
      <c r="E1" s="23"/>
      <c r="F1" s="23"/>
      <c r="G1" s="23"/>
      <c r="H1" s="23"/>
      <c r="I1" s="23"/>
      <c r="J1" s="23"/>
    </row>
    <row r="2" spans="1:10">
      <c r="A2" s="23"/>
      <c r="B2" s="23"/>
      <c r="C2" s="23"/>
      <c r="D2" s="23"/>
      <c r="E2" s="23"/>
      <c r="F2" s="23"/>
      <c r="G2" s="23"/>
      <c r="H2" s="23"/>
      <c r="I2" s="23"/>
      <c r="J2" s="23"/>
    </row>
    <row r="3" spans="1:10">
      <c r="A3" s="23"/>
      <c r="B3" s="23"/>
      <c r="C3" s="23"/>
      <c r="D3" s="23"/>
      <c r="E3" s="23"/>
      <c r="F3" s="23"/>
      <c r="G3" s="23"/>
      <c r="H3" s="23"/>
      <c r="I3" s="23"/>
      <c r="J3" s="23"/>
    </row>
    <row r="4" spans="1:10">
      <c r="A4" s="23"/>
      <c r="B4" s="23"/>
      <c r="C4" s="23"/>
      <c r="D4" s="23"/>
      <c r="E4" s="23"/>
      <c r="F4" s="23"/>
      <c r="G4" s="23"/>
      <c r="H4" s="23"/>
      <c r="I4" s="23"/>
      <c r="J4" s="23"/>
    </row>
    <row r="5" spans="1:10">
      <c r="A5" s="23"/>
      <c r="B5" s="23"/>
      <c r="C5" s="23"/>
      <c r="D5" s="23"/>
      <c r="E5" s="23"/>
      <c r="F5" s="23"/>
      <c r="G5" s="23"/>
      <c r="H5" s="23"/>
      <c r="I5" s="23"/>
      <c r="J5" s="23"/>
    </row>
    <row r="6" spans="1:10">
      <c r="A6" s="23"/>
      <c r="B6" s="23"/>
      <c r="C6" s="23" t="s">
        <v>87</v>
      </c>
      <c r="D6" s="23"/>
      <c r="E6" s="23"/>
      <c r="F6" s="23"/>
      <c r="G6" s="23"/>
      <c r="H6" s="23"/>
      <c r="I6" s="23"/>
      <c r="J6" s="23"/>
    </row>
    <row r="7" spans="1:10">
      <c r="A7" s="23"/>
      <c r="B7" s="23"/>
      <c r="C7" s="23" t="s">
        <v>88</v>
      </c>
      <c r="D7" s="23"/>
      <c r="E7" s="23"/>
      <c r="F7" s="23"/>
      <c r="G7" s="23"/>
      <c r="H7" s="23"/>
      <c r="I7" s="23"/>
      <c r="J7" s="23"/>
    </row>
    <row r="8" spans="1:10">
      <c r="A8" s="23"/>
      <c r="B8" s="23"/>
      <c r="C8" s="23"/>
      <c r="D8" s="23"/>
      <c r="E8" s="23"/>
      <c r="F8" s="23"/>
      <c r="G8" s="23"/>
      <c r="H8" s="23"/>
      <c r="I8" s="23"/>
      <c r="J8" s="23"/>
    </row>
    <row r="9" spans="1:10">
      <c r="A9" s="23"/>
      <c r="B9" s="23"/>
      <c r="C9" s="23"/>
      <c r="D9" s="23"/>
      <c r="E9" s="23"/>
      <c r="F9" s="23"/>
      <c r="G9" s="23"/>
      <c r="H9" s="23"/>
      <c r="I9" s="23"/>
      <c r="J9" s="23"/>
    </row>
    <row r="10" spans="1:10">
      <c r="A10" s="23"/>
      <c r="B10" s="23"/>
      <c r="C10" s="23" t="s">
        <v>89</v>
      </c>
      <c r="D10" s="23"/>
      <c r="E10" s="23"/>
      <c r="F10" s="23"/>
      <c r="G10" s="23"/>
      <c r="H10" s="23"/>
      <c r="I10" s="23"/>
      <c r="J10" s="23"/>
    </row>
    <row r="11" spans="1:10">
      <c r="A11" s="23"/>
      <c r="B11" s="23"/>
      <c r="C11" s="23"/>
      <c r="D11" s="23"/>
      <c r="E11" s="23"/>
      <c r="F11" s="23"/>
      <c r="G11" s="23"/>
      <c r="H11" s="23"/>
      <c r="I11" s="23"/>
      <c r="J11" s="23"/>
    </row>
    <row r="12" spans="1:10">
      <c r="A12" s="23"/>
      <c r="B12" s="23"/>
      <c r="C12" s="23"/>
      <c r="D12" s="44" t="s">
        <v>90</v>
      </c>
      <c r="E12" s="44"/>
      <c r="F12" s="45" t="s">
        <v>91</v>
      </c>
      <c r="G12" s="45"/>
      <c r="H12" s="23"/>
      <c r="I12" s="23"/>
      <c r="J12" s="23"/>
    </row>
    <row r="13" spans="1:10">
      <c r="A13" s="23"/>
      <c r="B13" s="23"/>
      <c r="C13" s="23"/>
      <c r="D13" s="44" t="s">
        <v>92</v>
      </c>
      <c r="E13" s="44"/>
      <c r="F13" s="30" t="s">
        <v>93</v>
      </c>
      <c r="G13" s="25"/>
      <c r="H13" s="23"/>
      <c r="I13" s="23"/>
      <c r="J13" s="23"/>
    </row>
    <row r="14" spans="1:10">
      <c r="A14" s="23"/>
      <c r="B14" s="23"/>
      <c r="C14" s="23"/>
      <c r="D14" s="44" t="s">
        <v>94</v>
      </c>
      <c r="E14" s="44"/>
      <c r="F14" s="30" t="s">
        <v>95</v>
      </c>
      <c r="G14" s="26"/>
      <c r="H14" s="23"/>
      <c r="I14" s="23"/>
      <c r="J14" s="23"/>
    </row>
    <row r="15" spans="1:10">
      <c r="A15" s="23"/>
      <c r="B15" s="23"/>
      <c r="C15" s="23"/>
      <c r="D15" s="44" t="s">
        <v>96</v>
      </c>
      <c r="E15" s="44"/>
      <c r="F15" s="30" t="s">
        <v>97</v>
      </c>
      <c r="G15" s="26"/>
      <c r="H15" s="23"/>
      <c r="I15" s="23"/>
      <c r="J15" s="23"/>
    </row>
    <row r="16" spans="1:10">
      <c r="A16" s="23"/>
      <c r="B16" s="23"/>
      <c r="C16" s="23"/>
      <c r="D16" s="44" t="s">
        <v>98</v>
      </c>
      <c r="E16" s="44"/>
      <c r="F16" s="30" t="s">
        <v>99</v>
      </c>
      <c r="G16" s="26"/>
      <c r="H16" s="23"/>
      <c r="I16" s="23"/>
      <c r="J16" s="23"/>
    </row>
    <row r="17" spans="1:10">
      <c r="A17" s="23"/>
      <c r="B17" s="23"/>
      <c r="C17" s="23"/>
      <c r="D17" s="23"/>
      <c r="E17" s="23"/>
      <c r="F17" s="23"/>
      <c r="G17" s="23"/>
      <c r="H17" s="23"/>
      <c r="I17" s="23"/>
      <c r="J17" s="23"/>
    </row>
    <row r="18" spans="1:10">
      <c r="A18" s="23"/>
      <c r="B18" s="23"/>
      <c r="C18" s="23"/>
      <c r="D18" s="23"/>
      <c r="E18" s="23"/>
      <c r="F18" s="23"/>
      <c r="G18" s="23"/>
      <c r="H18" s="23"/>
      <c r="I18" s="23"/>
      <c r="J18" s="23"/>
    </row>
    <row r="19" spans="1:10">
      <c r="A19" s="23"/>
      <c r="B19" s="23"/>
      <c r="C19" s="23" t="s">
        <v>100</v>
      </c>
      <c r="D19" s="23"/>
      <c r="E19" s="23"/>
      <c r="F19" s="23"/>
      <c r="G19" s="23"/>
      <c r="H19" s="23"/>
      <c r="I19" s="23"/>
      <c r="J19" s="23"/>
    </row>
    <row r="20" spans="1:10">
      <c r="A20" s="23"/>
      <c r="B20" s="23"/>
      <c r="C20" s="27" t="s">
        <v>85</v>
      </c>
      <c r="D20" s="23"/>
      <c r="E20" s="23"/>
      <c r="F20" s="23"/>
      <c r="G20" s="23"/>
      <c r="H20" s="23"/>
      <c r="I20" s="23"/>
      <c r="J20" s="23"/>
    </row>
    <row r="21" spans="1:10">
      <c r="A21" s="23"/>
      <c r="B21" s="23"/>
      <c r="C21" s="23"/>
      <c r="D21" s="23"/>
      <c r="E21" s="23"/>
      <c r="F21" s="23"/>
      <c r="G21" s="23"/>
      <c r="H21" s="23"/>
      <c r="I21" s="23"/>
      <c r="J21" s="23"/>
    </row>
    <row r="22" spans="1:10">
      <c r="A22" s="23"/>
      <c r="B22" s="23"/>
      <c r="C22" s="23"/>
      <c r="D22" s="23"/>
      <c r="E22" s="23"/>
      <c r="F22" s="23"/>
      <c r="G22" s="23"/>
      <c r="H22" s="23"/>
      <c r="I22" s="23"/>
      <c r="J22" s="23"/>
    </row>
    <row r="23" spans="1:10">
      <c r="A23" s="23"/>
      <c r="B23" s="23"/>
      <c r="C23" s="23"/>
      <c r="D23" s="23"/>
      <c r="E23" s="23"/>
      <c r="F23" s="23"/>
      <c r="G23" s="23"/>
      <c r="H23" s="23"/>
      <c r="I23" s="23"/>
      <c r="J23" s="23"/>
    </row>
    <row r="24" spans="1:10">
      <c r="A24" s="23"/>
      <c r="B24" s="23"/>
      <c r="C24" s="23"/>
      <c r="D24" s="23"/>
      <c r="E24" s="23"/>
      <c r="F24" s="23"/>
      <c r="G24" s="23"/>
      <c r="H24" s="23"/>
      <c r="I24" s="23"/>
      <c r="J24" s="23"/>
    </row>
    <row r="25" spans="1:10">
      <c r="A25" s="23"/>
      <c r="B25" s="23"/>
      <c r="C25" s="23"/>
      <c r="D25" s="23"/>
      <c r="E25" s="23"/>
      <c r="F25" s="23"/>
      <c r="G25" s="23"/>
      <c r="H25" s="23"/>
      <c r="I25" s="23"/>
      <c r="J25" s="23"/>
    </row>
  </sheetData>
  <mergeCells count="6">
    <mergeCell ref="D16:E16"/>
    <mergeCell ref="D12:E12"/>
    <mergeCell ref="F12:G12"/>
    <mergeCell ref="D13:E13"/>
    <mergeCell ref="D14:E14"/>
    <mergeCell ref="D15:E15"/>
  </mergeCells>
  <hyperlinks>
    <hyperlink ref="C20" r:id="rId1" xr:uid="{C5EFC0FD-6261-4474-BE41-9C5CAD06E14F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90347-0A7B-4E69-B393-4C81D655EF24}">
  <sheetPr codeName="Sheet2"/>
  <dimension ref="A1:AD82"/>
  <sheetViews>
    <sheetView workbookViewId="0">
      <selection activeCell="D87" sqref="D87"/>
    </sheetView>
  </sheetViews>
  <sheetFormatPr defaultRowHeight="14.45"/>
  <cols>
    <col min="2" max="2" width="11.85546875" customWidth="1"/>
    <col min="3" max="3" width="17.7109375" customWidth="1"/>
    <col min="4" max="4" width="15.7109375" customWidth="1"/>
    <col min="5" max="5" width="15.85546875" customWidth="1"/>
    <col min="6" max="6" width="12.85546875" customWidth="1"/>
    <col min="7" max="7" width="15.42578125" customWidth="1"/>
    <col min="8" max="8" width="16" customWidth="1"/>
    <col min="9" max="9" width="14.7109375" customWidth="1"/>
    <col min="10" max="10" width="12.140625" customWidth="1"/>
    <col min="11" max="11" width="15.7109375" customWidth="1"/>
    <col min="22" max="22" width="71.28515625" customWidth="1"/>
  </cols>
  <sheetData>
    <row r="1" spans="1:30"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b">
        <v>1</v>
      </c>
      <c r="M1" t="b">
        <v>0</v>
      </c>
      <c r="V1">
        <v>1</v>
      </c>
      <c r="W1">
        <v>2</v>
      </c>
      <c r="X1">
        <v>3</v>
      </c>
      <c r="Y1">
        <v>4</v>
      </c>
      <c r="Z1">
        <v>5</v>
      </c>
      <c r="AA1">
        <v>6</v>
      </c>
      <c r="AB1">
        <v>7</v>
      </c>
      <c r="AC1">
        <v>8</v>
      </c>
      <c r="AD1">
        <v>9</v>
      </c>
    </row>
    <row r="2" spans="1:30">
      <c r="A2" t="s">
        <v>110</v>
      </c>
      <c r="B2">
        <v>1</v>
      </c>
      <c r="C2" t="str">
        <f>MID('XL-Test'!D7,3,2)</f>
        <v>rb</v>
      </c>
      <c r="D2" t="str">
        <f>MID('XL-Test'!D13,3,2)</f>
        <v>ei</v>
      </c>
      <c r="E2" t="str">
        <f>LEFT('XL-Test'!D18,2)</f>
        <v>DC</v>
      </c>
      <c r="F2" t="str">
        <f>LEFT('XL-Test'!D8)&amp;LEFT('XL-Test'!D9)&amp;LEFT('XL-Test'!D10)&amp;LEFT('XL-Test'!D11)&amp;LEFT('XL-Test'!D16)</f>
        <v>BDSBB</v>
      </c>
      <c r="G2" t="str">
        <f>UPPER(C2&amp;D2&amp;E2&amp;F2)</f>
        <v>RBEIDCBDSBB</v>
      </c>
      <c r="H2" t="str">
        <f ca="1">IF(OR(C2="",C2=0),I2&amp;J2,G2&amp;J2)</f>
        <v>RBEIDCBDSBB1</v>
      </c>
      <c r="I2" t="s">
        <v>111</v>
      </c>
      <c r="J2">
        <f ca="1">AND(ISNUMBER(FIND("(",V2)),ISNUMBER(FIND("L",V2)))+0</f>
        <v>1</v>
      </c>
      <c r="K2" t="str">
        <f ca="1">IF(AND(ISNUMBER(FIND("HLOOKUP",V2)),ISNUMBER(FIND("LEF",V2))),L2,M2)</f>
        <v>BB</v>
      </c>
      <c r="L2" t="str">
        <f>RIGHT(G2,2)</f>
        <v>BB</v>
      </c>
      <c r="M2" t="str">
        <f>RIGHT(I2,2)</f>
        <v>15</v>
      </c>
      <c r="N2" t="str">
        <f ca="1">K2&amp;"-"&amp;H2&amp;";"</f>
        <v>BB-RBEIDCBDSBB1;</v>
      </c>
      <c r="U2">
        <v>1</v>
      </c>
      <c r="V2" t="str">
        <f ca="1">_xlfn.FORMULATEXT('XL-Test'!D7)</f>
        <v>=HLOOKUP(MID(C7;2;1); $L$23:$N$26; LEFT(C7;1)+1; TRUE)</v>
      </c>
      <c r="W2" t="str">
        <f ca="1">_xlfn.FORMULATEXT('XL-Test'!F7)</f>
        <v>=E7 + IF(MID(C7;4;1)="C"; 3/24; IF(MID(C7;4;1)="D"; 2/24; IF(MID(C7;4;1)="E"; 1/24; 0)))</v>
      </c>
      <c r="X2" t="str">
        <f ca="1">_xlfn.FORMULATEXT('XL-Test'!G7)</f>
        <v>=VLOOKUP(MID(C7;3;1);$P$31:$Q$32;2;0) &amp;"-"&amp; VLOOKUP(MID(C7;4;1);$P$24:$Q$26;2;0)</v>
      </c>
      <c r="Y2" t="str">
        <f ca="1">_xlfn.FORMULATEXT('XL-Test'!J7)</f>
        <v>=IF(RIGHT(C7;1)="P";"First Class";IF(RIGHT(C7;1)="B";"Bisnis";"Ekonomi"))</v>
      </c>
      <c r="Z2" t="str">
        <f ca="1">_xlfn.FORMULATEXT('XL-Test'!K7)</f>
        <v>=H7 * HLOOKUP(J7; $L$30:$N$32; 2; FALSE)</v>
      </c>
      <c r="AA2" t="str">
        <f ca="1">_xlfn.FORMULATEXT('XL-Test'!L7)</f>
        <v>=I7 * HLOOKUP(J7; $L$30:$N$32; 3; FALSE)</v>
      </c>
      <c r="AB2" t="str">
        <f ca="1">_xlfn.FORMULATEXT('XL-Test'!M7)</f>
        <v>=SUM(K7:L7)</v>
      </c>
      <c r="AC2" t="str">
        <f ca="1">_xlfn.FORMULATEXT('XL-Test'!N7)</f>
        <v>=IF(M7&gt;30000000;4%*M7;IF(M7&gt;15000000;3,5%*M7;IF(M7&gt;5000000;3%*M7;2,5%*M7)))</v>
      </c>
      <c r="AD2" t="str">
        <f ca="1">_xlfn.FORMULATEXT('XL-Test'!O7)</f>
        <v>=SUM(M7:N7)</v>
      </c>
    </row>
    <row r="3" spans="1:30">
      <c r="A3" t="s">
        <v>112</v>
      </c>
      <c r="B3">
        <v>2</v>
      </c>
      <c r="C3">
        <f>'XL-Test'!F7*100</f>
        <v>72.916666666666657</v>
      </c>
      <c r="D3">
        <f>'XL-Test'!F12*100</f>
        <v>52.083333333333336</v>
      </c>
      <c r="E3">
        <f>'XL-Test'!F18*100</f>
        <v>78.125</v>
      </c>
      <c r="F3">
        <f>SUM('XL-Test'!F7:F18)*100</f>
        <v>731.25</v>
      </c>
      <c r="G3" t="str">
        <f>DEC2HEX(SUM(C3:F3))</f>
        <v>3A6</v>
      </c>
      <c r="H3" t="str">
        <f t="shared" ref="H3:H10" ca="1" si="0">IF(OR(C3="",C3=0),I3&amp;J3,G3&amp;J3)</f>
        <v>3A61</v>
      </c>
      <c r="I3" t="s">
        <v>113</v>
      </c>
      <c r="J3">
        <f ca="1">AND(ISNUMBER(FIND("(",V3)),ISNUMBER(FIND("C",V3)))+0</f>
        <v>1</v>
      </c>
      <c r="K3" t="str">
        <f ca="1">IF(OR(ISNUMBER(FIND("IF(",V3)),ISNUMBER(FIND("IFS(",V3)),ISNUMBER(FIND("SWI",V3))),L3,M3)</f>
        <v>A6</v>
      </c>
      <c r="L3" t="str">
        <f t="shared" ref="L3:L10" si="1">RIGHT(G3,2)</f>
        <v>A6</v>
      </c>
      <c r="M3" t="str">
        <f t="shared" ref="M3:M10" si="2">RIGHT(I3,2)</f>
        <v>RW</v>
      </c>
      <c r="N3" t="str">
        <f t="shared" ref="N3:N9" ca="1" si="3">K3&amp;"-"&amp;H3&amp;";"</f>
        <v>A6-3A61;</v>
      </c>
      <c r="U3">
        <v>2</v>
      </c>
      <c r="V3" t="str">
        <f ca="1">_xlfn.FORMULATEXT('XL-Test'!F7)</f>
        <v>=E7 + IF(MID(C7;4;1)="C"; 3/24; IF(MID(C7;4;1)="D"; 2/24; IF(MID(C7;4;1)="E"; 1/24; 0)))</v>
      </c>
    </row>
    <row r="4" spans="1:30">
      <c r="B4">
        <v>3</v>
      </c>
      <c r="C4" t="str">
        <f>MID('XL-Test'!G7,3,2)</f>
        <v>li</v>
      </c>
      <c r="D4" t="str">
        <f>MID('XL-Test'!G13,3,2)</f>
        <v>ka</v>
      </c>
      <c r="E4" t="str">
        <f>LEFT('XL-Test'!G18,2)</f>
        <v>Ja</v>
      </c>
      <c r="F4" t="str">
        <f>LEFT('XL-Test'!G8)&amp;RIGHT('XL-Test'!G9)&amp;LEFT('XL-Test'!G10)&amp;RIGHT('XL-Test'!G11)&amp;LEFT('XL-Test'!G17)&amp;RIGHT('XL-Test'!G17)</f>
        <v>BiJeBe</v>
      </c>
      <c r="G4" t="str">
        <f>UPPER(C4&amp;D4&amp;E4&amp;F4)</f>
        <v>LIKAJABIJEBE</v>
      </c>
      <c r="H4" t="str">
        <f t="shared" ca="1" si="0"/>
        <v>LIKAJABIJEBE1</v>
      </c>
      <c r="I4" t="s">
        <v>114</v>
      </c>
      <c r="J4">
        <f ca="1">AND(ISNUMBER(FIND("(",V4)),ISNUMBER(FIND("C",V4)))+0</f>
        <v>1</v>
      </c>
      <c r="K4" t="str">
        <f ca="1">IF(AND(ISNUMBER(FIND("VLOOKUP",V4)),ISNUMBER(FIND("-",V4))),L4,M4)</f>
        <v>BE</v>
      </c>
      <c r="L4" t="str">
        <f t="shared" si="1"/>
        <v>BE</v>
      </c>
      <c r="M4" t="str">
        <f t="shared" si="2"/>
        <v>56</v>
      </c>
      <c r="N4" t="str">
        <f t="shared" ca="1" si="3"/>
        <v>BE-LIKAJABIJEBE1;</v>
      </c>
      <c r="U4">
        <v>3</v>
      </c>
      <c r="V4" t="str">
        <f ca="1">_xlfn.FORMULATEXT('XL-Test'!G7)</f>
        <v>=VLOOKUP(MID(C7;3;1);$P$31:$Q$32;2;0) &amp;"-"&amp; VLOOKUP(MID(C7;4;1);$P$24:$Q$26;2;0)</v>
      </c>
    </row>
    <row r="5" spans="1:30">
      <c r="B5">
        <v>4</v>
      </c>
      <c r="C5" t="str">
        <f>MID('XL-Test'!J7,3,2)</f>
        <v>rs</v>
      </c>
      <c r="D5" t="str">
        <f>MID('XL-Test'!J13,3,2)</f>
        <v>on</v>
      </c>
      <c r="E5" t="str">
        <f>LEFT('XL-Test'!J18,2)</f>
        <v>Fi</v>
      </c>
      <c r="F5" t="str">
        <f>LEFT('XL-Test'!J8)&amp;LEFT('XL-Test'!J10)&amp;LEFT('XL-Test'!J14)&amp;LEFT('XL-Test'!J11)&amp;RIGHT('XL-Test'!J16)&amp;RIGHT('XL-Test'!J17)</f>
        <v>BEBBis</v>
      </c>
      <c r="G5" t="str">
        <f>UPPER(C5&amp;D5&amp;E5&amp;F5)</f>
        <v>RSONFIBEBBIS</v>
      </c>
      <c r="H5" t="str">
        <f t="shared" ca="1" si="0"/>
        <v>RSONFIBEBBIS1</v>
      </c>
      <c r="I5" t="s">
        <v>115</v>
      </c>
      <c r="J5">
        <f ca="1">AND(ISNUMBER(FIND("(",V5)),ISNUMBER(FIND("C",V5)))+0</f>
        <v>1</v>
      </c>
      <c r="K5" t="str">
        <f ca="1">IF(OR(ISNUMBER(FIND("IF(",V5)),ISNUMBER(FIND("IFS(",V5)),ISNUMBER(FIND("SWI",V5))),L5,M5)</f>
        <v>IS</v>
      </c>
      <c r="L5" t="str">
        <f t="shared" si="1"/>
        <v>IS</v>
      </c>
      <c r="M5" t="str">
        <f t="shared" si="2"/>
        <v>23</v>
      </c>
      <c r="N5" t="str">
        <f t="shared" ca="1" si="3"/>
        <v>IS-RSONFIBEBBIS1;</v>
      </c>
      <c r="U5">
        <v>4</v>
      </c>
      <c r="V5" t="str">
        <f ca="1">_xlfn.FORMULATEXT('XL-Test'!J7)</f>
        <v>=IF(RIGHT(C7;1)="P";"First Class";IF(RIGHT(C7;1)="B";"Bisnis";"Ekonomi"))</v>
      </c>
    </row>
    <row r="6" spans="1:30">
      <c r="B6">
        <v>5</v>
      </c>
      <c r="C6" s="6">
        <f>'XL-Test'!K7</f>
        <v>16000000</v>
      </c>
      <c r="D6" s="6">
        <f>'XL-Test'!K12</f>
        <v>24000000</v>
      </c>
      <c r="E6" s="6">
        <f>'XL-Test'!K18</f>
        <v>24000000</v>
      </c>
      <c r="F6" s="6">
        <f>SUM('XL-Test'!K7:K18)</f>
        <v>171500000</v>
      </c>
      <c r="G6" s="6" t="str">
        <f>DEC2HEX(SUM(C6:F6)/10000)</f>
        <v>5BFE</v>
      </c>
      <c r="H6" t="str">
        <f t="shared" ca="1" si="0"/>
        <v>5BFE1</v>
      </c>
      <c r="I6" t="s">
        <v>116</v>
      </c>
      <c r="J6">
        <f t="shared" ref="J6:J7" ca="1" si="4">AND(ISNUMBER(FIND("(",V6)),ISNUMBER(FIND("L",V6)))+0</f>
        <v>1</v>
      </c>
      <c r="K6" t="str">
        <f ca="1">IF(AND(ISNUMBER(FIND("HLOOKUP",V6)),ISNUMBER(FIND("2",V6))),L6,M6)</f>
        <v>FE</v>
      </c>
      <c r="L6" t="str">
        <f t="shared" si="1"/>
        <v>FE</v>
      </c>
      <c r="M6" t="str">
        <f t="shared" si="2"/>
        <v>42</v>
      </c>
      <c r="N6" t="str">
        <f t="shared" ca="1" si="3"/>
        <v>FE-5BFE1;</v>
      </c>
      <c r="U6">
        <v>5</v>
      </c>
      <c r="V6" t="str">
        <f ca="1">_xlfn.FORMULATEXT('XL-Test'!K7)</f>
        <v>=H7 * HLOOKUP(J7; $L$30:$N$32; 2; FALSE)</v>
      </c>
    </row>
    <row r="7" spans="1:30">
      <c r="B7">
        <v>6</v>
      </c>
      <c r="C7" s="6">
        <f>'XL-Test'!L7</f>
        <v>21000000</v>
      </c>
      <c r="D7" s="6">
        <f>'XL-Test'!L13</f>
        <v>3600000</v>
      </c>
      <c r="E7" s="6">
        <f>'XL-Test'!L18</f>
        <v>21000000</v>
      </c>
      <c r="F7" s="6">
        <f>SUM('XL-Test'!L7:L18)</f>
        <v>83200000</v>
      </c>
      <c r="G7" s="6" t="str">
        <f>DEC2HEX(SUM(C7:F7)/10000)</f>
        <v>3250</v>
      </c>
      <c r="H7" t="str">
        <f t="shared" ca="1" si="0"/>
        <v>32501</v>
      </c>
      <c r="I7" t="s">
        <v>117</v>
      </c>
      <c r="J7">
        <f t="shared" ca="1" si="4"/>
        <v>1</v>
      </c>
      <c r="K7" t="str">
        <f ca="1">IF(AND(ISNUMBER(FIND("HLOOKUP",V7)),ISNUMBER(FIND("3",V7))),L7,M7)</f>
        <v>50</v>
      </c>
      <c r="L7" t="str">
        <f t="shared" si="1"/>
        <v>50</v>
      </c>
      <c r="M7" t="str">
        <f t="shared" si="2"/>
        <v>SV</v>
      </c>
      <c r="N7" t="str">
        <f t="shared" ca="1" si="3"/>
        <v>50-32501;</v>
      </c>
      <c r="U7">
        <v>6</v>
      </c>
      <c r="V7" t="str">
        <f ca="1">_xlfn.FORMULATEXT('XL-Test'!L7)</f>
        <v>=I7 * HLOOKUP(J7; $L$30:$N$32; 3; FALSE)</v>
      </c>
    </row>
    <row r="8" spans="1:30">
      <c r="B8">
        <v>7</v>
      </c>
      <c r="C8" s="6">
        <f>'XL-Test'!M7</f>
        <v>37000000</v>
      </c>
      <c r="D8" s="6">
        <f>'XL-Test'!M12</f>
        <v>24000000</v>
      </c>
      <c r="E8" s="6">
        <f>'XL-Test'!M18</f>
        <v>45000000</v>
      </c>
      <c r="F8" s="6">
        <f>SUM('XL-Test'!M7:M18)</f>
        <v>254700000</v>
      </c>
      <c r="G8" s="6" t="str">
        <f>DEC2HEX(SUM(C8:F8)/10000)</f>
        <v>8CE6</v>
      </c>
      <c r="H8" t="str">
        <f t="shared" ca="1" si="0"/>
        <v>8CE61</v>
      </c>
      <c r="I8" t="s">
        <v>118</v>
      </c>
      <c r="J8">
        <f ca="1">AND(ISNUMBER(FIND("L",V8)),ISNUMBER(FIND("K",V8)))+0</f>
        <v>1</v>
      </c>
      <c r="K8" t="str">
        <f ca="1">IF(OR(ISNUMBER(FIND("SUM",V8)),ISNUMBER(FIND("+",V8))),L8,M8)</f>
        <v>E6</v>
      </c>
      <c r="L8" t="str">
        <f t="shared" si="1"/>
        <v>E6</v>
      </c>
      <c r="M8" t="str">
        <f t="shared" si="2"/>
        <v>22</v>
      </c>
      <c r="N8" t="str">
        <f t="shared" ca="1" si="3"/>
        <v>E6-8CE61;</v>
      </c>
      <c r="U8">
        <v>7</v>
      </c>
      <c r="V8" t="str">
        <f ca="1">_xlfn.FORMULATEXT('XL-Test'!M7)</f>
        <v>=SUM(K7:L7)</v>
      </c>
    </row>
    <row r="9" spans="1:30">
      <c r="B9">
        <v>8</v>
      </c>
      <c r="C9" s="6">
        <f>'XL-Test'!N7</f>
        <v>1480000</v>
      </c>
      <c r="D9" s="6">
        <f>'XL-Test'!N12</f>
        <v>840000.00000000012</v>
      </c>
      <c r="E9" s="6">
        <f>'XL-Test'!N18</f>
        <v>1800000</v>
      </c>
      <c r="F9" s="6">
        <f>SUM('XL-Test'!N7:N18)</f>
        <v>9278500</v>
      </c>
      <c r="G9" s="6" t="str">
        <f>DEC2HEX(SUM(C9:F9)/10000)</f>
        <v>53B</v>
      </c>
      <c r="H9" t="str">
        <f t="shared" ca="1" si="0"/>
        <v>53B1</v>
      </c>
      <c r="I9" t="s">
        <v>119</v>
      </c>
      <c r="J9">
        <f ca="1">AND(ISNUMBER(FIND("(",V9)),ISNUMBER(FIND("M",V9)))+0</f>
        <v>1</v>
      </c>
      <c r="K9" t="str">
        <f ca="1">IF(OR(ISNUMBER(FIND("IF(",V9)),ISNUMBER(FIND("IFS(",V9)),ISNUMBER(FIND("SWI",V9))),L9,M9)</f>
        <v>3B</v>
      </c>
      <c r="L9" t="str">
        <f t="shared" si="1"/>
        <v>3B</v>
      </c>
      <c r="M9" t="str">
        <f t="shared" si="2"/>
        <v>48</v>
      </c>
      <c r="N9" t="str">
        <f t="shared" ca="1" si="3"/>
        <v>3B-53B1;</v>
      </c>
      <c r="U9">
        <v>8</v>
      </c>
      <c r="V9" t="str">
        <f ca="1">_xlfn.FORMULATEXT('XL-Test'!N7)</f>
        <v>=IF(M7&gt;30000000;4%*M7;IF(M7&gt;15000000;3,5%*M7;IF(M7&gt;5000000;3%*M7;2,5%*M7)))</v>
      </c>
    </row>
    <row r="10" spans="1:30">
      <c r="B10">
        <v>9</v>
      </c>
      <c r="C10" s="6">
        <f>'XL-Test'!O7</f>
        <v>38480000</v>
      </c>
      <c r="D10" s="6">
        <f>'XL-Test'!O12</f>
        <v>24840000</v>
      </c>
      <c r="E10" s="6">
        <f>'XL-Test'!O17</f>
        <v>22252500</v>
      </c>
      <c r="F10" s="6">
        <f>SUM('XL-Test'!O7:O18)</f>
        <v>263978500</v>
      </c>
      <c r="G10" s="6" t="str">
        <f>DEC2HEX(SUM(C10:F10)/10000)</f>
        <v>888B</v>
      </c>
      <c r="H10" t="str">
        <f t="shared" ca="1" si="0"/>
        <v>888B1</v>
      </c>
      <c r="I10" t="s">
        <v>120</v>
      </c>
      <c r="J10">
        <f ca="1">AND(ISNUMBER(FIND("N",V10)),ISNUMBER(FIND("M",V10)))+0</f>
        <v>1</v>
      </c>
      <c r="K10" t="str">
        <f ca="1">IF(OR(ISNUMBER(FIND("SUM",V10)),ISNUMBER(FIND("+",V10))),L10,M10)</f>
        <v>8B</v>
      </c>
      <c r="L10" t="str">
        <f t="shared" si="1"/>
        <v>8B</v>
      </c>
      <c r="M10" t="str">
        <f t="shared" si="2"/>
        <v>23</v>
      </c>
      <c r="N10" t="str">
        <f ca="1">K10&amp;"-"&amp;H10</f>
        <v>8B-888B1</v>
      </c>
      <c r="U10">
        <v>9</v>
      </c>
      <c r="V10" t="str">
        <f ca="1">_xlfn.FORMULATEXT('XL-Test'!O7)</f>
        <v>=SUM(M7:N7)</v>
      </c>
    </row>
    <row r="13" spans="1:30">
      <c r="C13" t="str">
        <f ca="1">A3&amp;"|"&amp;C82</f>
        <v>MG1|D1-CE1;15-11EF4;16-117B;E7-E17;30-29F9D;1C-1461A;47-3E553;20-16B98;33-284A2F</v>
      </c>
    </row>
    <row r="16" spans="1:30">
      <c r="C16">
        <v>1</v>
      </c>
      <c r="D16">
        <v>2</v>
      </c>
      <c r="E16">
        <v>3</v>
      </c>
      <c r="F16">
        <v>4</v>
      </c>
      <c r="G16">
        <v>5</v>
      </c>
      <c r="H16">
        <v>6</v>
      </c>
      <c r="I16">
        <v>7</v>
      </c>
      <c r="J16">
        <v>8</v>
      </c>
      <c r="K16">
        <v>9</v>
      </c>
    </row>
    <row r="17" spans="2:15">
      <c r="B17">
        <v>1</v>
      </c>
      <c r="C17" t="str">
        <f>'XL-Test'!D7</f>
        <v>Turbo N-125</v>
      </c>
      <c r="D17">
        <f>'XL-Test'!F7</f>
        <v>0.72916666666666663</v>
      </c>
      <c r="E17" t="str">
        <f>'XL-Test'!G7</f>
        <v>Bali-Brunei</v>
      </c>
      <c r="F17" t="str">
        <f>UPPER('XL-Test'!J7)</f>
        <v>FIRST CLASS</v>
      </c>
      <c r="G17">
        <f>'XL-Test'!K7</f>
        <v>16000000</v>
      </c>
      <c r="H17">
        <f>'XL-Test'!L7</f>
        <v>21000000</v>
      </c>
      <c r="I17">
        <f>'XL-Test'!M7</f>
        <v>37000000</v>
      </c>
      <c r="J17">
        <f>'XL-Test'!N7</f>
        <v>1480000</v>
      </c>
      <c r="K17">
        <f>'XL-Test'!O7</f>
        <v>38480000</v>
      </c>
      <c r="N17">
        <v>1</v>
      </c>
      <c r="O17" t="str">
        <f ca="1">V2</f>
        <v>=HLOOKUP(MID(C7;2;1); $L$23:$N$26; LEFT(C7;1)+1; TRUE)</v>
      </c>
    </row>
    <row r="18" spans="2:15">
      <c r="B18">
        <v>2</v>
      </c>
      <c r="C18" t="str">
        <f>'XL-Test'!D8</f>
        <v>Boeing 737</v>
      </c>
      <c r="D18">
        <f>'XL-Test'!F8</f>
        <v>0.79166666666666674</v>
      </c>
      <c r="E18" t="str">
        <f>'XL-Test'!G8</f>
        <v>Bali-Malaysia</v>
      </c>
      <c r="F18" t="str">
        <f>UPPER('XL-Test'!J8)</f>
        <v>BISNIS</v>
      </c>
      <c r="G18">
        <f>'XL-Test'!K8</f>
        <v>13500000</v>
      </c>
      <c r="H18">
        <f>'XL-Test'!L8</f>
        <v>0</v>
      </c>
      <c r="I18">
        <f>'XL-Test'!M8</f>
        <v>13500000</v>
      </c>
      <c r="J18">
        <f>'XL-Test'!N8</f>
        <v>405000</v>
      </c>
      <c r="K18">
        <f>'XL-Test'!O8</f>
        <v>13905000</v>
      </c>
      <c r="N18">
        <v>2</v>
      </c>
      <c r="O18" t="str">
        <f t="shared" ref="O18:O27" ca="1" si="5">V3</f>
        <v>=E7 + IF(MID(C7;4;1)="C"; 3/24; IF(MID(C7;4;1)="D"; 2/24; IF(MID(C7;4;1)="E"; 1/24; 0)))</v>
      </c>
    </row>
    <row r="19" spans="2:15">
      <c r="B19">
        <v>3</v>
      </c>
      <c r="C19" t="str">
        <f>'XL-Test'!D9</f>
        <v>DC-10</v>
      </c>
      <c r="D19">
        <f>'XL-Test'!F9</f>
        <v>0.54166666666666663</v>
      </c>
      <c r="E19" t="str">
        <f>'XL-Test'!G9</f>
        <v>Jakarta-Brunei</v>
      </c>
      <c r="F19" t="str">
        <f>UPPER('XL-Test'!J9)</f>
        <v>FIRST CLASS</v>
      </c>
      <c r="G19">
        <f>'XL-Test'!K9</f>
        <v>24000000</v>
      </c>
      <c r="H19">
        <f>'XL-Test'!L9</f>
        <v>14000000</v>
      </c>
      <c r="I19">
        <f>'XL-Test'!M9</f>
        <v>38000000</v>
      </c>
      <c r="J19">
        <f>'XL-Test'!N9</f>
        <v>1520000</v>
      </c>
      <c r="K19">
        <f>'XL-Test'!O9</f>
        <v>39520000</v>
      </c>
      <c r="N19">
        <v>3</v>
      </c>
      <c r="O19" t="str">
        <f t="shared" ca="1" si="5"/>
        <v>=VLOOKUP(MID(C7;3;1);$P$31:$Q$32;2;0) &amp;"-"&amp; VLOOKUP(MID(C7;4;1);$P$24:$Q$26;2;0)</v>
      </c>
    </row>
    <row r="20" spans="2:15">
      <c r="B20">
        <v>4</v>
      </c>
      <c r="C20" t="str">
        <f>'XL-Test'!D10</f>
        <v>Sukhoi SJ 100</v>
      </c>
      <c r="D20">
        <f>'XL-Test'!F10</f>
        <v>0.79166666666666674</v>
      </c>
      <c r="E20" t="str">
        <f>'XL-Test'!G10</f>
        <v>Jakarta-Malaysia</v>
      </c>
      <c r="F20" t="str">
        <f>UPPER('XL-Test'!J10)</f>
        <v>EKONOMI</v>
      </c>
      <c r="G20">
        <f>'XL-Test'!K10</f>
        <v>6000000</v>
      </c>
      <c r="H20">
        <f>'XL-Test'!L10</f>
        <v>2400000</v>
      </c>
      <c r="I20">
        <f>'XL-Test'!M10</f>
        <v>8400000</v>
      </c>
      <c r="J20">
        <f>'XL-Test'!N10</f>
        <v>252000</v>
      </c>
      <c r="K20">
        <f>'XL-Test'!O10</f>
        <v>8652000</v>
      </c>
      <c r="N20">
        <v>4</v>
      </c>
      <c r="O20" t="str">
        <f t="shared" ca="1" si="5"/>
        <v>=IF(RIGHT(C7;1)="P";"First Class";IF(RIGHT(C7;1)="B";"Bisnis";"Ekonomi"))</v>
      </c>
    </row>
    <row r="21" spans="2:15">
      <c r="B21">
        <v>5</v>
      </c>
      <c r="C21" t="str">
        <f>'XL-Test'!D11</f>
        <v>Boeing 747</v>
      </c>
      <c r="D21">
        <f>'XL-Test'!F11</f>
        <v>0.52083333333333326</v>
      </c>
      <c r="E21" t="str">
        <f>'XL-Test'!G11</f>
        <v>Bali-Singapore</v>
      </c>
      <c r="F21" t="str">
        <f>UPPER('XL-Test'!J11)</f>
        <v>BISNIS</v>
      </c>
      <c r="G21">
        <f>'XL-Test'!K11</f>
        <v>4500000</v>
      </c>
      <c r="H21">
        <f>'XL-Test'!L11</f>
        <v>4000000</v>
      </c>
      <c r="I21">
        <f>'XL-Test'!M11</f>
        <v>8500000</v>
      </c>
      <c r="J21">
        <f>'XL-Test'!N11</f>
        <v>255000</v>
      </c>
      <c r="K21">
        <f>'XL-Test'!O11</f>
        <v>8755000</v>
      </c>
      <c r="N21">
        <v>5</v>
      </c>
      <c r="O21" t="str">
        <f t="shared" ca="1" si="5"/>
        <v>=H7 * HLOOKUP(J7; $L$30:$N$32; 2; FALSE)</v>
      </c>
    </row>
    <row r="22" spans="2:15">
      <c r="B22">
        <v>6</v>
      </c>
      <c r="C22" t="str">
        <f>'XL-Test'!D12</f>
        <v>Turbo N-125</v>
      </c>
      <c r="D22">
        <f>'XL-Test'!F12</f>
        <v>0.52083333333333337</v>
      </c>
      <c r="E22" t="str">
        <f>'XL-Test'!G12</f>
        <v>Bali-Brunei</v>
      </c>
      <c r="F22" t="str">
        <f>UPPER('XL-Test'!J12)</f>
        <v>FIRST CLASS</v>
      </c>
      <c r="G22">
        <f>'XL-Test'!K12</f>
        <v>24000000</v>
      </c>
      <c r="H22">
        <f>'XL-Test'!L12</f>
        <v>0</v>
      </c>
      <c r="I22">
        <f>'XL-Test'!M12</f>
        <v>24000000</v>
      </c>
      <c r="J22">
        <f>'XL-Test'!N12</f>
        <v>840000.00000000012</v>
      </c>
      <c r="K22">
        <f>'XL-Test'!O12</f>
        <v>24840000</v>
      </c>
      <c r="N22">
        <v>6</v>
      </c>
      <c r="O22" t="str">
        <f t="shared" ca="1" si="5"/>
        <v>=I7 * HLOOKUP(J7; $L$30:$N$32; 3; FALSE)</v>
      </c>
    </row>
    <row r="23" spans="2:15">
      <c r="B23">
        <v>7</v>
      </c>
      <c r="C23" t="str">
        <f>'XL-Test'!D13</f>
        <v>Boeing 737</v>
      </c>
      <c r="D23">
        <f>'XL-Test'!F13</f>
        <v>0.4375</v>
      </c>
      <c r="E23" t="str">
        <f>'XL-Test'!G13</f>
        <v>Jakarta-Singapore</v>
      </c>
      <c r="F23" t="str">
        <f>UPPER('XL-Test'!J13)</f>
        <v>EKONOMI</v>
      </c>
      <c r="G23">
        <f>'XL-Test'!K13</f>
        <v>7500000</v>
      </c>
      <c r="H23">
        <f>'XL-Test'!L13</f>
        <v>3600000</v>
      </c>
      <c r="I23">
        <f>'XL-Test'!M13</f>
        <v>11100000</v>
      </c>
      <c r="J23">
        <f>'XL-Test'!N13</f>
        <v>333000</v>
      </c>
      <c r="K23">
        <f>'XL-Test'!O13</f>
        <v>11433000</v>
      </c>
      <c r="N23">
        <v>7</v>
      </c>
      <c r="O23" t="str">
        <f t="shared" ca="1" si="5"/>
        <v>=SUM(K7:L7)</v>
      </c>
    </row>
    <row r="24" spans="2:15">
      <c r="B24">
        <v>8</v>
      </c>
      <c r="C24" t="str">
        <f>'XL-Test'!D14</f>
        <v>Air Bus 3</v>
      </c>
      <c r="D24">
        <f>'XL-Test'!F14</f>
        <v>0.4375</v>
      </c>
      <c r="E24" t="str">
        <f>'XL-Test'!G14</f>
        <v>Jakarta-Brunei</v>
      </c>
      <c r="F24" t="str">
        <f>UPPER('XL-Test'!J14)</f>
        <v>BISNIS</v>
      </c>
      <c r="G24">
        <f>'XL-Test'!K14</f>
        <v>18000000</v>
      </c>
      <c r="H24">
        <f>'XL-Test'!L14</f>
        <v>8000000</v>
      </c>
      <c r="I24">
        <f>'XL-Test'!M14</f>
        <v>26000000</v>
      </c>
      <c r="J24">
        <f>'XL-Test'!N14</f>
        <v>910000.00000000012</v>
      </c>
      <c r="K24">
        <f>'XL-Test'!O14</f>
        <v>26910000</v>
      </c>
      <c r="N24">
        <v>8</v>
      </c>
      <c r="O24" t="str">
        <f t="shared" ca="1" si="5"/>
        <v>=IF(M7&gt;30000000;4%*M7;IF(M7&gt;15000000;3,5%*M7;IF(M7&gt;5000000;3%*M7;2,5%*M7)))</v>
      </c>
    </row>
    <row r="25" spans="2:15">
      <c r="B25">
        <v>9</v>
      </c>
      <c r="C25" t="str">
        <f>'XL-Test'!D15</f>
        <v>CN 250</v>
      </c>
      <c r="D25">
        <f>'XL-Test'!F15</f>
        <v>0.5625</v>
      </c>
      <c r="E25" t="str">
        <f>'XL-Test'!G15</f>
        <v>Bali-Malaysia</v>
      </c>
      <c r="F25" t="str">
        <f>UPPER('XL-Test'!J15)</f>
        <v>FIRST CLASS</v>
      </c>
      <c r="G25">
        <f>'XL-Test'!K15</f>
        <v>16000000</v>
      </c>
      <c r="H25">
        <f>'XL-Test'!L15</f>
        <v>0</v>
      </c>
      <c r="I25">
        <f>'XL-Test'!M15</f>
        <v>16000000</v>
      </c>
      <c r="J25">
        <f>'XL-Test'!N15</f>
        <v>560000</v>
      </c>
      <c r="K25">
        <f>'XL-Test'!O15</f>
        <v>16560000</v>
      </c>
      <c r="N25">
        <v>9</v>
      </c>
      <c r="O25" t="str">
        <f t="shared" ca="1" si="5"/>
        <v>=SUM(M7:N7)</v>
      </c>
    </row>
    <row r="26" spans="2:15">
      <c r="B26">
        <v>10</v>
      </c>
      <c r="C26" t="str">
        <f>'XL-Test'!D16</f>
        <v>Boeing 747</v>
      </c>
      <c r="D26">
        <f>'XL-Test'!F16</f>
        <v>0.39583333333333331</v>
      </c>
      <c r="E26" t="str">
        <f>'XL-Test'!G16</f>
        <v>Bali-Malaysia</v>
      </c>
      <c r="F26" t="str">
        <f>UPPER('XL-Test'!J16)</f>
        <v>EKONOMI</v>
      </c>
      <c r="G26">
        <f>'XL-Test'!K16</f>
        <v>4500000</v>
      </c>
      <c r="H26">
        <f>'XL-Test'!L16</f>
        <v>1200000</v>
      </c>
      <c r="I26">
        <f>'XL-Test'!M16</f>
        <v>5700000</v>
      </c>
      <c r="J26">
        <f>'XL-Test'!N16</f>
        <v>171000</v>
      </c>
      <c r="K26">
        <f>'XL-Test'!O16</f>
        <v>5871000</v>
      </c>
    </row>
    <row r="27" spans="2:15">
      <c r="B27">
        <v>11</v>
      </c>
      <c r="C27" t="str">
        <f>'XL-Test'!D17</f>
        <v>Sukhoi SJ 100</v>
      </c>
      <c r="D27">
        <f>'XL-Test'!F17</f>
        <v>0.80208333333333337</v>
      </c>
      <c r="E27" t="str">
        <f>'XL-Test'!G17</f>
        <v>Bali-Singapore</v>
      </c>
      <c r="F27" t="str">
        <f>UPPER('XL-Test'!J17)</f>
        <v>BISNIS</v>
      </c>
      <c r="G27">
        <f>'XL-Test'!K17</f>
        <v>13500000</v>
      </c>
      <c r="H27">
        <f>'XL-Test'!L17</f>
        <v>8000000</v>
      </c>
      <c r="I27">
        <f>'XL-Test'!M17</f>
        <v>21500000</v>
      </c>
      <c r="J27">
        <f>'XL-Test'!N17</f>
        <v>752500.00000000012</v>
      </c>
      <c r="K27">
        <f>'XL-Test'!O17</f>
        <v>22252500</v>
      </c>
    </row>
    <row r="28" spans="2:15">
      <c r="B28">
        <v>12</v>
      </c>
      <c r="C28" t="str">
        <f>'XL-Test'!D18</f>
        <v>DC-10</v>
      </c>
      <c r="D28">
        <f>'XL-Test'!F18</f>
        <v>0.78125</v>
      </c>
      <c r="E28" t="str">
        <f>'XL-Test'!G18</f>
        <v>Jakarta-Malaysia</v>
      </c>
      <c r="F28" t="str">
        <f>UPPER('XL-Test'!J18)</f>
        <v>FIRST CLASS</v>
      </c>
      <c r="G28">
        <f>'XL-Test'!K18</f>
        <v>24000000</v>
      </c>
      <c r="H28">
        <f>'XL-Test'!L18</f>
        <v>21000000</v>
      </c>
      <c r="I28">
        <f>'XL-Test'!M18</f>
        <v>45000000</v>
      </c>
      <c r="J28">
        <f>'XL-Test'!N18</f>
        <v>1800000</v>
      </c>
      <c r="K28">
        <f>'XL-Test'!O18</f>
        <v>46800000</v>
      </c>
    </row>
    <row r="31" spans="2:15">
      <c r="B31" t="s">
        <v>101</v>
      </c>
      <c r="C31">
        <f>CODE(LEFT(C17))+CODE(LEFT(C18))+CODE(LEFT(C19))+CODE(LEFT(C20))+CODE(LEFT(C21))+CODE(LEFT(C22))+CODE(LEFT(C23))+CODE(LEFT(C24))+CODE(LEFT(C25))+CODE(LEFT(C26))+CODE(LEFT(C27))+CODE(LEFT(C28))+
CODE(RIGHT(C17))+CODE(RIGHT(C18))+CODE(RIGHT(C19))+CODE(RIGHT(C20))+CODE(RIGHT(C21))+CODE(RIGHT(C22))+CODE(RIGHT(C23))+CODE(RIGHT(C24))+CODE(RIGHT(C25))+CODE(RIGHT(C26))+CODE(RIGHT(C27))+CODE(RIGHT(C28))+
CODE(LEFT(RIGHT(C17,2)))+CODE(LEFT(RIGHT(C18,2)))+CODE(LEFT(RIGHT(C19,2)))+CODE(LEFT(RIGHT(C20,2)))+CODE(LEFT(RIGHT(C21,2)))+CODE(LEFT(RIGHT(C22,2)))+CODE(LEFT(RIGHT(C23,2)))+CODE(LEFT(RIGHT(C24,2)))+CODE(LEFT(RIGHT(C25,2)))+CODE(LEFT(RIGHT(C26,2)))+CODE(LEFT(RIGHT(C27,2)))+CODE(LEFT(RIGHT(C28,2)))+
CODE(MID(C17,2,1))+CODE(MID(C18,2,1))+CODE(MID(C19,2,1))+CODE(MID(C20,2,1))+CODE(MID(C21,2,1))+CODE(MID(C22,2,1))+CODE(MID(C23,2,1))+CODE(MID(C24,2,1))+CODE(MID(C25,2,1))+CODE(MID(C26,2,1))+CODE(MID(C27,2,1))+CODE(MID(C28,2,1))</f>
        <v>3297</v>
      </c>
      <c r="D31">
        <f>(SUM(D17:D28)*10000)+INT(D18*100)+INT(D20*100)+INT(D25*100)+INT(D23*100)+INT(D28*100)</f>
        <v>73460</v>
      </c>
      <c r="E31">
        <f>CODE(LEFT(E17))+CODE(LEFT(E18))+CODE(LEFT(E19))+CODE(LEFT(E20))+CODE(LEFT(E21))+CODE(LEFT(E22))+CODE(LEFT(E23))+CODE(LEFT(E24))+CODE(LEFT(E25))+CODE(LEFT(E26))+CODE(LEFT(E27))+CODE(LEFT(E28))+
CODE(RIGHT(E17))+CODE(RIGHT(E18))+CODE(RIGHT(E19))+CODE(RIGHT(E20))+CODE(RIGHT(E21))+CODE(RIGHT(E22))+CODE(RIGHT(E23))+CODE(RIGHT(E24))+CODE(RIGHT(E25))+CODE(RIGHT(E26))+CODE(RIGHT(E27))+CODE(RIGHT(E28))+
CODE(LEFT(RIGHT(E17,2)))+CODE(LEFT(RIGHT(E18,2)))+CODE(LEFT(RIGHT(E19,2)))+CODE(LEFT(RIGHT(E20,2)))+CODE(LEFT(RIGHT(E21,2)))+CODE(LEFT(RIGHT(E22,2)))+CODE(LEFT(RIGHT(E23,2)))+CODE(LEFT(RIGHT(E24,2)))+CODE(LEFT(RIGHT(E25,2)))+CODE(LEFT(RIGHT(E26,2)))+CODE(LEFT(RIGHT(E27,2)))+CODE(LEFT(RIGHT(E28,2)))+
CODE(MID(E17,2,1))+CODE(MID(E18,2,1))+CODE(MID(E19,2,1))+CODE(MID(E20,2,1))+CODE(MID(E21,2,1))+CODE(MID(E22,2,1))+CODE(MID(E23,2,1))+CODE(MID(E24,2,1))+CODE(MID(E25,2,1))+CODE(MID(E26,2,1))+CODE(MID(E27,2,1))+CODE(MID(E28,2,1))</f>
        <v>4475</v>
      </c>
      <c r="F31">
        <f>CODE(LEFT(F17))+CODE(LEFT(F18))+CODE(LEFT(F19))+CODE(LEFT(F20))+CODE(LEFT(F21))+CODE(LEFT(F22))+CODE(LEFT(F23))+CODE(LEFT(F24))+CODE(LEFT(F25))+CODE(LEFT(F26))+CODE(LEFT(F27))+CODE(LEFT(F28))+
CODE(RIGHT(F17))+CODE(RIGHT(F18))+CODE(RIGHT(F19))+CODE(RIGHT(F20))+CODE(RIGHT(F21))+CODE(RIGHT(F22))+CODE(RIGHT(F23))+CODE(RIGHT(F24))+CODE(RIGHT(F25))+CODE(RIGHT(F26))+CODE(RIGHT(F27))+CODE(RIGHT(F28))+
CODE(LEFT(RIGHT(F17,2)))+CODE(LEFT(RIGHT(F18,2)))+CODE(LEFT(RIGHT(F19,2)))+CODE(LEFT(RIGHT(F20,2)))+CODE(LEFT(RIGHT(F21,2)))+CODE(LEFT(RIGHT(F22,2)))+CODE(LEFT(RIGHT(F23,2)))+CODE(LEFT(RIGHT(F24,2)))+CODE(LEFT(RIGHT(F25,2)))+CODE(LEFT(RIGHT(F26,2)))+CODE(LEFT(RIGHT(F27,2)))+CODE(LEFT(RIGHT(F28,2)))+
CODE(MID(F17,2,1))+CODE(MID(F18,2,1))+CODE(MID(F19,2,1))+CODE(MID(F20,2,1))+CODE(MID(F21,2,1))+CODE(MID(F22,2,1))+CODE(MID(F23,2,1))+CODE(MID(F24,2,1))+CODE(MID(F25,2,1))+CODE(MID(F26,2,1))+CODE(MID(F27,2,1))+CODE(MID(F28,2,1))</f>
        <v>3607</v>
      </c>
      <c r="G31">
        <f>(SUM(G17:G28)/1000)+LEFT(G18,2)+LEFT(G20,2)+LEFT(G26,2)+LEFT(G23,2)+LEFT(G28,3)</f>
        <v>171933</v>
      </c>
      <c r="H31">
        <f>(SUM(H17:H28)/1000)+LEFT(H18,2)+LEFT(H20,2)+LEFT(H26,2)+LEFT(H23,2)+LEFT(H28,3)</f>
        <v>83482</v>
      </c>
      <c r="I31">
        <f>(SUM(I17:I28)/1000)+LEFT(I18,2)+LEFT(I20,2)+LEFT(I26,2)+LEFT(I23,2)+LEFT(I28,3)</f>
        <v>255315</v>
      </c>
      <c r="J31">
        <f>(SUM(J17:J28)/100)+LEFT(J18,2)+LEFT(J20,2)+LEFT(J26,2)+LEFT(J23,2)+LEFT(J28,3)</f>
        <v>93080</v>
      </c>
      <c r="K31">
        <f>(SUM(K17:K28)/100)+LEFT(K18,2)+LEFT(K20,2)+LEFT(K26,2)+LEFT(K23,2)+LEFT(K28,3)+10</f>
        <v>2640431</v>
      </c>
    </row>
    <row r="32" spans="2:15">
      <c r="B32" t="s">
        <v>121</v>
      </c>
      <c r="C32">
        <v>3401</v>
      </c>
      <c r="D32">
        <v>2294</v>
      </c>
      <c r="E32">
        <v>5299</v>
      </c>
      <c r="F32">
        <v>5552</v>
      </c>
      <c r="G32">
        <v>4503</v>
      </c>
      <c r="H32">
        <v>7376</v>
      </c>
      <c r="I32">
        <v>4712</v>
      </c>
      <c r="J32">
        <v>3174</v>
      </c>
      <c r="K32">
        <v>8910</v>
      </c>
    </row>
    <row r="34" spans="1:11">
      <c r="A34" t="s">
        <v>122</v>
      </c>
      <c r="B34" t="s">
        <v>123</v>
      </c>
      <c r="C34" t="b">
        <f ca="1">AND(ISNUMBER(FIND("=",V2)),ISNUMBER(FIND("(",V2)))</f>
        <v>1</v>
      </c>
      <c r="D34" t="b">
        <f t="shared" ref="D34:H34" ca="1" si="6">AND(ISNUMBER(FIND("=",W2)),ISNUMBER(FIND("(",W2)))</f>
        <v>1</v>
      </c>
      <c r="E34" t="b">
        <f t="shared" ca="1" si="6"/>
        <v>1</v>
      </c>
      <c r="F34" t="b">
        <f t="shared" ca="1" si="6"/>
        <v>1</v>
      </c>
      <c r="G34" t="b">
        <f t="shared" ca="1" si="6"/>
        <v>1</v>
      </c>
      <c r="H34" t="b">
        <f t="shared" ca="1" si="6"/>
        <v>1</v>
      </c>
      <c r="I34" t="b">
        <f ca="1">AND(ISNUMBER(FIND("=",AB2)))</f>
        <v>1</v>
      </c>
      <c r="J34" t="b">
        <f t="shared" ref="J34" ca="1" si="7">AND(ISNUMBER(FIND("=",AC2)),ISNUMBER(FIND("(",AC2)))</f>
        <v>1</v>
      </c>
      <c r="K34" t="b">
        <f ca="1">AND(ISNUMBER(FIND("=",AD2)))</f>
        <v>1</v>
      </c>
    </row>
    <row r="36" spans="1:11" hidden="1"/>
    <row r="37" spans="1:11" hidden="1">
      <c r="A37">
        <v>1</v>
      </c>
      <c r="B37">
        <v>7</v>
      </c>
      <c r="C37">
        <f ca="1">LEN(_xlfn.FORMULATEXT('XL-Test'!D7))</f>
        <v>54</v>
      </c>
      <c r="D37">
        <f ca="1">LEN(_xlfn.FORMULATEXT('XL-Test'!F7))</f>
        <v>88</v>
      </c>
      <c r="E37">
        <f ca="1">LEN(_xlfn.FORMULATEXT('XL-Test'!G7))</f>
        <v>80</v>
      </c>
      <c r="F37">
        <f ca="1">LEN(_xlfn.FORMULATEXT('XL-Test'!J7))</f>
        <v>73</v>
      </c>
      <c r="G37">
        <f ca="1">LEN(_xlfn.FORMULATEXT('XL-Test'!K7))</f>
        <v>40</v>
      </c>
      <c r="H37">
        <f ca="1">LEN(_xlfn.FORMULATEXT('XL-Test'!L7))</f>
        <v>40</v>
      </c>
      <c r="I37">
        <f ca="1">LEN(_xlfn.FORMULATEXT('XL-Test'!M7))</f>
        <v>11</v>
      </c>
      <c r="J37">
        <f ca="1">LEN(_xlfn.FORMULATEXT('XL-Test'!N7))</f>
        <v>75</v>
      </c>
      <c r="K37">
        <f ca="1">LEN(_xlfn.FORMULATEXT('XL-Test'!O7))</f>
        <v>11</v>
      </c>
    </row>
    <row r="38" spans="1:11" hidden="1">
      <c r="A38">
        <v>2</v>
      </c>
      <c r="B38">
        <v>8</v>
      </c>
      <c r="C38">
        <f ca="1">LEN(_xlfn.FORMULATEXT('XL-Test'!D8))</f>
        <v>54</v>
      </c>
      <c r="D38">
        <f ca="1">LEN(_xlfn.FORMULATEXT('XL-Test'!F8))</f>
        <v>88</v>
      </c>
      <c r="E38">
        <f ca="1">LEN(_xlfn.FORMULATEXT('XL-Test'!G8))</f>
        <v>80</v>
      </c>
      <c r="F38">
        <f ca="1">LEN(_xlfn.FORMULATEXT('XL-Test'!J8))</f>
        <v>73</v>
      </c>
      <c r="G38">
        <f ca="1">LEN(_xlfn.FORMULATEXT('XL-Test'!K8))</f>
        <v>40</v>
      </c>
      <c r="H38">
        <f ca="1">LEN(_xlfn.FORMULATEXT('XL-Test'!L8))</f>
        <v>40</v>
      </c>
      <c r="I38">
        <f ca="1">LEN(_xlfn.FORMULATEXT('XL-Test'!M8))</f>
        <v>11</v>
      </c>
      <c r="J38">
        <f ca="1">LEN(_xlfn.FORMULATEXT('XL-Test'!N8))</f>
        <v>75</v>
      </c>
      <c r="K38">
        <f ca="1">LEN(_xlfn.FORMULATEXT('XL-Test'!O8))</f>
        <v>11</v>
      </c>
    </row>
    <row r="39" spans="1:11" hidden="1">
      <c r="A39">
        <v>3</v>
      </c>
      <c r="B39">
        <v>9</v>
      </c>
      <c r="C39">
        <f ca="1">LEN(_xlfn.FORMULATEXT('XL-Test'!D9))</f>
        <v>54</v>
      </c>
      <c r="D39">
        <f ca="1">LEN(_xlfn.FORMULATEXT('XL-Test'!F9))</f>
        <v>88</v>
      </c>
      <c r="E39">
        <f ca="1">LEN(_xlfn.FORMULATEXT('XL-Test'!G9))</f>
        <v>80</v>
      </c>
      <c r="F39">
        <f ca="1">LEN(_xlfn.FORMULATEXT('XL-Test'!J9))</f>
        <v>73</v>
      </c>
      <c r="G39">
        <f ca="1">LEN(_xlfn.FORMULATEXT('XL-Test'!K9))</f>
        <v>40</v>
      </c>
      <c r="H39">
        <f ca="1">LEN(_xlfn.FORMULATEXT('XL-Test'!L9))</f>
        <v>40</v>
      </c>
      <c r="I39">
        <f ca="1">LEN(_xlfn.FORMULATEXT('XL-Test'!M9))</f>
        <v>11</v>
      </c>
      <c r="J39">
        <f ca="1">LEN(_xlfn.FORMULATEXT('XL-Test'!N9))</f>
        <v>75</v>
      </c>
      <c r="K39">
        <f ca="1">LEN(_xlfn.FORMULATEXT('XL-Test'!O9))</f>
        <v>11</v>
      </c>
    </row>
    <row r="40" spans="1:11" hidden="1">
      <c r="A40">
        <v>4</v>
      </c>
      <c r="B40">
        <v>10</v>
      </c>
      <c r="C40">
        <f ca="1">LEN(_xlfn.FORMULATEXT('XL-Test'!D10))</f>
        <v>56</v>
      </c>
      <c r="D40">
        <f ca="1">LEN(_xlfn.FORMULATEXT('XL-Test'!F10))</f>
        <v>92</v>
      </c>
      <c r="E40">
        <f ca="1">LEN(_xlfn.FORMULATEXT('XL-Test'!G10))</f>
        <v>82</v>
      </c>
      <c r="F40">
        <f ca="1">LEN(_xlfn.FORMULATEXT('XL-Test'!J10))</f>
        <v>75</v>
      </c>
      <c r="G40">
        <f ca="1">LEN(_xlfn.FORMULATEXT('XL-Test'!K10))</f>
        <v>42</v>
      </c>
      <c r="H40">
        <f ca="1">LEN(_xlfn.FORMULATEXT('XL-Test'!L10))</f>
        <v>42</v>
      </c>
      <c r="I40">
        <f ca="1">LEN(_xlfn.FORMULATEXT('XL-Test'!M10))</f>
        <v>13</v>
      </c>
      <c r="J40">
        <f ca="1">LEN(_xlfn.FORMULATEXT('XL-Test'!N10))</f>
        <v>82</v>
      </c>
      <c r="K40">
        <f ca="1">LEN(_xlfn.FORMULATEXT('XL-Test'!O10))</f>
        <v>13</v>
      </c>
    </row>
    <row r="41" spans="1:11" hidden="1">
      <c r="A41">
        <v>5</v>
      </c>
      <c r="B41">
        <v>11</v>
      </c>
      <c r="C41">
        <f ca="1">LEN(_xlfn.FORMULATEXT('XL-Test'!D11))</f>
        <v>56</v>
      </c>
      <c r="D41">
        <f ca="1">LEN(_xlfn.FORMULATEXT('XL-Test'!F11))</f>
        <v>92</v>
      </c>
      <c r="E41">
        <f ca="1">LEN(_xlfn.FORMULATEXT('XL-Test'!G11))</f>
        <v>82</v>
      </c>
      <c r="F41">
        <f ca="1">LEN(_xlfn.FORMULATEXT('XL-Test'!J11))</f>
        <v>75</v>
      </c>
      <c r="G41">
        <f ca="1">LEN(_xlfn.FORMULATEXT('XL-Test'!K11))</f>
        <v>42</v>
      </c>
      <c r="H41">
        <f ca="1">LEN(_xlfn.FORMULATEXT('XL-Test'!L11))</f>
        <v>42</v>
      </c>
      <c r="I41">
        <f ca="1">LEN(_xlfn.FORMULATEXT('XL-Test'!M11))</f>
        <v>13</v>
      </c>
      <c r="J41">
        <f ca="1">LEN(_xlfn.FORMULATEXT('XL-Test'!N11))</f>
        <v>82</v>
      </c>
      <c r="K41">
        <f ca="1">LEN(_xlfn.FORMULATEXT('XL-Test'!O11))</f>
        <v>13</v>
      </c>
    </row>
    <row r="42" spans="1:11" hidden="1">
      <c r="A42">
        <v>6</v>
      </c>
      <c r="B42">
        <v>12</v>
      </c>
      <c r="C42">
        <f ca="1">LEN(_xlfn.FORMULATEXT('XL-Test'!D12))</f>
        <v>56</v>
      </c>
      <c r="D42">
        <f ca="1">LEN(_xlfn.FORMULATEXT('XL-Test'!F12))</f>
        <v>92</v>
      </c>
      <c r="E42">
        <f ca="1">LEN(_xlfn.FORMULATEXT('XL-Test'!G12))</f>
        <v>82</v>
      </c>
      <c r="F42">
        <f ca="1">LEN(_xlfn.FORMULATEXT('XL-Test'!J12))</f>
        <v>75</v>
      </c>
      <c r="G42">
        <f ca="1">LEN(_xlfn.FORMULATEXT('XL-Test'!K12))</f>
        <v>42</v>
      </c>
      <c r="H42">
        <f ca="1">LEN(_xlfn.FORMULATEXT('XL-Test'!L12))</f>
        <v>42</v>
      </c>
      <c r="I42">
        <f ca="1">LEN(_xlfn.FORMULATEXT('XL-Test'!M12))</f>
        <v>13</v>
      </c>
      <c r="J42">
        <f ca="1">LEN(_xlfn.FORMULATEXT('XL-Test'!N12))</f>
        <v>82</v>
      </c>
      <c r="K42">
        <f ca="1">LEN(_xlfn.FORMULATEXT('XL-Test'!O12))</f>
        <v>13</v>
      </c>
    </row>
    <row r="43" spans="1:11" hidden="1">
      <c r="A43">
        <v>7</v>
      </c>
      <c r="B43">
        <v>13</v>
      </c>
      <c r="C43">
        <f ca="1">LEN(_xlfn.FORMULATEXT('XL-Test'!D13))</f>
        <v>56</v>
      </c>
      <c r="D43">
        <f ca="1">LEN(_xlfn.FORMULATEXT('XL-Test'!F13))</f>
        <v>92</v>
      </c>
      <c r="E43">
        <f ca="1">LEN(_xlfn.FORMULATEXT('XL-Test'!G13))</f>
        <v>82</v>
      </c>
      <c r="F43">
        <f ca="1">LEN(_xlfn.FORMULATEXT('XL-Test'!J13))</f>
        <v>75</v>
      </c>
      <c r="G43">
        <f ca="1">LEN(_xlfn.FORMULATEXT('XL-Test'!K13))</f>
        <v>42</v>
      </c>
      <c r="H43">
        <f ca="1">LEN(_xlfn.FORMULATEXT('XL-Test'!L13))</f>
        <v>42</v>
      </c>
      <c r="I43">
        <f ca="1">LEN(_xlfn.FORMULATEXT('XL-Test'!M13))</f>
        <v>13</v>
      </c>
      <c r="J43">
        <f ca="1">LEN(_xlfn.FORMULATEXT('XL-Test'!N13))</f>
        <v>82</v>
      </c>
      <c r="K43">
        <f ca="1">LEN(_xlfn.FORMULATEXT('XL-Test'!O13))</f>
        <v>13</v>
      </c>
    </row>
    <row r="44" spans="1:11" hidden="1">
      <c r="A44">
        <v>8</v>
      </c>
      <c r="B44">
        <v>14</v>
      </c>
      <c r="C44">
        <f ca="1">LEN(_xlfn.FORMULATEXT('XL-Test'!D14))</f>
        <v>56</v>
      </c>
      <c r="D44">
        <f ca="1">LEN(_xlfn.FORMULATEXT('XL-Test'!F14))</f>
        <v>92</v>
      </c>
      <c r="E44">
        <f ca="1">LEN(_xlfn.FORMULATEXT('XL-Test'!G14))</f>
        <v>82</v>
      </c>
      <c r="F44">
        <f ca="1">LEN(_xlfn.FORMULATEXT('XL-Test'!J14))</f>
        <v>75</v>
      </c>
      <c r="G44">
        <f ca="1">LEN(_xlfn.FORMULATEXT('XL-Test'!K14))</f>
        <v>42</v>
      </c>
      <c r="H44">
        <f ca="1">LEN(_xlfn.FORMULATEXT('XL-Test'!L14))</f>
        <v>42</v>
      </c>
      <c r="I44">
        <f ca="1">LEN(_xlfn.FORMULATEXT('XL-Test'!M14))</f>
        <v>13</v>
      </c>
      <c r="J44">
        <f ca="1">LEN(_xlfn.FORMULATEXT('XL-Test'!N14))</f>
        <v>82</v>
      </c>
      <c r="K44">
        <f ca="1">LEN(_xlfn.FORMULATEXT('XL-Test'!O14))</f>
        <v>13</v>
      </c>
    </row>
    <row r="45" spans="1:11" hidden="1">
      <c r="A45">
        <v>9</v>
      </c>
      <c r="B45">
        <v>15</v>
      </c>
      <c r="C45">
        <f ca="1">LEN(_xlfn.FORMULATEXT('XL-Test'!D15))</f>
        <v>56</v>
      </c>
      <c r="D45">
        <f ca="1">LEN(_xlfn.FORMULATEXT('XL-Test'!F15))</f>
        <v>92</v>
      </c>
      <c r="E45">
        <f ca="1">LEN(_xlfn.FORMULATEXT('XL-Test'!G15))</f>
        <v>82</v>
      </c>
      <c r="F45">
        <f ca="1">LEN(_xlfn.FORMULATEXT('XL-Test'!J15))</f>
        <v>75</v>
      </c>
      <c r="G45">
        <f ca="1">LEN(_xlfn.FORMULATEXT('XL-Test'!K15))</f>
        <v>42</v>
      </c>
      <c r="H45">
        <f ca="1">LEN(_xlfn.FORMULATEXT('XL-Test'!L15))</f>
        <v>42</v>
      </c>
      <c r="I45">
        <f ca="1">LEN(_xlfn.FORMULATEXT('XL-Test'!M15))</f>
        <v>13</v>
      </c>
      <c r="J45">
        <f ca="1">LEN(_xlfn.FORMULATEXT('XL-Test'!N15))</f>
        <v>82</v>
      </c>
      <c r="K45">
        <f ca="1">LEN(_xlfn.FORMULATEXT('XL-Test'!O15))</f>
        <v>13</v>
      </c>
    </row>
    <row r="46" spans="1:11" hidden="1">
      <c r="A46">
        <v>10</v>
      </c>
      <c r="B46">
        <v>16</v>
      </c>
      <c r="C46">
        <f ca="1">LEN(_xlfn.FORMULATEXT('XL-Test'!D16))</f>
        <v>56</v>
      </c>
      <c r="D46">
        <f ca="1">LEN(_xlfn.FORMULATEXT('XL-Test'!F16))</f>
        <v>92</v>
      </c>
      <c r="E46">
        <f ca="1">LEN(_xlfn.FORMULATEXT('XL-Test'!G16))</f>
        <v>82</v>
      </c>
      <c r="F46">
        <f ca="1">LEN(_xlfn.FORMULATEXT('XL-Test'!J16))</f>
        <v>75</v>
      </c>
      <c r="G46">
        <f ca="1">LEN(_xlfn.FORMULATEXT('XL-Test'!K16))</f>
        <v>42</v>
      </c>
      <c r="H46">
        <f ca="1">LEN(_xlfn.FORMULATEXT('XL-Test'!L16))</f>
        <v>42</v>
      </c>
      <c r="I46">
        <f ca="1">LEN(_xlfn.FORMULATEXT('XL-Test'!M16))</f>
        <v>13</v>
      </c>
      <c r="J46">
        <f ca="1">LEN(_xlfn.FORMULATEXT('XL-Test'!N16))</f>
        <v>82</v>
      </c>
      <c r="K46">
        <f ca="1">LEN(_xlfn.FORMULATEXT('XL-Test'!O16))</f>
        <v>13</v>
      </c>
    </row>
    <row r="47" spans="1:11" hidden="1">
      <c r="A47">
        <v>11</v>
      </c>
      <c r="B47">
        <v>17</v>
      </c>
      <c r="C47">
        <f ca="1">LEN(_xlfn.FORMULATEXT('XL-Test'!D17))</f>
        <v>56</v>
      </c>
      <c r="D47">
        <f ca="1">LEN(_xlfn.FORMULATEXT('XL-Test'!F17))</f>
        <v>92</v>
      </c>
      <c r="E47">
        <f ca="1">LEN(_xlfn.FORMULATEXT('XL-Test'!G17))</f>
        <v>82</v>
      </c>
      <c r="F47">
        <f ca="1">LEN(_xlfn.FORMULATEXT('XL-Test'!J17))</f>
        <v>75</v>
      </c>
      <c r="G47">
        <f ca="1">LEN(_xlfn.FORMULATEXT('XL-Test'!K17))</f>
        <v>42</v>
      </c>
      <c r="H47">
        <f ca="1">LEN(_xlfn.FORMULATEXT('XL-Test'!L17))</f>
        <v>42</v>
      </c>
      <c r="I47">
        <f ca="1">LEN(_xlfn.FORMULATEXT('XL-Test'!M17))</f>
        <v>13</v>
      </c>
      <c r="J47">
        <f ca="1">LEN(_xlfn.FORMULATEXT('XL-Test'!N17))</f>
        <v>82</v>
      </c>
      <c r="K47">
        <f ca="1">LEN(_xlfn.FORMULATEXT('XL-Test'!O17))</f>
        <v>13</v>
      </c>
    </row>
    <row r="48" spans="1:11" hidden="1">
      <c r="A48">
        <v>12</v>
      </c>
      <c r="B48">
        <v>18</v>
      </c>
      <c r="C48">
        <f ca="1">LEN(_xlfn.FORMULATEXT('XL-Test'!D18))</f>
        <v>56</v>
      </c>
      <c r="D48">
        <f ca="1">LEN(_xlfn.FORMULATEXT('XL-Test'!F18))</f>
        <v>92</v>
      </c>
      <c r="E48">
        <f ca="1">LEN(_xlfn.FORMULATEXT('XL-Test'!G18))</f>
        <v>82</v>
      </c>
      <c r="F48">
        <f ca="1">LEN(_xlfn.FORMULATEXT('XL-Test'!J18))</f>
        <v>75</v>
      </c>
      <c r="G48">
        <f ca="1">LEN(_xlfn.FORMULATEXT('XL-Test'!K18))</f>
        <v>42</v>
      </c>
      <c r="H48">
        <f ca="1">LEN(_xlfn.FORMULATEXT('XL-Test'!L18))</f>
        <v>42</v>
      </c>
      <c r="I48">
        <f ca="1">LEN(_xlfn.FORMULATEXT('XL-Test'!M18))</f>
        <v>13</v>
      </c>
      <c r="J48">
        <f ca="1">LEN(_xlfn.FORMULATEXT('XL-Test'!N18))</f>
        <v>82</v>
      </c>
      <c r="K48">
        <f ca="1">LEN(_xlfn.FORMULATEXT('XL-Test'!O18))</f>
        <v>13</v>
      </c>
    </row>
    <row r="49" spans="1:11" hidden="1"/>
    <row r="50" spans="1:11" hidden="1"/>
    <row r="51" spans="1:11" hidden="1">
      <c r="B51" t="s">
        <v>124</v>
      </c>
      <c r="C51">
        <f ca="1">AVERAGE(C37:C39)</f>
        <v>54</v>
      </c>
      <c r="D51">
        <f t="shared" ref="D51:K51" ca="1" si="8">AVERAGE(D37:D39)</f>
        <v>88</v>
      </c>
      <c r="E51">
        <f t="shared" ca="1" si="8"/>
        <v>80</v>
      </c>
      <c r="F51">
        <f t="shared" ca="1" si="8"/>
        <v>73</v>
      </c>
      <c r="G51">
        <f t="shared" ca="1" si="8"/>
        <v>40</v>
      </c>
      <c r="H51">
        <f t="shared" ca="1" si="8"/>
        <v>40</v>
      </c>
      <c r="I51">
        <f t="shared" ca="1" si="8"/>
        <v>11</v>
      </c>
      <c r="J51">
        <f t="shared" ca="1" si="8"/>
        <v>75</v>
      </c>
      <c r="K51">
        <f t="shared" ca="1" si="8"/>
        <v>11</v>
      </c>
    </row>
    <row r="52" spans="1:11" hidden="1">
      <c r="C52" t="b">
        <f ca="1">C51=C37</f>
        <v>1</v>
      </c>
      <c r="D52" t="b">
        <f t="shared" ref="D52:K52" ca="1" si="9">D51=D37</f>
        <v>1</v>
      </c>
      <c r="E52" t="b">
        <f t="shared" ca="1" si="9"/>
        <v>1</v>
      </c>
      <c r="F52" t="b">
        <f t="shared" ca="1" si="9"/>
        <v>1</v>
      </c>
      <c r="G52" t="b">
        <f t="shared" ca="1" si="9"/>
        <v>1</v>
      </c>
      <c r="H52" t="b">
        <f t="shared" ca="1" si="9"/>
        <v>1</v>
      </c>
      <c r="I52" t="b">
        <f t="shared" ca="1" si="9"/>
        <v>1</v>
      </c>
      <c r="J52" t="b">
        <f t="shared" ca="1" si="9"/>
        <v>1</v>
      </c>
      <c r="K52" t="b">
        <f t="shared" ca="1" si="9"/>
        <v>1</v>
      </c>
    </row>
    <row r="53" spans="1:11" hidden="1">
      <c r="B53" t="s">
        <v>125</v>
      </c>
      <c r="C53">
        <f ca="1">AVERAGE(C40:C48)</f>
        <v>56</v>
      </c>
      <c r="D53">
        <f t="shared" ref="D53:K53" ca="1" si="10">AVERAGE(D40:D48)</f>
        <v>92</v>
      </c>
      <c r="E53">
        <f t="shared" ca="1" si="10"/>
        <v>82</v>
      </c>
      <c r="F53">
        <f t="shared" ca="1" si="10"/>
        <v>75</v>
      </c>
      <c r="G53">
        <f t="shared" ca="1" si="10"/>
        <v>42</v>
      </c>
      <c r="H53">
        <f t="shared" ca="1" si="10"/>
        <v>42</v>
      </c>
      <c r="I53">
        <f t="shared" ca="1" si="10"/>
        <v>13</v>
      </c>
      <c r="J53">
        <f t="shared" ca="1" si="10"/>
        <v>82</v>
      </c>
      <c r="K53">
        <f t="shared" ca="1" si="10"/>
        <v>13</v>
      </c>
    </row>
    <row r="54" spans="1:11" hidden="1">
      <c r="C54" t="b">
        <f ca="1">C53=C40</f>
        <v>1</v>
      </c>
      <c r="D54" t="b">
        <f t="shared" ref="D54:K54" ca="1" si="11">D53=D40</f>
        <v>1</v>
      </c>
      <c r="E54" t="b">
        <f t="shared" ca="1" si="11"/>
        <v>1</v>
      </c>
      <c r="F54" t="b">
        <f t="shared" ca="1" si="11"/>
        <v>1</v>
      </c>
      <c r="G54" t="b">
        <f t="shared" ca="1" si="11"/>
        <v>1</v>
      </c>
      <c r="H54" t="b">
        <f t="shared" ca="1" si="11"/>
        <v>1</v>
      </c>
      <c r="I54" t="b">
        <f t="shared" ca="1" si="11"/>
        <v>1</v>
      </c>
      <c r="J54" t="b">
        <f t="shared" ca="1" si="11"/>
        <v>1</v>
      </c>
      <c r="K54" t="b">
        <f t="shared" ca="1" si="11"/>
        <v>1</v>
      </c>
    </row>
    <row r="55" spans="1:11" hidden="1">
      <c r="B55" t="s">
        <v>126</v>
      </c>
      <c r="C55" t="b">
        <f ca="1">AND(C54,C52)</f>
        <v>1</v>
      </c>
      <c r="D55" t="b">
        <f t="shared" ref="D55:K55" ca="1" si="12">AND(D54,D52)</f>
        <v>1</v>
      </c>
      <c r="E55" t="b">
        <f t="shared" ca="1" si="12"/>
        <v>1</v>
      </c>
      <c r="F55" t="b">
        <f t="shared" ca="1" si="12"/>
        <v>1</v>
      </c>
      <c r="G55" t="b">
        <f t="shared" ca="1" si="12"/>
        <v>1</v>
      </c>
      <c r="H55" t="b">
        <f t="shared" ca="1" si="12"/>
        <v>1</v>
      </c>
      <c r="I55" t="b">
        <f t="shared" ca="1" si="12"/>
        <v>1</v>
      </c>
      <c r="J55" t="b">
        <f t="shared" ca="1" si="12"/>
        <v>1</v>
      </c>
      <c r="K55" t="b">
        <f t="shared" ca="1" si="12"/>
        <v>1</v>
      </c>
    </row>
    <row r="56" spans="1:11" hidden="1"/>
    <row r="57" spans="1:11" hidden="1">
      <c r="B57" t="s">
        <v>127</v>
      </c>
      <c r="C57" t="b">
        <f ca="1">AND(C37&gt;0,C40=0,C20&gt;0)</f>
        <v>0</v>
      </c>
      <c r="D57" t="b">
        <f t="shared" ref="D57:K57" ca="1" si="13">AND(D37&gt;0,D40=0,D20&gt;0)</f>
        <v>0</v>
      </c>
      <c r="E57" t="b">
        <f t="shared" ca="1" si="13"/>
        <v>0</v>
      </c>
      <c r="F57" t="b">
        <f t="shared" ca="1" si="13"/>
        <v>0</v>
      </c>
      <c r="G57" t="b">
        <f t="shared" ca="1" si="13"/>
        <v>0</v>
      </c>
      <c r="H57" t="b">
        <f t="shared" ca="1" si="13"/>
        <v>0</v>
      </c>
      <c r="I57" t="b">
        <f t="shared" ca="1" si="13"/>
        <v>0</v>
      </c>
      <c r="J57" t="b">
        <f t="shared" ca="1" si="13"/>
        <v>0</v>
      </c>
      <c r="K57" t="b">
        <f t="shared" ca="1" si="13"/>
        <v>0</v>
      </c>
    </row>
    <row r="59" spans="1:11">
      <c r="A59" t="s">
        <v>122</v>
      </c>
      <c r="B59" t="s">
        <v>128</v>
      </c>
      <c r="C59" t="b">
        <f ca="1">IFERROR(OR(C57,C55),FALSE)</f>
        <v>1</v>
      </c>
      <c r="D59" t="b">
        <f t="shared" ref="D59:K59" ca="1" si="14">IFERROR(OR(D57,D55),FALSE)</f>
        <v>1</v>
      </c>
      <c r="E59" t="b">
        <f t="shared" ca="1" si="14"/>
        <v>1</v>
      </c>
      <c r="F59" t="b">
        <f t="shared" ca="1" si="14"/>
        <v>1</v>
      </c>
      <c r="G59" t="b">
        <f t="shared" ca="1" si="14"/>
        <v>1</v>
      </c>
      <c r="H59" t="b">
        <f t="shared" ca="1" si="14"/>
        <v>1</v>
      </c>
      <c r="I59" t="b">
        <f t="shared" ca="1" si="14"/>
        <v>1</v>
      </c>
      <c r="J59" t="b">
        <f t="shared" ca="1" si="14"/>
        <v>1</v>
      </c>
      <c r="K59" t="b">
        <f t="shared" ca="1" si="14"/>
        <v>1</v>
      </c>
    </row>
    <row r="61" spans="1:11">
      <c r="A61" t="s">
        <v>122</v>
      </c>
      <c r="B61" t="s">
        <v>129</v>
      </c>
      <c r="C61" t="b">
        <f>NOT(OR(C17=0,C17=""))</f>
        <v>1</v>
      </c>
      <c r="D61" t="b">
        <f t="shared" ref="D61:K61" si="15">NOT(OR(D17=0,D17=""))</f>
        <v>1</v>
      </c>
      <c r="E61" t="b">
        <f t="shared" si="15"/>
        <v>1</v>
      </c>
      <c r="F61" t="b">
        <f t="shared" si="15"/>
        <v>1</v>
      </c>
      <c r="G61" t="b">
        <f t="shared" si="15"/>
        <v>1</v>
      </c>
      <c r="H61" t="b">
        <f t="shared" si="15"/>
        <v>1</v>
      </c>
      <c r="I61" t="b">
        <f t="shared" si="15"/>
        <v>1</v>
      </c>
      <c r="J61" t="b">
        <f t="shared" si="15"/>
        <v>1</v>
      </c>
      <c r="K61" t="b">
        <f t="shared" si="15"/>
        <v>1</v>
      </c>
    </row>
    <row r="63" spans="1:11">
      <c r="B63" t="s">
        <v>130</v>
      </c>
      <c r="C63" t="str">
        <f ca="1">DEC2HEX(IF(AND(C61,C59,C34),C31,C32))</f>
        <v>CE1</v>
      </c>
      <c r="D63" t="str">
        <f t="shared" ref="D63:K63" ca="1" si="16">DEC2HEX(IF(AND(D61,D59,D34),D31,D32))</f>
        <v>11EF4</v>
      </c>
      <c r="E63" t="str">
        <f t="shared" ca="1" si="16"/>
        <v>117B</v>
      </c>
      <c r="F63" t="str">
        <f t="shared" ca="1" si="16"/>
        <v>E17</v>
      </c>
      <c r="G63" t="str">
        <f t="shared" ca="1" si="16"/>
        <v>29F9D</v>
      </c>
      <c r="H63" t="str">
        <f t="shared" ca="1" si="16"/>
        <v>1461A</v>
      </c>
      <c r="I63" t="str">
        <f t="shared" ca="1" si="16"/>
        <v>3E553</v>
      </c>
      <c r="J63" t="str">
        <f t="shared" ca="1" si="16"/>
        <v>16B98</v>
      </c>
      <c r="K63" t="str">
        <f t="shared" ca="1" si="16"/>
        <v>284A2F</v>
      </c>
    </row>
    <row r="65" spans="2:11">
      <c r="B65" t="b">
        <v>1</v>
      </c>
      <c r="C65" t="str">
        <f ca="1">DEC2HEX(HEX2DEC(LEFT(C63,2))+COLUMN())</f>
        <v>D1</v>
      </c>
      <c r="D65" t="str">
        <f t="shared" ref="D65:K65" ca="1" si="17">DEC2HEX(HEX2DEC(LEFT(D63,2))+COLUMN())</f>
        <v>15</v>
      </c>
      <c r="E65" t="str">
        <f t="shared" ca="1" si="17"/>
        <v>16</v>
      </c>
      <c r="F65" t="str">
        <f t="shared" ca="1" si="17"/>
        <v>E7</v>
      </c>
      <c r="G65" t="str">
        <f t="shared" ca="1" si="17"/>
        <v>30</v>
      </c>
      <c r="H65" t="str">
        <f t="shared" ca="1" si="17"/>
        <v>1C</v>
      </c>
      <c r="I65" t="str">
        <f t="shared" ca="1" si="17"/>
        <v>47</v>
      </c>
      <c r="J65" t="str">
        <f t="shared" ca="1" si="17"/>
        <v>20</v>
      </c>
      <c r="K65" t="str">
        <f t="shared" ca="1" si="17"/>
        <v>33</v>
      </c>
    </row>
    <row r="66" spans="2:11">
      <c r="B66" t="b">
        <v>0</v>
      </c>
      <c r="C66" t="str">
        <f ca="1">DEC2HEX(HEX2DEC(RIGHT(C63,2))+COLUMN())</f>
        <v>E4</v>
      </c>
      <c r="D66" t="str">
        <f t="shared" ref="D66:K66" ca="1" si="18">DEC2HEX(HEX2DEC(RIGHT(D63,2))+COLUMN())</f>
        <v>F8</v>
      </c>
      <c r="E66" t="str">
        <f t="shared" ca="1" si="18"/>
        <v>80</v>
      </c>
      <c r="F66" t="str">
        <f t="shared" ca="1" si="18"/>
        <v>1D</v>
      </c>
      <c r="G66" t="str">
        <f t="shared" ca="1" si="18"/>
        <v>A4</v>
      </c>
      <c r="H66" t="str">
        <f t="shared" ca="1" si="18"/>
        <v>22</v>
      </c>
      <c r="I66" t="str">
        <f t="shared" ca="1" si="18"/>
        <v>5C</v>
      </c>
      <c r="J66" t="str">
        <f t="shared" ca="1" si="18"/>
        <v>A2</v>
      </c>
      <c r="K66" t="str">
        <f t="shared" ca="1" si="18"/>
        <v>3A</v>
      </c>
    </row>
    <row r="69" spans="2:11">
      <c r="B69" t="s">
        <v>131</v>
      </c>
      <c r="C69" t="b">
        <f ca="1">AND(ISNUMBER(FIND("HLOOKUP",V2)),ISNUMBER(FIND("LEF",V2)))</f>
        <v>1</v>
      </c>
      <c r="D69" t="b">
        <f ca="1">OR(ISNUMBER(FIND("IF(",V3)),ISNUMBER(FIND("IFS(",V3)),ISNUMBER(FIND("SWI",V3)))</f>
        <v>1</v>
      </c>
      <c r="E69" t="b">
        <f ca="1">AND(ISNUMBER(FIND("VLOOKUP",V4)),ISNUMBER(FIND("-",V4)))</f>
        <v>1</v>
      </c>
      <c r="F69" t="b">
        <f ca="1">OR(ISNUMBER(FIND("IF(",V5)),ISNUMBER(FIND("IFS(",V5)),ISNUMBER(FIND("SWI",V5)))</f>
        <v>1</v>
      </c>
      <c r="G69" t="b">
        <f ca="1">AND(ISNUMBER(FIND("HLOOKUP",V6)),ISNUMBER(FIND("2",V6)))</f>
        <v>1</v>
      </c>
      <c r="H69" t="b">
        <f ca="1">AND(ISNUMBER(FIND("HLOOKUP",V7)),ISNUMBER(FIND("3",V7)))</f>
        <v>1</v>
      </c>
      <c r="I69" t="b">
        <f ca="1">OR(ISNUMBER(FIND("SUM",V8)),ISNUMBER(FIND("+",V8)))</f>
        <v>1</v>
      </c>
      <c r="J69" t="b">
        <f ca="1">OR(ISNUMBER(FIND("IF(",V9)),ISNUMBER(FIND("IFS(",V9)),ISNUMBER(FIND("SWI",V9)))</f>
        <v>1</v>
      </c>
      <c r="K69" t="b">
        <f ca="1">OR(ISNUMBER(FIND("SUM",V10)),ISNUMBER(FIND("+",V10)))</f>
        <v>1</v>
      </c>
    </row>
    <row r="71" spans="2:11">
      <c r="B71" t="s">
        <v>132</v>
      </c>
      <c r="C71">
        <f ca="1">LEN(V2)-LEN(SUBSTITUTE(V2,"(",""))</f>
        <v>3</v>
      </c>
      <c r="D71">
        <f t="shared" ref="D71:K71" ca="1" si="19">LEN(W2)-LEN(SUBSTITUTE(W2,"(",""))</f>
        <v>6</v>
      </c>
      <c r="E71">
        <f t="shared" ca="1" si="19"/>
        <v>4</v>
      </c>
      <c r="F71">
        <f t="shared" ca="1" si="19"/>
        <v>4</v>
      </c>
      <c r="G71">
        <f t="shared" ca="1" si="19"/>
        <v>1</v>
      </c>
      <c r="H71">
        <f t="shared" ca="1" si="19"/>
        <v>1</v>
      </c>
      <c r="I71">
        <f t="shared" ca="1" si="19"/>
        <v>1</v>
      </c>
      <c r="J71">
        <f t="shared" ca="1" si="19"/>
        <v>3</v>
      </c>
      <c r="K71">
        <f t="shared" ca="1" si="19"/>
        <v>1</v>
      </c>
    </row>
    <row r="72" spans="2:11">
      <c r="C72">
        <v>3</v>
      </c>
      <c r="D72">
        <v>9</v>
      </c>
      <c r="E72">
        <v>4</v>
      </c>
      <c r="F72">
        <v>6</v>
      </c>
      <c r="G72">
        <v>1</v>
      </c>
      <c r="H72">
        <v>1</v>
      </c>
      <c r="I72">
        <v>0</v>
      </c>
      <c r="J72">
        <v>4</v>
      </c>
      <c r="K72">
        <v>0</v>
      </c>
    </row>
    <row r="74" spans="2:11">
      <c r="B74" t="s">
        <v>133</v>
      </c>
      <c r="C74" t="b">
        <f ca="1">IFERROR(C71&lt;=C72,FALSE)</f>
        <v>1</v>
      </c>
      <c r="D74" t="b">
        <f t="shared" ref="D74:J74" ca="1" si="20">IFERROR(D71&lt;=D72,FALSE)</f>
        <v>1</v>
      </c>
      <c r="E74" t="b">
        <f t="shared" ca="1" si="20"/>
        <v>1</v>
      </c>
      <c r="F74" t="b">
        <f t="shared" ca="1" si="20"/>
        <v>1</v>
      </c>
      <c r="G74" t="b">
        <f t="shared" ca="1" si="20"/>
        <v>1</v>
      </c>
      <c r="H74" t="b">
        <f t="shared" ca="1" si="20"/>
        <v>1</v>
      </c>
      <c r="I74" t="b">
        <v>1</v>
      </c>
      <c r="J74" t="b">
        <f t="shared" ca="1" si="20"/>
        <v>1</v>
      </c>
      <c r="K74" t="b">
        <v>1</v>
      </c>
    </row>
    <row r="76" spans="2:11">
      <c r="B76" t="s">
        <v>134</v>
      </c>
      <c r="C76" t="b">
        <f ca="1">AND(C74,C69)</f>
        <v>1</v>
      </c>
      <c r="D76" t="b">
        <f t="shared" ref="D76:K76" ca="1" si="21">AND(D74,D69)</f>
        <v>1</v>
      </c>
      <c r="E76" t="b">
        <f t="shared" ca="1" si="21"/>
        <v>1</v>
      </c>
      <c r="F76" t="b">
        <f t="shared" ca="1" si="21"/>
        <v>1</v>
      </c>
      <c r="G76" t="b">
        <f t="shared" ca="1" si="21"/>
        <v>1</v>
      </c>
      <c r="H76" t="b">
        <f t="shared" ca="1" si="21"/>
        <v>1</v>
      </c>
      <c r="I76" t="b">
        <f t="shared" ca="1" si="21"/>
        <v>1</v>
      </c>
      <c r="J76" t="b">
        <f t="shared" ca="1" si="21"/>
        <v>1</v>
      </c>
      <c r="K76" t="b">
        <f t="shared" ca="1" si="21"/>
        <v>1</v>
      </c>
    </row>
    <row r="78" spans="2:11">
      <c r="B78" t="s">
        <v>135</v>
      </c>
      <c r="C78" t="str">
        <f ca="1">IF(C76,C65,C66)</f>
        <v>D1</v>
      </c>
      <c r="D78" t="str">
        <f t="shared" ref="D78:K78" ca="1" si="22">IF(D76,D65,D66)</f>
        <v>15</v>
      </c>
      <c r="E78" t="str">
        <f t="shared" ca="1" si="22"/>
        <v>16</v>
      </c>
      <c r="F78" t="str">
        <f t="shared" ca="1" si="22"/>
        <v>E7</v>
      </c>
      <c r="G78" t="str">
        <f t="shared" ca="1" si="22"/>
        <v>30</v>
      </c>
      <c r="H78" t="str">
        <f t="shared" ca="1" si="22"/>
        <v>1C</v>
      </c>
      <c r="I78" t="str">
        <f t="shared" ca="1" si="22"/>
        <v>47</v>
      </c>
      <c r="J78" t="str">
        <f t="shared" ca="1" si="22"/>
        <v>20</v>
      </c>
      <c r="K78" t="str">
        <f t="shared" ca="1" si="22"/>
        <v>33</v>
      </c>
    </row>
    <row r="80" spans="2:11">
      <c r="B80" t="s">
        <v>136</v>
      </c>
      <c r="C80" t="str">
        <f ca="1">C78&amp;"-"&amp;C63&amp;";"</f>
        <v>D1-CE1;</v>
      </c>
      <c r="D80" t="str">
        <f t="shared" ref="D80:K80" ca="1" si="23">D78&amp;"-"&amp;D63&amp;";"</f>
        <v>15-11EF4;</v>
      </c>
      <c r="E80" t="str">
        <f t="shared" ca="1" si="23"/>
        <v>16-117B;</v>
      </c>
      <c r="F80" t="str">
        <f t="shared" ca="1" si="23"/>
        <v>E7-E17;</v>
      </c>
      <c r="G80" t="str">
        <f t="shared" ca="1" si="23"/>
        <v>30-29F9D;</v>
      </c>
      <c r="H80" t="str">
        <f t="shared" ca="1" si="23"/>
        <v>1C-1461A;</v>
      </c>
      <c r="I80" t="str">
        <f t="shared" ca="1" si="23"/>
        <v>47-3E553;</v>
      </c>
      <c r="J80" t="str">
        <f t="shared" ca="1" si="23"/>
        <v>20-16B98;</v>
      </c>
      <c r="K80" t="str">
        <f ca="1">K78&amp;"-"&amp;K63</f>
        <v>33-284A2F</v>
      </c>
    </row>
    <row r="82" spans="3:3">
      <c r="C82" t="str">
        <f ca="1">C80&amp;D80&amp;E80&amp;F80&amp;G80&amp;H80&amp;I80&amp;J80&amp;K80</f>
        <v>D1-CE1;15-11EF4;16-117B;E7-E17;30-29F9D;1C-1461A;47-3E553;20-16B98;33-284A2F</v>
      </c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andi setiadi</dc:creator>
  <cp:keywords/>
  <dc:description/>
  <cp:lastModifiedBy>Siti Rukoyah Al Munazalah</cp:lastModifiedBy>
  <cp:revision/>
  <dcterms:created xsi:type="dcterms:W3CDTF">2025-06-28T16:59:57Z</dcterms:created>
  <dcterms:modified xsi:type="dcterms:W3CDTF">2026-03-19T06:56:50Z</dcterms:modified>
  <cp:category/>
  <cp:contentStatus/>
</cp:coreProperties>
</file>