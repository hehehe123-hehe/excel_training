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Portofolio Project\Excel\Easy\"/>
    </mc:Choice>
  </mc:AlternateContent>
  <xr:revisionPtr revIDLastSave="0" documentId="13_ncr:1_{E7F6292F-F15F-4C93-A434-139986DFEEA3}" xr6:coauthVersionLast="47" xr6:coauthVersionMax="47" xr10:uidLastSave="{00000000-0000-0000-0000-000000000000}"/>
  <workbookProtection workbookAlgorithmName="SHA-512" workbookHashValue="5QHGMQ3bfshBAiLLduF+vhe7v5XXADVUQJ7WNkG4mo7xw9I03NtJGy0dVcKBeqVG6U4+59AehxAEXFaq8RmUJA==" workbookSaltValue="1+Mq4jwVBFu5RBHANNN+8A==" workbookSpinCount="100000" lockStructure="1"/>
  <bookViews>
    <workbookView xWindow="-120" yWindow="-120" windowWidth="20730" windowHeight="11760" xr2:uid="{F02C9098-BCF3-424D-A062-C15333C8BAB5}"/>
  </bookViews>
  <sheets>
    <sheet name="XL-Test" sheetId="1" r:id="rId1"/>
    <sheet name="About" sheetId="4" r:id="rId2"/>
    <sheet name="DF" sheetId="2" state="veryHidden" r:id="rId3"/>
  </sheets>
  <definedNames>
    <definedName name="kode_jawaban">DF!$D$31</definedName>
    <definedName name="saya" localSheetId="2">DF!$D$35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7" i="1" l="1" a="1"/>
  <c r="I55" i="1" a="1"/>
  <c r="I53" i="1" a="1"/>
  <c r="I51" i="1" a="1"/>
  <c r="I49" i="1" a="1"/>
  <c r="I47" i="1" a="1"/>
  <c r="I45" i="1" a="1"/>
  <c r="I43" i="1" a="1"/>
  <c r="I41" i="1" a="1"/>
  <c r="I39" i="1" a="1"/>
  <c r="M11" i="2"/>
  <c r="L11" i="2"/>
  <c r="K11" i="2"/>
  <c r="J11" i="2"/>
  <c r="I11" i="2"/>
  <c r="H11" i="2"/>
  <c r="G11" i="2"/>
  <c r="F11" i="2"/>
  <c r="E11" i="2"/>
  <c r="D11" i="2"/>
  <c r="M10" i="2"/>
  <c r="L10" i="2"/>
  <c r="K10" i="2"/>
  <c r="J10" i="2"/>
  <c r="I10" i="2"/>
  <c r="H10" i="2"/>
  <c r="G10" i="2"/>
  <c r="F10" i="2"/>
  <c r="E10" i="2"/>
  <c r="D10" i="2"/>
  <c r="M2" i="2"/>
  <c r="L2" i="2"/>
  <c r="L22" i="2" s="1"/>
  <c r="L25" i="2" s="1"/>
  <c r="K2" i="2"/>
  <c r="K22" i="2" s="1"/>
  <c r="K25" i="2" s="1"/>
  <c r="J2" i="2"/>
  <c r="J22" i="2" s="1"/>
  <c r="J25" i="2" s="1"/>
  <c r="I2" i="2"/>
  <c r="H2" i="2"/>
  <c r="G2" i="2"/>
  <c r="G22" i="2" s="1"/>
  <c r="G25" i="2" s="1"/>
  <c r="F2" i="2"/>
  <c r="E2" i="2"/>
  <c r="E22" i="2" s="1"/>
  <c r="E25" i="2" s="1"/>
  <c r="D2" i="2"/>
  <c r="I57" i="1" l="1"/>
  <c r="M4" i="2" s="1"/>
  <c r="I55" i="1"/>
  <c r="L4" i="2" s="1"/>
  <c r="I53" i="1"/>
  <c r="I51" i="1"/>
  <c r="J4" i="2"/>
  <c r="I49" i="1"/>
  <c r="I4" i="2" s="1"/>
  <c r="I47" i="1"/>
  <c r="H4" i="2" s="1"/>
  <c r="I45" i="1"/>
  <c r="G4" i="2" s="1"/>
  <c r="I43" i="1"/>
  <c r="F4" i="2" s="1"/>
  <c r="I41" i="1"/>
  <c r="E4" i="2" s="1"/>
  <c r="I39" i="1"/>
  <c r="D4" i="2" s="1"/>
  <c r="D6" i="2"/>
  <c r="D13" i="2"/>
  <c r="M6" i="2"/>
  <c r="M13" i="2"/>
  <c r="L6" i="2"/>
  <c r="L13" i="2"/>
  <c r="J6" i="2"/>
  <c r="J13" i="2"/>
  <c r="I6" i="2"/>
  <c r="I13" i="2"/>
  <c r="H6" i="2"/>
  <c r="H13" i="2"/>
  <c r="G6" i="2"/>
  <c r="G13" i="2"/>
  <c r="F6" i="2"/>
  <c r="F13" i="2"/>
  <c r="E6" i="2"/>
  <c r="E13" i="2"/>
  <c r="M22" i="2"/>
  <c r="M25" i="2" s="1"/>
  <c r="I22" i="2"/>
  <c r="I25" i="2" s="1"/>
  <c r="H22" i="2"/>
  <c r="H25" i="2" s="1"/>
  <c r="F22" i="2"/>
  <c r="F25" i="2" s="1"/>
  <c r="D22" i="2"/>
  <c r="D25" i="2" s="1"/>
  <c r="E15" i="2"/>
  <c r="L20" i="2"/>
  <c r="L27" i="2" s="1"/>
  <c r="K20" i="2"/>
  <c r="K27" i="2" s="1"/>
  <c r="J20" i="2"/>
  <c r="J27" i="2" s="1"/>
  <c r="G20" i="2"/>
  <c r="G27" i="2" s="1"/>
  <c r="M15" i="2"/>
  <c r="M20" i="2"/>
  <c r="L15" i="2"/>
  <c r="K15" i="2"/>
  <c r="J15" i="2"/>
  <c r="I15" i="2"/>
  <c r="I20" i="2"/>
  <c r="H15" i="2"/>
  <c r="H20" i="2"/>
  <c r="G15" i="2"/>
  <c r="F15" i="2"/>
  <c r="F20" i="2"/>
  <c r="E20" i="2"/>
  <c r="E27" i="2" s="1"/>
  <c r="D15" i="2"/>
  <c r="D20" i="2"/>
  <c r="M14" i="2"/>
  <c r="L14" i="2"/>
  <c r="K14" i="2"/>
  <c r="J14" i="2"/>
  <c r="I14" i="2"/>
  <c r="H14" i="2"/>
  <c r="G14" i="2"/>
  <c r="F14" i="2"/>
  <c r="E14" i="2"/>
  <c r="D14" i="2"/>
  <c r="D17" i="2" l="1"/>
  <c r="D18" i="2" s="1"/>
  <c r="F17" i="2"/>
  <c r="F18" i="2" s="1"/>
  <c r="M17" i="2"/>
  <c r="M18" i="2" s="1"/>
  <c r="L17" i="2"/>
  <c r="L18" i="2" s="1"/>
  <c r="L29" i="2" s="1"/>
  <c r="J17" i="2"/>
  <c r="J18" i="2" s="1"/>
  <c r="J29" i="2" s="1"/>
  <c r="I17" i="2"/>
  <c r="I18" i="2" s="1"/>
  <c r="H17" i="2"/>
  <c r="H18" i="2" s="1"/>
  <c r="G17" i="2"/>
  <c r="G18" i="2" s="1"/>
  <c r="G29" i="2" s="1"/>
  <c r="E17" i="2"/>
  <c r="E18" i="2" s="1"/>
  <c r="E29" i="2" s="1"/>
  <c r="H27" i="2"/>
  <c r="F27" i="2"/>
  <c r="M27" i="2"/>
  <c r="I27" i="2"/>
  <c r="D27" i="2"/>
  <c r="M29" i="2" l="1"/>
  <c r="H29" i="2"/>
  <c r="F29" i="2"/>
  <c r="I29" i="2"/>
  <c r="D29" i="2"/>
  <c r="K4" i="2" l="1"/>
  <c r="K13" i="2" l="1"/>
  <c r="K17" i="2" s="1"/>
  <c r="K6" i="2"/>
  <c r="K18" i="2" l="1"/>
  <c r="K29" i="2" l="1"/>
  <c r="D35" i="2" s="1"/>
  <c r="D31" i="2" s="1" a="1"/>
  <c r="D31" i="2" s="1"/>
  <c r="E1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<sst xmlns="http://schemas.openxmlformats.org/spreadsheetml/2006/main" count="93" uniqueCount="90">
  <si>
    <t>Produk</t>
  </si>
  <si>
    <t>Harga per Unit (Rp)</t>
  </si>
  <si>
    <t>Biaya Modal (Rp)</t>
  </si>
  <si>
    <t>Diskon (%)</t>
  </si>
  <si>
    <t>Unit Terjual</t>
  </si>
  <si>
    <t>Target Penjualan</t>
  </si>
  <si>
    <t>Laptop ASUS VivoBook</t>
  </si>
  <si>
    <t>Smartphone Samsung Galaxy</t>
  </si>
  <si>
    <t>Headphone Sony WH-1000XM4</t>
  </si>
  <si>
    <t>Smartwatch Apple Watch SE</t>
  </si>
  <si>
    <t>Kamera Canon EOS 200D</t>
  </si>
  <si>
    <t>Printer Epson L3150</t>
  </si>
  <si>
    <t>Router WiFi TP-Link</t>
  </si>
  <si>
    <t>Monitor LG 27 Inch</t>
  </si>
  <si>
    <t>Keyboard Mechanical Logitech</t>
  </si>
  <si>
    <t>Mouse Gaming Razer</t>
  </si>
  <si>
    <t>Hard Disk External Seagate 2TB</t>
  </si>
  <si>
    <t>SSD Samsung 1TB</t>
  </si>
  <si>
    <t>Flashdisk Kingston 64GB</t>
  </si>
  <si>
    <t>Speaker Bluetooth JBL</t>
  </si>
  <si>
    <t>TV LED Samsung 43 Inch</t>
  </si>
  <si>
    <t>Tablet iPad 10.2 Inch</t>
  </si>
  <si>
    <t>Kamera GoPro HERO9</t>
  </si>
  <si>
    <t>Projector Epson EB-X41</t>
  </si>
  <si>
    <t>Data Penjualan Bulan Agustus 2025</t>
  </si>
  <si>
    <t>Hitung Berapa Total Pendapatan Bersih (Net Revenue) dibulan Agustus 2025 ?</t>
  </si>
  <si>
    <t>Hitung Berapa Total Profit Perusahaan dibulan Agustus 2025 ?</t>
  </si>
  <si>
    <t>Hitung Berapa Rata-Rata Persentase Pencapaian Target Penjualan dibulan Agustus 2025 ?</t>
  </si>
  <si>
    <t>Hitung Berapa Total  Unit Yang Tidak Mencapai Target (Tidak Terjual) dibulan Agustus 2025 ?</t>
  </si>
  <si>
    <t>Hitung Berapa Total Modal dari Total Unit Yang Tidak Mencapai Target (Tidak Terjual) dibulan Agustus 2025 ?</t>
  </si>
  <si>
    <t>Hitung Berapa Profit Tertinggi Yang didapatkan Oleh Satu Produk dibulan Agustus 2025 ?</t>
  </si>
  <si>
    <t>Produk Apa yang Menghasilkan Profit Tertinggi di Agustus 2025 ?</t>
  </si>
  <si>
    <t>Produk Apa yang Menghasilkan Profit Terkecil di Agustus 2025 ?</t>
  </si>
  <si>
    <t>Jika Semua Diskon dikurangi 3%, Berapa Total Pendapatan (Net Revenue) dibulan Agustus 2025 (Analisa Baru) ?</t>
  </si>
  <si>
    <t>Jawaban Pertanyaan dibawah ini dengan menggunakan Rumus Excel!</t>
  </si>
  <si>
    <t>KODE SOAL</t>
  </si>
  <si>
    <t>KODE JAWABAN</t>
  </si>
  <si>
    <t>Hitung Berapa Banyak Produk Yang Tidak Mencapai Target dibulan Agustus 2025 ?</t>
  </si>
  <si>
    <t>SBEM010</t>
  </si>
  <si>
    <r>
      <rPr>
        <b/>
        <sz val="11"/>
        <color rgb="FF0070C0"/>
        <rFont val="Aptos Narrow"/>
        <family val="2"/>
        <scheme val="minor"/>
      </rPr>
      <t>Net Revenue</t>
    </r>
    <r>
      <rPr>
        <sz val="11"/>
        <color theme="1"/>
        <rFont val="Aptos Narrow"/>
        <family val="2"/>
        <scheme val="minor"/>
      </rPr>
      <t xml:space="preserve"> adalah Pendapatan Total Penjualan dikurangi diskon</t>
    </r>
  </si>
  <si>
    <r>
      <rPr>
        <b/>
        <sz val="11"/>
        <color rgb="FF0070C0"/>
        <rFont val="Aptos Narrow"/>
        <family val="2"/>
        <scheme val="minor"/>
      </rPr>
      <t>Profit</t>
    </r>
    <r>
      <rPr>
        <sz val="11"/>
        <color theme="1"/>
        <rFont val="Aptos Narrow"/>
        <family val="2"/>
        <scheme val="minor"/>
      </rPr>
      <t xml:space="preserve"> adalah Pendapatan Bersih Total Penjualan dikurangi Modal</t>
    </r>
  </si>
  <si>
    <t>Bantuan!</t>
  </si>
  <si>
    <t>DEF</t>
  </si>
  <si>
    <t>Formula</t>
  </si>
  <si>
    <t>Nilai</t>
  </si>
  <si>
    <t>rand</t>
  </si>
  <si>
    <t>Manual</t>
  </si>
  <si>
    <t>cek kolom</t>
  </si>
  <si>
    <t>Cek Formula</t>
  </si>
  <si>
    <t>XL-TEST adalah platform inovatif yang menyediakan latihan Excel interaktif dengan pemeriksaan otomatis,</t>
  </si>
  <si>
    <t>sehingga pengguna dapat langsung mengetahui jawaban yang benar maupun salah.</t>
  </si>
  <si>
    <t>Terdapat 5 Level soal :</t>
  </si>
  <si>
    <t xml:space="preserve">Easy Level  </t>
  </si>
  <si>
    <t>(⭐)</t>
  </si>
  <si>
    <t xml:space="preserve">Medium Level        </t>
  </si>
  <si>
    <t>(⭐⭐)</t>
  </si>
  <si>
    <t xml:space="preserve">Hard Level </t>
  </si>
  <si>
    <t>(⭐⭐⭐)</t>
  </si>
  <si>
    <t xml:space="preserve">Extreme Level </t>
  </si>
  <si>
    <t>(⭐⭐⭐⭐)</t>
  </si>
  <si>
    <t xml:space="preserve">Championship Level </t>
  </si>
  <si>
    <t>(⭐⭐⭐⭐⭐)</t>
  </si>
  <si>
    <t>Free Access</t>
  </si>
  <si>
    <t>https://belajarexcel.id/xl-test/</t>
  </si>
  <si>
    <t>**</t>
  </si>
  <si>
    <t>Cekksoong</t>
  </si>
  <si>
    <t>MJ2</t>
  </si>
  <si>
    <t>No</t>
  </si>
  <si>
    <t>Intruksi</t>
  </si>
  <si>
    <r>
      <rPr>
        <b/>
        <i/>
        <sz val="11"/>
        <color rgb="FF0070C0"/>
        <rFont val="Aptos Narrow"/>
        <family val="2"/>
        <scheme val="minor"/>
      </rPr>
      <t>Sudah selesai mengerjakan?</t>
    </r>
    <r>
      <rPr>
        <i/>
        <sz val="11"/>
        <color rgb="FF0070C0"/>
        <rFont val="Aptos Narrow"/>
        <family val="2"/>
        <scheme val="minor"/>
      </rPr>
      <t xml:space="preserve"> kirim </t>
    </r>
    <r>
      <rPr>
        <b/>
        <i/>
        <sz val="11"/>
        <color rgb="FF0070C0"/>
        <rFont val="Aptos Narrow"/>
        <family val="2"/>
        <scheme val="minor"/>
      </rPr>
      <t>Kode Soal</t>
    </r>
    <r>
      <rPr>
        <i/>
        <sz val="11"/>
        <color rgb="FF0070C0"/>
        <rFont val="Aptos Narrow"/>
        <family val="2"/>
        <scheme val="minor"/>
      </rPr>
      <t xml:space="preserve"> dan </t>
    </r>
    <r>
      <rPr>
        <b/>
        <i/>
        <sz val="11"/>
        <color rgb="FF0070C0"/>
        <rFont val="Aptos Narrow"/>
        <family val="2"/>
        <scheme val="minor"/>
      </rPr>
      <t>Kode Jawaban</t>
    </r>
    <r>
      <rPr>
        <i/>
        <sz val="11"/>
        <color rgb="FF0070C0"/>
        <rFont val="Aptos Narrow"/>
        <family val="2"/>
        <scheme val="minor"/>
      </rPr>
      <t xml:space="preserve"> diatas ke alamat :  </t>
    </r>
    <r>
      <rPr>
        <b/>
        <i/>
        <sz val="11"/>
        <color rgb="FF0070C0"/>
        <rFont val="Aptos Narrow"/>
        <family val="2"/>
        <scheme val="minor"/>
      </rPr>
      <t>https://belajarexcel.id/xl-test/jawaban</t>
    </r>
    <r>
      <rPr>
        <i/>
        <sz val="11"/>
        <color rgb="FF0070C0"/>
        <rFont val="Aptos Narrow"/>
        <family val="2"/>
        <scheme val="minor"/>
      </rPr>
      <t xml:space="preserve">  untuk mengecek hasilnya</t>
    </r>
  </si>
  <si>
    <t>atau klik tombol disamping</t>
  </si>
  <si>
    <t>Soal  :</t>
  </si>
  <si>
    <r>
      <t>Gunakan Fungsi Excel (</t>
    </r>
    <r>
      <rPr>
        <i/>
        <sz val="11"/>
        <color rgb="FF0070C0"/>
        <rFont val="Aptos Narrow"/>
        <family val="2"/>
        <scheme val="minor"/>
      </rPr>
      <t>Function</t>
    </r>
    <r>
      <rPr>
        <i/>
        <sz val="11"/>
        <color theme="0" tint="-0.34998626667073579"/>
        <rFont val="Aptos Narrow"/>
        <family val="2"/>
        <scheme val="minor"/>
      </rPr>
      <t>) untuk menyelsaikan kasus dibawah ini, tidak disarankan menggunakan cara manual</t>
    </r>
  </si>
  <si>
    <t>Selesaikan kasus tanpa menggunakan kolom bantuan, mengubah Table atau Menambah Table Baru!!, Gunakan Table seperti yang sudah di sediakan soal!!</t>
  </si>
  <si>
    <r>
      <rPr>
        <b/>
        <sz val="12"/>
        <color rgb="FF00B050"/>
        <rFont val="Aptos Narrow"/>
        <family val="2"/>
        <scheme val="minor"/>
      </rPr>
      <t>Medium Level</t>
    </r>
    <r>
      <rPr>
        <b/>
        <sz val="12"/>
        <color theme="1"/>
        <rFont val="Aptos Narrow"/>
        <family val="2"/>
        <scheme val="minor"/>
      </rPr>
      <t xml:space="preserve"> - Latihan Soal Excel menghitung Revenue dan Profit</t>
    </r>
  </si>
  <si>
    <t>sa</t>
  </si>
  <si>
    <t>ya</t>
  </si>
  <si>
    <t>ook</t>
  </si>
  <si>
    <t>Samsung  A56</t>
  </si>
  <si>
    <t>usahakan jawaban mengambil referensi dari table langsung</t>
  </si>
  <si>
    <t>Saya adalah seorang Excel Holic yang percaya bahwa setiap angka memiliki cerita yang bisa ditemukan dengan cara yang tepat.</t>
  </si>
  <si>
    <t>“Excel bukan cuma soal kerjaan tapi juga hobi yang aku nikmati.”</t>
  </si>
  <si>
    <t>Contact :</t>
  </si>
  <si>
    <t>🌐 Web</t>
  </si>
  <si>
    <t>https://setiadi.me</t>
  </si>
  <si>
    <t>🪡threads</t>
  </si>
  <si>
    <t>https://www.threads.com/@andisetiadi</t>
  </si>
  <si>
    <t>Perlu Video Penjelasan atau Kunci Jawaban ?</t>
  </si>
  <si>
    <t>Scan barcode atau kunjungi</t>
  </si>
  <si>
    <t>https://lynk.id/setiadi/page/jawaban-xl-test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</si>
</sst>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p-421]* #,##0_-;\-[$Rp-421]* #,##0_-;_-[$Rp-421]* &quot;-&quot;_-;_-@_-"/>
    <numFmt numFmtId="165" formatCode="#,##0;\(#,##0\);\-"/>
  </numFmts>
  <fonts count="3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5" tint="-0.249977111117893"/>
      <name val="Aptos Narrow"/>
      <family val="2"/>
      <scheme val="minor"/>
    </font>
    <font>
      <i/>
      <sz val="11"/>
      <color rgb="FF0070C0"/>
      <name val="Aptos Narrow"/>
      <family val="2"/>
      <scheme val="minor"/>
    </font>
    <font>
      <i/>
      <sz val="11"/>
      <color theme="1"/>
      <name val="Calibri"/>
      <family val="2"/>
    </font>
    <font>
      <b/>
      <sz val="11"/>
      <color rgb="FF0070C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i/>
      <sz val="11"/>
      <color rgb="FF0070C0"/>
      <name val="Aptos Narrow"/>
      <family val="2"/>
      <scheme val="minor"/>
    </font>
    <font>
      <b/>
      <sz val="12"/>
      <color theme="0"/>
      <name val="ROBOTECH GP"/>
      <family val="2"/>
    </font>
    <font>
      <b/>
      <sz val="14"/>
      <color theme="0"/>
      <name val="Roboto"/>
    </font>
    <font>
      <b/>
      <sz val="18"/>
      <color theme="0"/>
      <name val="Roboto"/>
    </font>
    <font>
      <b/>
      <sz val="18"/>
      <color theme="0"/>
      <name val="ROBOTECH GP"/>
      <family val="2"/>
    </font>
    <font>
      <b/>
      <sz val="10"/>
      <color rgb="FF00B050"/>
      <name val="Aptos Narrow"/>
      <family val="2"/>
      <scheme val="minor"/>
    </font>
    <font>
      <b/>
      <sz val="10"/>
      <color rgb="FF0070C0"/>
      <name val="Aptos Narrow"/>
      <family val="2"/>
      <scheme val="minor"/>
    </font>
    <font>
      <b/>
      <sz val="12"/>
      <color theme="0"/>
      <name val="Roboto"/>
    </font>
    <font>
      <i/>
      <sz val="11"/>
      <color theme="0" tint="-0.34998626667073579"/>
      <name val="Aptos Narrow"/>
      <family val="2"/>
      <scheme val="minor"/>
    </font>
    <font>
      <b/>
      <sz val="12"/>
      <color rgb="FF00B050"/>
      <name val="Aptos Narrow"/>
      <family val="2"/>
      <scheme val="minor"/>
    </font>
    <font>
      <b/>
      <sz val="11"/>
      <color theme="0"/>
      <name val="ROBOTECH GP"/>
      <family val="2"/>
    </font>
    <font>
      <sz val="10"/>
      <color theme="0"/>
      <name val="Aptos Narrow"/>
      <family val="2"/>
      <scheme val="minor"/>
    </font>
    <font>
      <u/>
      <sz val="11"/>
      <color theme="0"/>
      <name val="Aptos Narrow"/>
      <family val="2"/>
      <scheme val="minor"/>
    </font>
    <font>
      <sz val="10"/>
      <color rgb="FF3D3D4E"/>
      <name val="Arial"/>
      <family val="2"/>
    </font>
    <font>
      <b/>
      <sz val="10"/>
      <color rgb="FF1D1F45"/>
      <name val="Arial"/>
      <family val="2"/>
    </font>
    <font>
      <sz val="10"/>
      <color rgb="FF1D1F45"/>
      <name val="Arial"/>
      <family val="2"/>
    </font>
    <font>
      <sz val="11"/>
      <color theme="4" tint="0.39997558519241921"/>
      <name val="Aptos Narrow"/>
      <family val="2"/>
      <scheme val="minor"/>
    </font>
    <font>
      <i/>
      <sz val="11"/>
      <color theme="1" tint="0.34998626667073579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sz val="10"/>
      <color rgb="FF0070C0"/>
      <name val="Aptos Narrow"/>
      <family val="2"/>
      <scheme val="minor"/>
    </font>
    <font>
      <sz val="9"/>
      <color rgb="FF0070C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49992370372631"/>
        <bgColor indexed="64"/>
      </patternFill>
    </fill>
    <fill>
      <gradientFill>
        <stop position="0">
          <color rgb="FF0A9085"/>
        </stop>
        <stop position="1">
          <color rgb="FF020024"/>
        </stop>
      </gradientFill>
    </fill>
    <fill>
      <patternFill patternType="solid">
        <fgColor rgb="FF0A9085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theme="4" tint="0.3999450666829432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medium">
        <color rgb="FF0070C0"/>
      </right>
      <top/>
      <bottom/>
      <diagonal/>
    </border>
    <border>
      <left style="medium">
        <color rgb="FF0070C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77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left" vertical="center" wrapText="1" indent="1"/>
    </xf>
    <xf numFmtId="9" fontId="0" fillId="3" borderId="0" xfId="1" applyFont="1" applyFill="1" applyAlignment="1">
      <alignment horizontal="right" vertical="center" wrapText="1" indent="1"/>
    </xf>
    <xf numFmtId="0" fontId="0" fillId="3" borderId="0" xfId="0" applyFill="1" applyAlignment="1">
      <alignment horizontal="right" vertical="center" wrapText="1" indent="1"/>
    </xf>
    <xf numFmtId="164" fontId="0" fillId="3" borderId="0" xfId="0" applyNumberFormat="1" applyFill="1" applyAlignment="1">
      <alignment horizontal="right" vertical="center" wrapText="1" indent="1"/>
    </xf>
    <xf numFmtId="0" fontId="2" fillId="4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right" vertical="center" wrapText="1" indent="1"/>
    </xf>
    <xf numFmtId="164" fontId="0" fillId="0" borderId="0" xfId="0" applyNumberFormat="1"/>
    <xf numFmtId="0" fontId="0" fillId="7" borderId="0" xfId="0" applyFill="1"/>
    <xf numFmtId="0" fontId="7" fillId="0" borderId="0" xfId="0" applyFont="1"/>
    <xf numFmtId="0" fontId="6" fillId="0" borderId="0" xfId="0" applyFont="1" applyAlignment="1">
      <alignment horizontal="left" indent="1"/>
    </xf>
    <xf numFmtId="0" fontId="7" fillId="0" borderId="0" xfId="0" applyFont="1" applyAlignment="1">
      <alignment horizontal="left" indent="1"/>
    </xf>
    <xf numFmtId="0" fontId="3" fillId="7" borderId="0" xfId="0" applyFont="1" applyFill="1" applyAlignment="1">
      <alignment horizontal="left" vertical="center" indent="2"/>
    </xf>
    <xf numFmtId="10" fontId="0" fillId="0" borderId="0" xfId="0" applyNumberFormat="1"/>
    <xf numFmtId="164" fontId="3" fillId="3" borderId="1" xfId="0" applyNumberFormat="1" applyFont="1" applyFill="1" applyBorder="1" applyAlignment="1" applyProtection="1">
      <alignment horizontal="right" vertical="center" wrapText="1" indent="1"/>
      <protection locked="0"/>
    </xf>
    <xf numFmtId="0" fontId="3" fillId="3" borderId="1" xfId="1" applyNumberFormat="1" applyFont="1" applyFill="1" applyBorder="1" applyProtection="1">
      <protection locked="0"/>
    </xf>
    <xf numFmtId="10" fontId="3" fillId="3" borderId="1" xfId="1" applyNumberFormat="1" applyFont="1" applyFill="1" applyBorder="1" applyProtection="1">
      <protection locked="0"/>
    </xf>
    <xf numFmtId="0" fontId="3" fillId="3" borderId="1" xfId="0" applyFont="1" applyFill="1" applyBorder="1" applyAlignment="1" applyProtection="1">
      <alignment horizontal="right" vertical="center" wrapText="1" indent="1"/>
      <protection locked="0"/>
    </xf>
    <xf numFmtId="0" fontId="3" fillId="3" borderId="1" xfId="0" applyFont="1" applyFill="1" applyBorder="1" applyAlignment="1" applyProtection="1">
      <alignment horizontal="right"/>
      <protection locked="0"/>
    </xf>
    <xf numFmtId="0" fontId="13" fillId="8" borderId="0" xfId="0" applyFont="1" applyFill="1" applyAlignment="1">
      <alignment vertical="center"/>
    </xf>
    <xf numFmtId="0" fontId="8" fillId="0" borderId="0" xfId="4"/>
    <xf numFmtId="0" fontId="1" fillId="0" borderId="2" xfId="2" applyBorder="1"/>
    <xf numFmtId="0" fontId="1" fillId="0" borderId="0" xfId="2"/>
    <xf numFmtId="165" fontId="14" fillId="9" borderId="0" xfId="0" applyNumberFormat="1" applyFont="1" applyFill="1" applyAlignment="1">
      <alignment horizontal="center" vertical="center"/>
    </xf>
    <xf numFmtId="165" fontId="14" fillId="9" borderId="6" xfId="0" applyNumberFormat="1" applyFont="1" applyFill="1" applyBorder="1" applyAlignment="1">
      <alignment horizontal="left" vertical="center"/>
    </xf>
    <xf numFmtId="165" fontId="15" fillId="9" borderId="0" xfId="0" applyNumberFormat="1" applyFont="1" applyFill="1" applyAlignment="1">
      <alignment horizontal="left" vertical="center"/>
    </xf>
    <xf numFmtId="0" fontId="11" fillId="10" borderId="8" xfId="0" applyFont="1" applyFill="1" applyBorder="1" applyAlignment="1">
      <alignment vertical="top" wrapText="1"/>
    </xf>
    <xf numFmtId="0" fontId="11" fillId="10" borderId="9" xfId="0" applyFont="1" applyFill="1" applyBorder="1" applyAlignment="1">
      <alignment vertical="top" wrapText="1"/>
    </xf>
    <xf numFmtId="0" fontId="10" fillId="10" borderId="0" xfId="0" applyFont="1" applyFill="1" applyAlignment="1">
      <alignment vertical="top"/>
    </xf>
    <xf numFmtId="0" fontId="11" fillId="10" borderId="10" xfId="0" applyFont="1" applyFill="1" applyBorder="1" applyAlignment="1">
      <alignment vertical="top" wrapText="1"/>
    </xf>
    <xf numFmtId="0" fontId="0" fillId="10" borderId="0" xfId="0" applyFill="1"/>
    <xf numFmtId="0" fontId="0" fillId="10" borderId="11" xfId="0" applyFill="1" applyBorder="1"/>
    <xf numFmtId="0" fontId="11" fillId="10" borderId="11" xfId="0" applyFont="1" applyFill="1" applyBorder="1" applyAlignment="1">
      <alignment vertical="top" wrapText="1"/>
    </xf>
    <xf numFmtId="0" fontId="17" fillId="10" borderId="0" xfId="0" applyFont="1" applyFill="1" applyAlignment="1">
      <alignment horizontal="right"/>
    </xf>
    <xf numFmtId="165" fontId="19" fillId="9" borderId="13" xfId="0" applyNumberFormat="1" applyFont="1" applyFill="1" applyBorder="1" applyAlignment="1">
      <alignment horizontal="center" vertical="center"/>
    </xf>
    <xf numFmtId="0" fontId="20" fillId="10" borderId="0" xfId="0" applyFont="1" applyFill="1"/>
    <xf numFmtId="0" fontId="0" fillId="9" borderId="0" xfId="0" applyFill="1"/>
    <xf numFmtId="0" fontId="18" fillId="9" borderId="0" xfId="0" applyFont="1" applyFill="1"/>
    <xf numFmtId="0" fontId="9" fillId="9" borderId="0" xfId="0" applyFont="1" applyFill="1"/>
    <xf numFmtId="0" fontId="23" fillId="9" borderId="0" xfId="0" applyFont="1" applyFill="1"/>
    <xf numFmtId="0" fontId="24" fillId="9" borderId="0" xfId="4" applyFont="1" applyFill="1"/>
    <xf numFmtId="0" fontId="1" fillId="0" borderId="14" xfId="2" applyBorder="1"/>
    <xf numFmtId="0" fontId="1" fillId="0" borderId="15" xfId="2" applyBorder="1"/>
    <xf numFmtId="0" fontId="25" fillId="0" borderId="14" xfId="0" applyFont="1" applyBorder="1" applyAlignment="1">
      <alignment horizontal="left" vertical="top" wrapText="1"/>
    </xf>
    <xf numFmtId="0" fontId="27" fillId="0" borderId="14" xfId="0" applyFont="1" applyBorder="1" applyAlignment="1">
      <alignment horizontal="left" vertical="top" wrapText="1"/>
    </xf>
    <xf numFmtId="0" fontId="8" fillId="0" borderId="2" xfId="3" applyBorder="1" applyAlignment="1">
      <alignment vertical="top"/>
    </xf>
    <xf numFmtId="0" fontId="3" fillId="0" borderId="0" xfId="2" applyFont="1"/>
    <xf numFmtId="0" fontId="28" fillId="0" borderId="0" xfId="2" applyFont="1"/>
    <xf numFmtId="0" fontId="28" fillId="0" borderId="0" xfId="2" quotePrefix="1" applyFont="1"/>
    <xf numFmtId="0" fontId="13" fillId="8" borderId="0" xfId="0" applyFont="1" applyFill="1" applyAlignment="1">
      <alignment horizontal="center" vertical="center"/>
    </xf>
    <xf numFmtId="0" fontId="11" fillId="10" borderId="17" xfId="0" applyFont="1" applyFill="1" applyBorder="1" applyAlignment="1">
      <alignment vertical="top" wrapText="1"/>
    </xf>
    <xf numFmtId="0" fontId="0" fillId="10" borderId="8" xfId="0" applyFill="1" applyBorder="1"/>
    <xf numFmtId="0" fontId="0" fillId="10" borderId="7" xfId="0" applyFill="1" applyBorder="1"/>
    <xf numFmtId="0" fontId="5" fillId="10" borderId="0" xfId="0" applyFont="1" applyFill="1"/>
    <xf numFmtId="0" fontId="11" fillId="10" borderId="0" xfId="0" applyFont="1" applyFill="1" applyAlignment="1">
      <alignment vertical="top" wrapText="1"/>
    </xf>
    <xf numFmtId="0" fontId="16" fillId="10" borderId="18" xfId="0" applyFont="1" applyFill="1" applyBorder="1" applyAlignment="1">
      <alignment horizontal="center" vertical="center"/>
    </xf>
    <xf numFmtId="0" fontId="16" fillId="10" borderId="11" xfId="0" applyFont="1" applyFill="1" applyBorder="1" applyAlignment="1">
      <alignment horizontal="center" vertical="center"/>
    </xf>
    <xf numFmtId="0" fontId="16" fillId="10" borderId="12" xfId="0" applyFont="1" applyFill="1" applyBorder="1" applyAlignment="1">
      <alignment horizontal="center" vertical="center"/>
    </xf>
    <xf numFmtId="0" fontId="11" fillId="10" borderId="7" xfId="0" applyFont="1" applyFill="1" applyBorder="1" applyAlignment="1">
      <alignment vertical="top" wrapText="1"/>
    </xf>
    <xf numFmtId="0" fontId="10" fillId="10" borderId="0" xfId="0" applyFont="1" applyFill="1" applyAlignment="1">
      <alignment horizontal="left" vertical="top"/>
    </xf>
    <xf numFmtId="0" fontId="29" fillId="10" borderId="0" xfId="0" applyFont="1" applyFill="1"/>
    <xf numFmtId="0" fontId="30" fillId="0" borderId="2" xfId="2" applyFont="1" applyBorder="1"/>
    <xf numFmtId="0" fontId="32" fillId="0" borderId="2" xfId="2" applyFont="1" applyBorder="1" applyAlignment="1">
      <alignment horizontal="left"/>
    </xf>
    <xf numFmtId="0" fontId="32" fillId="0" borderId="2" xfId="2" applyFont="1" applyBorder="1"/>
    <xf numFmtId="0" fontId="16" fillId="8" borderId="4" xfId="0" applyFont="1" applyFill="1" applyBorder="1" applyAlignment="1">
      <alignment horizontal="center" vertical="center"/>
    </xf>
    <xf numFmtId="0" fontId="16" fillId="8" borderId="5" xfId="0" applyFont="1" applyFill="1" applyBorder="1" applyAlignment="1">
      <alignment horizontal="center" vertical="center"/>
    </xf>
    <xf numFmtId="0" fontId="16" fillId="8" borderId="3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22" fillId="8" borderId="0" xfId="0" applyFont="1" applyFill="1" applyAlignment="1">
      <alignment horizontal="center" vertical="center"/>
    </xf>
    <xf numFmtId="0" fontId="25" fillId="0" borderId="0" xfId="0" applyFont="1" applyAlignment="1">
      <alignment horizontal="left" vertical="top" wrapText="1"/>
    </xf>
    <xf numFmtId="0" fontId="25" fillId="0" borderId="16" xfId="0" applyFont="1" applyBorder="1" applyAlignment="1">
      <alignment horizontal="left" vertical="top" wrapText="1"/>
    </xf>
    <xf numFmtId="0" fontId="26" fillId="0" borderId="0" xfId="0" applyFont="1" applyAlignment="1">
      <alignment horizontal="left" vertical="top" wrapText="1"/>
    </xf>
    <xf numFmtId="0" fontId="26" fillId="0" borderId="16" xfId="0" applyFont="1" applyBorder="1" applyAlignment="1">
      <alignment horizontal="left" vertical="top" wrapText="1"/>
    </xf>
    <xf numFmtId="0" fontId="22" fillId="8" borderId="7" xfId="0" applyFont="1" applyFill="1" applyBorder="1" applyAlignment="1">
      <alignment horizontal="center" vertical="center"/>
    </xf>
    <xf numFmtId="0" fontId="31" fillId="0" borderId="2" xfId="2" applyFont="1" applyBorder="1" applyAlignment="1">
      <alignment horizontal="left"/>
    </xf>
    <xf numFmtId="0" fontId="32" fillId="0" borderId="2" xfId="2" applyFont="1" applyBorder="1" applyAlignment="1">
      <alignment horizontal="left"/>
    </xf>
  </cellXfs>
  <cellStyles count="5">
    <cellStyle name="Hyperlink" xfId="4" builtinId="8"/>
    <cellStyle name="Hyperlink 2" xfId="3" xr:uid="{5D446603-E527-4722-A048-DDFF0DCEECFD}"/>
    <cellStyle name="Normal" xfId="0" builtinId="0"/>
    <cellStyle name="Normal 2" xfId="2" xr:uid="{A70C94BD-FD2A-488A-8A03-C9B1330B958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hyperlink" Target="https://belajarexcel.id/xl-test/jawaban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9</xdr:col>
      <xdr:colOff>266700</xdr:colOff>
      <xdr:row>15</xdr:row>
      <xdr:rowOff>7620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1785E34-8B17-499B-B51C-F18F4E348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11460479" cy="2865120"/>
        </a:xfrm>
        <a:prstGeom prst="rect">
          <a:avLst/>
        </a:prstGeom>
      </xdr:spPr>
    </xdr:pic>
    <xdr:clientData/>
  </xdr:twoCellAnchor>
  <xdr:twoCellAnchor editAs="oneCell">
    <xdr:from>
      <xdr:col>4</xdr:col>
      <xdr:colOff>274320</xdr:colOff>
      <xdr:row>12</xdr:row>
      <xdr:rowOff>114300</xdr:rowOff>
    </xdr:from>
    <xdr:to>
      <xdr:col>5</xdr:col>
      <xdr:colOff>825500</xdr:colOff>
      <xdr:row>16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B994A5F-5403-40D4-B730-AD2FC169A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42660" y="2400300"/>
          <a:ext cx="1511300" cy="647700"/>
        </a:xfrm>
        <a:prstGeom prst="rect">
          <a:avLst/>
        </a:prstGeom>
      </xdr:spPr>
    </xdr:pic>
    <xdr:clientData/>
  </xdr:twoCellAnchor>
  <xdr:twoCellAnchor editAs="oneCell">
    <xdr:from>
      <xdr:col>10</xdr:col>
      <xdr:colOff>68580</xdr:colOff>
      <xdr:row>0</xdr:row>
      <xdr:rowOff>0</xdr:rowOff>
    </xdr:from>
    <xdr:to>
      <xdr:col>11</xdr:col>
      <xdr:colOff>1089660</xdr:colOff>
      <xdr:row>15</xdr:row>
      <xdr:rowOff>15241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404BB73-ABCA-42BF-A1C1-669B483AB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559540" y="0"/>
          <a:ext cx="1844040" cy="2872741"/>
        </a:xfrm>
        <a:prstGeom prst="rect">
          <a:avLst/>
        </a:prstGeom>
      </xdr:spPr>
    </xdr:pic>
    <xdr:clientData/>
  </xdr:twoCellAnchor>
  <xdr:twoCellAnchor>
    <xdr:from>
      <xdr:col>1</xdr:col>
      <xdr:colOff>1584960</xdr:colOff>
      <xdr:row>31</xdr:row>
      <xdr:rowOff>91440</xdr:rowOff>
    </xdr:from>
    <xdr:to>
      <xdr:col>3</xdr:col>
      <xdr:colOff>22860</xdr:colOff>
      <xdr:row>32</xdr:row>
      <xdr:rowOff>190500</xdr:rowOff>
    </xdr:to>
    <xdr:sp macro="" textlink="">
      <xdr:nvSpPr>
        <xdr:cNvPr id="7" name="Rectangle: Rounded Corner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AA8F1D9-0F8D-4C19-A983-12BE87D9C978}"/>
            </a:ext>
          </a:extLst>
        </xdr:cNvPr>
        <xdr:cNvSpPr/>
      </xdr:nvSpPr>
      <xdr:spPr>
        <a:xfrm>
          <a:off x="2628900" y="4312920"/>
          <a:ext cx="1821180" cy="297180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1100"/>
            <a:t>Cek hasil Jawaban</a:t>
          </a:r>
        </a:p>
      </xdr:txBody>
    </xdr:sp>
    <xdr:clientData/>
  </xdr:twoCellAnchor>
  <xdr:oneCellAnchor>
    <xdr:from>
      <xdr:col>8</xdr:col>
      <xdr:colOff>929640</xdr:colOff>
      <xdr:row>0</xdr:row>
      <xdr:rowOff>30480</xdr:rowOff>
    </xdr:from>
    <xdr:ext cx="1173463" cy="280205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526AE3A-04A5-4808-8395-D43233282BC7}"/>
            </a:ext>
          </a:extLst>
        </xdr:cNvPr>
        <xdr:cNvSpPr txBox="1"/>
      </xdr:nvSpPr>
      <xdr:spPr>
        <a:xfrm>
          <a:off x="10271760" y="30480"/>
          <a:ext cx="1173463" cy="280205"/>
        </a:xfrm>
        <a:prstGeom prst="rect">
          <a:avLst/>
        </a:prstGeom>
        <a:noFill/>
        <a:ln>
          <a:noFill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1200" b="1">
              <a:solidFill>
                <a:schemeClr val="bg1"/>
              </a:solidFill>
            </a:rPr>
            <a:t>MEDIUM</a:t>
          </a:r>
          <a:r>
            <a:rPr lang="en-ID" sz="1200" b="1" baseline="0">
              <a:solidFill>
                <a:srgbClr val="002060"/>
              </a:solidFill>
            </a:rPr>
            <a:t> </a:t>
          </a:r>
          <a:r>
            <a:rPr lang="en-ID" sz="1200" b="1" baseline="0">
              <a:solidFill>
                <a:schemeClr val="bg1"/>
              </a:solidFill>
            </a:rPr>
            <a:t>LEVEL</a:t>
          </a:r>
          <a:endParaRPr lang="en-ID" sz="1200" b="1">
            <a:solidFill>
              <a:schemeClr val="bg1"/>
            </a:solidFill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</xdr:row>
      <xdr:rowOff>53340</xdr:rowOff>
    </xdr:from>
    <xdr:ext cx="1554479" cy="586842"/>
    <xdr:pic>
      <xdr:nvPicPr>
        <xdr:cNvPr id="2" name="Picture 1">
          <a:extLst>
            <a:ext uri="{FF2B5EF4-FFF2-40B4-BE49-F238E27FC236}">
              <a16:creationId xmlns:a16="http://schemas.microsoft.com/office/drawing/2014/main" id="{7982D923-4895-4797-835D-BF51C1F51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7180" y="236220"/>
          <a:ext cx="1554479" cy="586842"/>
        </a:xfrm>
        <a:prstGeom prst="rect">
          <a:avLst/>
        </a:prstGeom>
      </xdr:spPr>
    </xdr:pic>
    <xdr:clientData/>
  </xdr:oneCellAnchor>
  <xdr:oneCellAnchor>
    <xdr:from>
      <xdr:col>1</xdr:col>
      <xdr:colOff>76200</xdr:colOff>
      <xdr:row>25</xdr:row>
      <xdr:rowOff>53340</xdr:rowOff>
    </xdr:from>
    <xdr:ext cx="960120" cy="960120"/>
    <xdr:pic>
      <xdr:nvPicPr>
        <xdr:cNvPr id="3" name="Picture 2">
          <a:extLst>
            <a:ext uri="{FF2B5EF4-FFF2-40B4-BE49-F238E27FC236}">
              <a16:creationId xmlns:a16="http://schemas.microsoft.com/office/drawing/2014/main" id="{7D1032E2-2381-4E13-A9CE-33B38F2C13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2440" y="5646420"/>
          <a:ext cx="960120" cy="960120"/>
        </a:xfrm>
        <a:prstGeom prst="rect">
          <a:avLst/>
        </a:prstGeom>
      </xdr:spPr>
    </xdr:pic>
    <xdr:clientData/>
  </xdr:oneCellAnchor>
  <xdr:twoCellAnchor editAs="oneCell">
    <xdr:from>
      <xdr:col>1</xdr:col>
      <xdr:colOff>624840</xdr:colOff>
      <xdr:row>1</xdr:row>
      <xdr:rowOff>83821</xdr:rowOff>
    </xdr:from>
    <xdr:to>
      <xdr:col>4</xdr:col>
      <xdr:colOff>201919</xdr:colOff>
      <xdr:row>14</xdr:row>
      <xdr:rowOff>15241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5A9FFD2-4503-4EF2-AB14-49B4B1F9E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21080" y="266701"/>
          <a:ext cx="1482079" cy="2308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etiadi.me/" TargetMode="External"/><Relationship Id="rId2" Type="http://schemas.openxmlformats.org/officeDocument/2006/relationships/hyperlink" Target="https://www.threads.com/@andisetiadi" TargetMode="External"/><Relationship Id="rId1" Type="http://schemas.openxmlformats.org/officeDocument/2006/relationships/hyperlink" Target="https://belajarexcel.id/xl-test/" TargetMode="External"/><Relationship Id="rId5" Type="http://schemas.openxmlformats.org/officeDocument/2006/relationships/drawing" Target="../drawings/drawing2.xml"/><Relationship Id="rId4" Type="http://schemas.openxmlformats.org/officeDocument/2006/relationships/hyperlink" Target="https://lynk.id/setiadi/page/jawaban-xl-te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4DF39-F50F-4AEC-B8BC-5471603A3EB9}">
  <sheetPr codeName="Sheet1"/>
  <dimension ref="A17:N61"/>
  <sheetViews>
    <sheetView tabSelected="1" topLeftCell="B28" workbookViewId="0">
      <selection activeCell="E17" sqref="E17"/>
    </sheetView>
  </sheetViews>
  <sheetFormatPr defaultRowHeight="15" customHeight="1"/>
  <cols>
    <col min="1" max="1" width="15.28515625" customWidth="1"/>
    <col min="2" max="2" width="29.5703125" customWidth="1"/>
    <col min="3" max="3" width="19.7109375" customWidth="1"/>
    <col min="4" max="4" width="19.5703125" customWidth="1"/>
    <col min="5" max="5" width="14" customWidth="1"/>
    <col min="6" max="6" width="14.7109375" customWidth="1"/>
    <col min="7" max="7" width="13.7109375" customWidth="1"/>
    <col min="8" max="8" width="9.5703125" customWidth="1"/>
    <col min="9" max="9" width="27" customWidth="1"/>
    <col min="10" max="10" width="4.28515625" customWidth="1"/>
    <col min="11" max="11" width="12" customWidth="1"/>
    <col min="12" max="12" width="18.28515625" customWidth="1"/>
    <col min="13" max="13" width="20.5703125" customWidth="1"/>
    <col min="14" max="14" width="15.42578125" customWidth="1"/>
  </cols>
  <sheetData>
    <row r="17" spans="1:12" ht="23.25">
      <c r="A17" s="20" t="s">
        <v>35</v>
      </c>
      <c r="B17" s="24" t="s">
        <v>38</v>
      </c>
      <c r="D17" s="50" t="s">
        <v>36</v>
      </c>
      <c r="E17" s="25" t="str">
        <f ca="1">kode_jawaban</f>
        <v>MJ2|51-AB7D5;3C-2ACA7;21-1E96;4A-15157;62-339D2;17-1685A;20-62D40;27-609;20-4B3;49-B1274</v>
      </c>
      <c r="F17" s="26"/>
      <c r="G17" s="26"/>
      <c r="H17" s="26"/>
      <c r="I17" s="26"/>
      <c r="J17" s="26"/>
      <c r="K17" s="26"/>
      <c r="L17" s="26"/>
    </row>
    <row r="19" spans="1:12" ht="23.25">
      <c r="A19" s="65" t="s">
        <v>68</v>
      </c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7"/>
    </row>
    <row r="20" spans="1:12" ht="15.75">
      <c r="A20" s="51"/>
      <c r="B20" s="27"/>
      <c r="C20" s="27"/>
      <c r="D20" s="27"/>
      <c r="E20" s="27"/>
      <c r="F20" s="27"/>
      <c r="G20" s="27"/>
      <c r="H20" s="27"/>
      <c r="I20" s="27"/>
      <c r="J20" s="27"/>
      <c r="K20" s="52"/>
      <c r="L20" s="28"/>
    </row>
    <row r="21" spans="1:12" ht="15.75">
      <c r="B21" s="60" t="s">
        <v>74</v>
      </c>
      <c r="D21" s="55"/>
      <c r="E21" s="55"/>
      <c r="F21" s="55"/>
      <c r="G21" s="55"/>
      <c r="H21" s="55"/>
      <c r="I21" s="55"/>
      <c r="J21" s="55"/>
      <c r="K21" s="31"/>
      <c r="L21" s="30"/>
    </row>
    <row r="22" spans="1:12" ht="15.75">
      <c r="A22" s="31"/>
      <c r="B22" s="29"/>
      <c r="C22" s="55"/>
      <c r="D22" s="55"/>
      <c r="E22" s="55"/>
      <c r="F22" s="55"/>
      <c r="G22" s="55"/>
      <c r="H22" s="55"/>
      <c r="I22" s="55"/>
      <c r="J22" s="55"/>
      <c r="K22" s="31"/>
      <c r="L22" s="30"/>
    </row>
    <row r="23" spans="1:12" ht="15.75">
      <c r="A23" s="34" t="s">
        <v>71</v>
      </c>
      <c r="B23" s="36" t="s">
        <v>72</v>
      </c>
      <c r="C23" s="55"/>
      <c r="D23" s="55"/>
      <c r="E23" s="55"/>
      <c r="F23" s="55"/>
      <c r="G23" s="55"/>
      <c r="H23" s="55"/>
      <c r="I23" s="55"/>
      <c r="J23" s="55"/>
      <c r="K23" s="31"/>
      <c r="L23" s="30"/>
    </row>
    <row r="24" spans="1:12" ht="15.75">
      <c r="A24" s="34"/>
      <c r="B24" s="36" t="s">
        <v>73</v>
      </c>
      <c r="C24" s="55"/>
      <c r="D24" s="55"/>
      <c r="E24" s="55"/>
      <c r="F24" s="55"/>
      <c r="G24" s="55"/>
      <c r="H24" s="55"/>
      <c r="I24" s="55"/>
      <c r="J24" s="55"/>
      <c r="K24" s="31"/>
      <c r="L24" s="30"/>
    </row>
    <row r="25" spans="1:12" ht="15.75">
      <c r="A25" s="34"/>
      <c r="B25" s="61" t="s">
        <v>79</v>
      </c>
      <c r="C25" s="55"/>
      <c r="D25" s="55"/>
      <c r="E25" s="55"/>
      <c r="F25" s="55"/>
      <c r="G25" s="55"/>
      <c r="H25" s="55"/>
      <c r="I25" s="55"/>
      <c r="J25" s="55"/>
      <c r="K25" s="31"/>
      <c r="L25" s="30"/>
    </row>
    <row r="26" spans="1:12" ht="15.75">
      <c r="A26" s="59"/>
      <c r="B26" s="55"/>
      <c r="C26" s="55"/>
      <c r="D26" s="55"/>
      <c r="E26" s="55"/>
      <c r="F26" s="55"/>
      <c r="G26" s="55"/>
      <c r="H26" s="55"/>
      <c r="I26" s="55"/>
      <c r="J26" s="55"/>
      <c r="K26" s="31"/>
      <c r="L26" s="30"/>
    </row>
    <row r="27" spans="1:12" ht="15.75">
      <c r="A27" s="59"/>
      <c r="B27" t="s">
        <v>41</v>
      </c>
      <c r="C27" s="55"/>
      <c r="D27" s="55"/>
      <c r="E27" s="55"/>
      <c r="F27" s="55"/>
      <c r="G27" s="55"/>
      <c r="H27" s="55"/>
      <c r="I27" s="55"/>
      <c r="J27" s="55"/>
      <c r="K27" s="31"/>
      <c r="L27" s="30"/>
    </row>
    <row r="28" spans="1:12" ht="15.75">
      <c r="A28" s="59"/>
      <c r="B28" s="31" t="s">
        <v>39</v>
      </c>
      <c r="C28" s="55"/>
      <c r="D28" s="55"/>
      <c r="E28" s="55"/>
      <c r="F28" s="55"/>
      <c r="G28" s="55"/>
      <c r="H28" s="55"/>
      <c r="I28" s="55"/>
      <c r="J28" s="55"/>
      <c r="K28" s="31"/>
      <c r="L28" s="30"/>
    </row>
    <row r="29" spans="1:12" ht="15.75">
      <c r="A29" s="59"/>
      <c r="B29" s="31" t="s">
        <v>40</v>
      </c>
      <c r="C29" s="55"/>
      <c r="D29" s="55"/>
      <c r="E29" s="55"/>
      <c r="F29" s="55"/>
      <c r="G29" s="55"/>
      <c r="H29" s="55"/>
      <c r="I29" s="55"/>
      <c r="J29" s="55"/>
      <c r="K29" s="31"/>
      <c r="L29" s="30"/>
    </row>
    <row r="30" spans="1:12" ht="15.75">
      <c r="A30" s="59"/>
      <c r="B30" s="55"/>
      <c r="C30" s="55"/>
      <c r="D30" s="55"/>
      <c r="E30" s="55"/>
      <c r="F30" s="55"/>
      <c r="G30" s="55"/>
      <c r="H30" s="55"/>
      <c r="I30" s="55"/>
      <c r="J30" s="55"/>
      <c r="K30" s="31"/>
      <c r="L30" s="30"/>
    </row>
    <row r="31" spans="1:12" ht="15.75">
      <c r="A31" s="53"/>
      <c r="B31" s="54" t="s">
        <v>69</v>
      </c>
      <c r="C31" s="55"/>
      <c r="D31" s="55"/>
      <c r="E31" s="31"/>
      <c r="F31" s="55"/>
      <c r="G31" s="55"/>
      <c r="H31" s="55"/>
      <c r="I31" s="55"/>
      <c r="J31" s="55"/>
      <c r="K31" s="31"/>
      <c r="L31" s="30"/>
    </row>
    <row r="32" spans="1:12" ht="15.75">
      <c r="A32" s="53"/>
      <c r="B32" s="54" t="s">
        <v>70</v>
      </c>
      <c r="C32" s="55"/>
      <c r="D32" s="55"/>
      <c r="E32" s="31"/>
      <c r="F32" s="55"/>
      <c r="G32" s="55"/>
      <c r="H32" s="55"/>
      <c r="I32" s="55"/>
      <c r="J32" s="55"/>
      <c r="K32" s="31"/>
      <c r="L32" s="30"/>
    </row>
    <row r="33" spans="1:14" ht="23.25">
      <c r="A33" s="56"/>
      <c r="B33" s="33"/>
      <c r="C33" s="33"/>
      <c r="D33" s="33"/>
      <c r="E33" s="32"/>
      <c r="F33" s="57"/>
      <c r="G33" s="57"/>
      <c r="H33" s="57"/>
      <c r="I33" s="57"/>
      <c r="J33" s="57"/>
      <c r="K33" s="32"/>
      <c r="L33" s="58"/>
    </row>
    <row r="34" spans="1:14" ht="23.25">
      <c r="A34" s="65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7"/>
    </row>
    <row r="37" spans="1:14" ht="24.6" customHeight="1">
      <c r="A37" s="68" t="s">
        <v>24</v>
      </c>
      <c r="B37" s="68"/>
      <c r="C37" s="68"/>
      <c r="D37" s="68"/>
      <c r="E37" s="68"/>
      <c r="F37" s="68"/>
      <c r="G37" s="68"/>
    </row>
    <row r="38" spans="1:14" ht="33" customHeight="1" thickBot="1">
      <c r="A38" s="1" t="s">
        <v>67</v>
      </c>
      <c r="B38" s="1" t="s">
        <v>0</v>
      </c>
      <c r="C38" s="1" t="s">
        <v>1</v>
      </c>
      <c r="D38" s="1" t="s">
        <v>2</v>
      </c>
      <c r="E38" s="1" t="s">
        <v>3</v>
      </c>
      <c r="F38" s="1" t="s">
        <v>4</v>
      </c>
      <c r="G38" s="6" t="s">
        <v>5</v>
      </c>
      <c r="I38" s="13" t="s">
        <v>34</v>
      </c>
      <c r="J38" s="9"/>
      <c r="K38" s="9"/>
      <c r="L38" s="9"/>
      <c r="M38" s="9"/>
    </row>
    <row r="39" spans="1:14" ht="19.899999999999999" customHeight="1" thickBot="1">
      <c r="A39" s="4">
        <v>1</v>
      </c>
      <c r="B39" s="2" t="s">
        <v>6</v>
      </c>
      <c r="C39" s="5">
        <v>8500000</v>
      </c>
      <c r="D39" s="5">
        <v>6200000</v>
      </c>
      <c r="E39" s="3">
        <v>0.1</v>
      </c>
      <c r="F39" s="4">
        <v>120</v>
      </c>
      <c r="G39" s="7">
        <v>150</v>
      </c>
      <c r="H39" s="8"/>
      <c r="I39" s="15" cm="1">
        <f t="array" ref="I39">SUMPRODUCT(C39:C57*(1-E39:E57)*F39:F57)</f>
        <v>7024217500</v>
      </c>
      <c r="J39" s="35">
        <v>1</v>
      </c>
      <c r="K39" s="11" t="s">
        <v>25</v>
      </c>
    </row>
    <row r="40" spans="1:14" ht="19.899999999999999" customHeight="1" thickBot="1">
      <c r="A40" s="4">
        <v>2</v>
      </c>
      <c r="B40" s="2" t="s">
        <v>7</v>
      </c>
      <c r="C40" s="5">
        <v>7200000</v>
      </c>
      <c r="D40" s="5">
        <v>5000000</v>
      </c>
      <c r="E40" s="3">
        <v>0.05</v>
      </c>
      <c r="F40" s="4">
        <v>220</v>
      </c>
      <c r="G40" s="7">
        <v>200</v>
      </c>
      <c r="H40" s="8"/>
      <c r="I40" s="10"/>
      <c r="J40" s="10"/>
      <c r="K40" s="12"/>
      <c r="L40" s="10"/>
      <c r="M40" s="10"/>
    </row>
    <row r="41" spans="1:14" ht="19.899999999999999" customHeight="1" thickBot="1">
      <c r="A41" s="4">
        <v>3</v>
      </c>
      <c r="B41" s="2" t="s">
        <v>8</v>
      </c>
      <c r="C41" s="5">
        <v>3800000</v>
      </c>
      <c r="D41" s="5">
        <v>2500000</v>
      </c>
      <c r="E41" s="3">
        <v>0.15</v>
      </c>
      <c r="F41" s="4">
        <v>150</v>
      </c>
      <c r="G41" s="7">
        <v>180</v>
      </c>
      <c r="H41" s="8"/>
      <c r="I41" s="15" cm="1">
        <f t="array" ref="I41">SUMPRODUCT((C39:C57*(1-E39:E57)-D39:D57)*F39:F57)</f>
        <v>1752717500</v>
      </c>
      <c r="J41" s="35">
        <v>2</v>
      </c>
      <c r="K41" s="11" t="s">
        <v>26</v>
      </c>
    </row>
    <row r="42" spans="1:14" ht="19.899999999999999" customHeight="1" thickBot="1">
      <c r="A42" s="4">
        <v>4</v>
      </c>
      <c r="B42" s="2" t="s">
        <v>9</v>
      </c>
      <c r="C42" s="5">
        <v>5000000</v>
      </c>
      <c r="D42" s="5">
        <v>3200000</v>
      </c>
      <c r="E42" s="3">
        <v>0.1</v>
      </c>
      <c r="F42" s="4">
        <v>100</v>
      </c>
      <c r="G42" s="7">
        <v>130</v>
      </c>
      <c r="H42" s="8"/>
      <c r="I42" s="10"/>
      <c r="J42" s="10"/>
      <c r="K42" s="12"/>
      <c r="L42" s="10"/>
      <c r="M42" s="10"/>
    </row>
    <row r="43" spans="1:14" ht="19.899999999999999" customHeight="1" thickBot="1">
      <c r="A43" s="4">
        <v>5</v>
      </c>
      <c r="B43" s="2" t="s">
        <v>10</v>
      </c>
      <c r="C43" s="5">
        <v>6500000</v>
      </c>
      <c r="D43" s="5">
        <v>4200000</v>
      </c>
      <c r="E43" s="3">
        <v>0.12</v>
      </c>
      <c r="F43" s="4">
        <v>80</v>
      </c>
      <c r="G43" s="7">
        <v>100</v>
      </c>
      <c r="H43" s="8"/>
      <c r="I43" s="16" cm="1">
        <f t="array" ref="I43">SUMPRODUCT((F39:F57&lt;G39:G57)*1)</f>
        <v>15</v>
      </c>
      <c r="J43" s="35">
        <v>3</v>
      </c>
      <c r="K43" s="11" t="s">
        <v>37</v>
      </c>
      <c r="N43" s="8"/>
    </row>
    <row r="44" spans="1:14" ht="19.899999999999999" customHeight="1" thickBot="1">
      <c r="A44" s="4">
        <v>6</v>
      </c>
      <c r="B44" s="2" t="s">
        <v>11</v>
      </c>
      <c r="C44" s="5">
        <v>2000000</v>
      </c>
      <c r="D44" s="5">
        <v>1400000</v>
      </c>
      <c r="E44" s="3">
        <v>0.08</v>
      </c>
      <c r="F44" s="4">
        <v>140</v>
      </c>
      <c r="G44" s="7">
        <v>160</v>
      </c>
      <c r="H44" s="8"/>
      <c r="I44" s="10"/>
      <c r="J44" s="10"/>
      <c r="K44" s="12"/>
      <c r="L44" s="10"/>
      <c r="M44" s="10"/>
    </row>
    <row r="45" spans="1:14" ht="19.899999999999999" customHeight="1" thickBot="1">
      <c r="A45" s="4">
        <v>7</v>
      </c>
      <c r="B45" s="2" t="s">
        <v>12</v>
      </c>
      <c r="C45" s="5">
        <v>750000</v>
      </c>
      <c r="D45" s="5">
        <v>500000</v>
      </c>
      <c r="E45" s="3">
        <v>0.05</v>
      </c>
      <c r="F45" s="4">
        <v>300</v>
      </c>
      <c r="G45" s="7">
        <v>350</v>
      </c>
      <c r="H45" s="8"/>
      <c r="I45" s="17" cm="1">
        <f t="array" ref="I45">AVERAGE(F39:F57/G39:G57)</f>
        <v>0.86359515135258824</v>
      </c>
      <c r="J45" s="35">
        <v>4</v>
      </c>
      <c r="K45" s="11" t="s">
        <v>27</v>
      </c>
    </row>
    <row r="46" spans="1:14" ht="19.899999999999999" customHeight="1" thickBot="1">
      <c r="A46" s="4">
        <v>8</v>
      </c>
      <c r="B46" s="2" t="s">
        <v>13</v>
      </c>
      <c r="C46" s="5">
        <v>3200000</v>
      </c>
      <c r="D46" s="5">
        <v>2000000</v>
      </c>
      <c r="E46" s="3">
        <v>0.1</v>
      </c>
      <c r="F46" s="4">
        <v>90</v>
      </c>
      <c r="G46" s="7">
        <v>120</v>
      </c>
      <c r="H46" s="8"/>
      <c r="I46" s="10"/>
      <c r="J46" s="10"/>
      <c r="K46" s="12"/>
      <c r="L46" s="10"/>
      <c r="M46" s="10"/>
    </row>
    <row r="47" spans="1:14" ht="19.899999999999999" customHeight="1" thickBot="1">
      <c r="A47" s="4">
        <v>9</v>
      </c>
      <c r="B47" s="2" t="s">
        <v>14</v>
      </c>
      <c r="C47" s="5">
        <v>1200000</v>
      </c>
      <c r="D47" s="5">
        <v>700000</v>
      </c>
      <c r="E47" s="3">
        <v>0.05</v>
      </c>
      <c r="F47" s="4">
        <v>180</v>
      </c>
      <c r="G47" s="7">
        <v>200</v>
      </c>
      <c r="H47" s="8"/>
      <c r="I47" s="18" cm="1">
        <f t="array" ref="I47">SUMPRODUCT((G39:G57&gt;F39:F57)*(G39:G57-F39:F57))</f>
        <v>405</v>
      </c>
      <c r="J47" s="35">
        <v>5</v>
      </c>
      <c r="K47" s="11" t="s">
        <v>28</v>
      </c>
    </row>
    <row r="48" spans="1:14" ht="19.899999999999999" customHeight="1" thickBot="1">
      <c r="A48" s="4">
        <v>10</v>
      </c>
      <c r="B48" s="2" t="s">
        <v>15</v>
      </c>
      <c r="C48" s="5">
        <v>950000</v>
      </c>
      <c r="D48" s="5">
        <v>600000</v>
      </c>
      <c r="E48" s="3">
        <v>0.1</v>
      </c>
      <c r="F48" s="4">
        <v>160</v>
      </c>
      <c r="G48" s="7">
        <v>140</v>
      </c>
      <c r="H48" s="8"/>
      <c r="I48" s="10"/>
      <c r="J48" s="10"/>
      <c r="K48" s="12"/>
      <c r="L48" s="10"/>
      <c r="M48" s="10"/>
    </row>
    <row r="49" spans="1:14" ht="19.899999999999999" customHeight="1" thickBot="1">
      <c r="A49" s="4">
        <v>11</v>
      </c>
      <c r="B49" s="2" t="s">
        <v>16</v>
      </c>
      <c r="C49" s="5">
        <v>1500000</v>
      </c>
      <c r="D49" s="5">
        <v>1000000</v>
      </c>
      <c r="E49" s="3">
        <v>0.12</v>
      </c>
      <c r="F49" s="4">
        <v>140</v>
      </c>
      <c r="G49" s="7">
        <v>160</v>
      </c>
      <c r="H49" s="8"/>
      <c r="I49" s="15" cm="1">
        <f t="array" ref="I49">SUMPRODUCT((G39:G57&gt;F39:F57)*(G39:G57-F39:F57)*D39:D57)</f>
        <v>922500000</v>
      </c>
      <c r="J49" s="35">
        <v>6</v>
      </c>
      <c r="K49" s="11" t="s">
        <v>29</v>
      </c>
    </row>
    <row r="50" spans="1:14" ht="19.899999999999999" customHeight="1" thickBot="1">
      <c r="A50" s="4">
        <v>12</v>
      </c>
      <c r="B50" s="2" t="s">
        <v>17</v>
      </c>
      <c r="C50" s="5">
        <v>2500000</v>
      </c>
      <c r="D50" s="5">
        <v>1700000</v>
      </c>
      <c r="E50" s="3">
        <v>0.08</v>
      </c>
      <c r="F50" s="4">
        <v>120</v>
      </c>
      <c r="G50" s="7">
        <v>115</v>
      </c>
      <c r="H50" s="8"/>
      <c r="I50" s="10"/>
      <c r="J50" s="10"/>
      <c r="K50" s="12"/>
      <c r="L50" s="10"/>
      <c r="M50" s="10"/>
    </row>
    <row r="51" spans="1:14" ht="19.899999999999999" customHeight="1" thickBot="1">
      <c r="A51" s="4">
        <v>13</v>
      </c>
      <c r="B51" s="2" t="s">
        <v>18</v>
      </c>
      <c r="C51" s="5">
        <v>150000</v>
      </c>
      <c r="D51" s="5">
        <v>80000</v>
      </c>
      <c r="E51" s="3">
        <v>0.05</v>
      </c>
      <c r="F51" s="4">
        <v>400</v>
      </c>
      <c r="G51" s="7">
        <v>450</v>
      </c>
      <c r="H51" s="8"/>
      <c r="I51" s="15" cm="1">
        <f t="array" ref="I51">MAX((C39:C57*(1-E39:E57)-D39:D57)*F39:F57*(1))</f>
        <v>404800000</v>
      </c>
      <c r="J51" s="35">
        <v>7</v>
      </c>
      <c r="K51" s="11" t="s">
        <v>30</v>
      </c>
    </row>
    <row r="52" spans="1:14" ht="19.899999999999999" customHeight="1" thickBot="1">
      <c r="A52" s="4">
        <v>14</v>
      </c>
      <c r="B52" s="2" t="s">
        <v>19</v>
      </c>
      <c r="C52" s="5">
        <v>900000</v>
      </c>
      <c r="D52" s="5">
        <v>600000</v>
      </c>
      <c r="E52" s="3">
        <v>0.1</v>
      </c>
      <c r="F52" s="4">
        <v>200</v>
      </c>
      <c r="G52" s="7">
        <v>220</v>
      </c>
      <c r="H52" s="8"/>
      <c r="I52" s="10"/>
      <c r="J52" s="10"/>
      <c r="K52" s="12"/>
      <c r="L52" s="10"/>
      <c r="M52" s="10"/>
    </row>
    <row r="53" spans="1:14" ht="19.899999999999999" customHeight="1" thickBot="1">
      <c r="A53" s="4">
        <v>15</v>
      </c>
      <c r="B53" s="2" t="s">
        <v>20</v>
      </c>
      <c r="C53" s="5">
        <v>5500000</v>
      </c>
      <c r="D53" s="5">
        <v>4000000</v>
      </c>
      <c r="E53" s="3">
        <v>0.1</v>
      </c>
      <c r="F53" s="4">
        <v>70</v>
      </c>
      <c r="G53" s="7">
        <v>100</v>
      </c>
      <c r="H53" s="8"/>
      <c r="I53" s="19" t="str" cm="1">
        <f t="array" ref="I53">_xlfn.LET(_xlpm.profit, (C39:C57*(1-E39:E57)-D39:D57)*F39:F57, INDEX(B39:B57, MATCH(MAX(_xlpm.profit), _xlpm.profit, 0)))</f>
        <v>Smartphone Samsung Galaxy</v>
      </c>
      <c r="J53" s="35">
        <v>8</v>
      </c>
      <c r="K53" s="11" t="s">
        <v>31</v>
      </c>
    </row>
    <row r="54" spans="1:14" ht="19.899999999999999" customHeight="1" thickBot="1">
      <c r="A54" s="4">
        <v>16</v>
      </c>
      <c r="B54" s="2" t="s">
        <v>21</v>
      </c>
      <c r="C54" s="5">
        <v>6000000</v>
      </c>
      <c r="D54" s="5">
        <v>4000000</v>
      </c>
      <c r="E54" s="3">
        <v>0.12</v>
      </c>
      <c r="F54" s="4">
        <v>90</v>
      </c>
      <c r="G54" s="7">
        <v>90</v>
      </c>
      <c r="H54" s="8"/>
      <c r="I54" s="10"/>
      <c r="J54" s="10"/>
      <c r="K54" s="12"/>
      <c r="L54" s="10"/>
      <c r="M54" s="10"/>
    </row>
    <row r="55" spans="1:14" ht="19.899999999999999" customHeight="1" thickBot="1">
      <c r="A55" s="4">
        <v>17</v>
      </c>
      <c r="B55" s="2" t="s">
        <v>22</v>
      </c>
      <c r="C55" s="5">
        <v>4500000</v>
      </c>
      <c r="D55" s="5">
        <v>3000000</v>
      </c>
      <c r="E55" s="3">
        <v>0.15</v>
      </c>
      <c r="F55" s="4">
        <v>60</v>
      </c>
      <c r="G55" s="7">
        <v>80</v>
      </c>
      <c r="H55" s="8"/>
      <c r="I55" s="19" t="str" cm="1">
        <f t="array" ref="I55">_xlfn.LET(_xlpm.profit, (C39:C57*(1-E39:E57)-D39:D57)*F39:F57, INDEX(B39:B57, MATCH(MIN(_xlpm.profit), _xlpm.profit, 0)))</f>
        <v>Flashdisk Kingston 64GB</v>
      </c>
      <c r="J55" s="35">
        <v>9</v>
      </c>
      <c r="K55" s="11" t="s">
        <v>32</v>
      </c>
    </row>
    <row r="56" spans="1:14" ht="19.899999999999999" customHeight="1" thickBot="1">
      <c r="A56" s="4">
        <v>18</v>
      </c>
      <c r="B56" s="2" t="s">
        <v>23</v>
      </c>
      <c r="C56" s="5">
        <v>4000000</v>
      </c>
      <c r="D56" s="5">
        <v>2800000</v>
      </c>
      <c r="E56" s="3">
        <v>0.1</v>
      </c>
      <c r="F56" s="4">
        <v>50</v>
      </c>
      <c r="G56" s="7">
        <v>70</v>
      </c>
      <c r="H56" s="8"/>
      <c r="I56" s="10"/>
      <c r="J56" s="10"/>
      <c r="K56" s="12"/>
      <c r="L56" s="10"/>
      <c r="M56" s="10"/>
    </row>
    <row r="57" spans="1:14" ht="19.899999999999999" customHeight="1" thickBot="1">
      <c r="A57" s="4">
        <v>19</v>
      </c>
      <c r="B57" s="2" t="s">
        <v>78</v>
      </c>
      <c r="C57" s="5">
        <v>6650000</v>
      </c>
      <c r="D57" s="5">
        <v>5500000</v>
      </c>
      <c r="E57" s="3">
        <v>0.03</v>
      </c>
      <c r="F57" s="4">
        <v>35</v>
      </c>
      <c r="G57" s="7">
        <v>50</v>
      </c>
      <c r="I57" s="15" cm="1">
        <f t="array" ref="I57">SUMPRODUCT(C39:C57*(1-(E39:E57-0.03))*F39:F57)</f>
        <v>7256200000</v>
      </c>
      <c r="J57" s="35">
        <v>10</v>
      </c>
      <c r="K57" s="11" t="s">
        <v>33</v>
      </c>
    </row>
    <row r="58" spans="1:14" ht="19.899999999999999" customHeight="1"/>
    <row r="61" spans="1:14" ht="15" customHeight="1">
      <c r="A61" s="69" t="s">
        <v>73</v>
      </c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</row>
  </sheetData>
  <sheetProtection algorithmName="SHA-512" hashValue="18n98Mrn2dQfgo9h2c3Pq3eqpQk8leiKS5M/cqRmqzSAtiuRgUAclTzFR6ZURRYuVwjUA7lfg5YLOtmY4I52wA==" saltValue="RqXaBSSvA8rSlM6zxk/hCA==" spinCount="100000" sheet="1" objects="1" scenarios="1"/>
  <mergeCells count="4">
    <mergeCell ref="A34:L34"/>
    <mergeCell ref="A37:G37"/>
    <mergeCell ref="A61:N61"/>
    <mergeCell ref="A19:L1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58A43-2DD1-4EAB-AE94-BB6BCB8128B9}">
  <sheetPr codeName="Sheet3"/>
  <dimension ref="B1:P32"/>
  <sheetViews>
    <sheetView showGridLines="0" workbookViewId="0">
      <selection activeCell="N17" sqref="N17"/>
    </sheetView>
  </sheetViews>
  <sheetFormatPr defaultColWidth="8.85546875" defaultRowHeight="15"/>
  <cols>
    <col min="1" max="1" width="5.7109375" style="23" customWidth="1"/>
    <col min="2" max="2" width="10" style="23" customWidth="1"/>
    <col min="3" max="6" width="8.85546875" style="23"/>
    <col min="7" max="8" width="4.28515625" style="23" customWidth="1"/>
    <col min="9" max="9" width="8.85546875" style="23"/>
    <col min="10" max="10" width="10.42578125" style="23" customWidth="1"/>
    <col min="11" max="11" width="9.28515625" style="23" customWidth="1"/>
    <col min="12" max="13" width="8.85546875" style="23"/>
    <col min="14" max="14" width="26.42578125" style="23" customWidth="1"/>
    <col min="15" max="16384" width="8.85546875" style="23"/>
  </cols>
  <sheetData>
    <row r="1" spans="7:16">
      <c r="H1" s="22"/>
      <c r="I1" s="22"/>
      <c r="J1" s="22"/>
      <c r="K1" s="22"/>
      <c r="L1" s="22"/>
      <c r="M1" s="22"/>
      <c r="N1" s="22"/>
      <c r="O1" s="22"/>
      <c r="P1" s="22"/>
    </row>
    <row r="2" spans="7:16">
      <c r="H2" s="22"/>
      <c r="I2" s="22"/>
      <c r="J2" s="22"/>
      <c r="K2" s="22"/>
      <c r="L2" s="22"/>
      <c r="M2" s="22"/>
      <c r="N2" s="22"/>
      <c r="O2" s="22"/>
      <c r="P2" s="22"/>
    </row>
    <row r="3" spans="7:16">
      <c r="G3" s="42"/>
      <c r="H3" s="43"/>
      <c r="I3" s="22"/>
      <c r="J3" s="22"/>
      <c r="K3" s="22"/>
      <c r="L3" s="22"/>
      <c r="M3" s="22"/>
      <c r="N3" s="22"/>
      <c r="O3" s="22"/>
      <c r="P3" s="22"/>
    </row>
    <row r="4" spans="7:16">
      <c r="G4" s="42"/>
      <c r="H4" s="43"/>
      <c r="I4" s="22"/>
      <c r="J4" s="22"/>
      <c r="K4" s="22"/>
      <c r="L4" s="22"/>
      <c r="M4" s="22"/>
      <c r="N4" s="22"/>
      <c r="O4" s="22"/>
      <c r="P4" s="22"/>
    </row>
    <row r="5" spans="7:16">
      <c r="G5" s="42"/>
      <c r="H5" s="43"/>
      <c r="I5" s="22"/>
      <c r="J5" s="22"/>
      <c r="K5" s="22"/>
      <c r="L5" s="22"/>
      <c r="M5" s="22"/>
      <c r="N5" s="22"/>
      <c r="O5" s="22"/>
      <c r="P5" s="22"/>
    </row>
    <row r="6" spans="7:16">
      <c r="G6" s="42"/>
      <c r="H6" s="43"/>
      <c r="I6" s="22" t="s">
        <v>49</v>
      </c>
      <c r="J6" s="22"/>
      <c r="K6" s="22"/>
      <c r="L6" s="22"/>
      <c r="M6" s="22"/>
      <c r="N6" s="22"/>
      <c r="O6" s="22"/>
      <c r="P6" s="22"/>
    </row>
    <row r="7" spans="7:16">
      <c r="G7" s="42"/>
      <c r="H7" s="43"/>
      <c r="I7" s="22" t="s">
        <v>50</v>
      </c>
      <c r="J7" s="22"/>
      <c r="K7" s="22"/>
      <c r="L7" s="22"/>
      <c r="M7" s="22"/>
      <c r="N7" s="22"/>
      <c r="O7" s="22"/>
      <c r="P7" s="22"/>
    </row>
    <row r="8" spans="7:16">
      <c r="G8" s="42"/>
      <c r="H8" s="43"/>
      <c r="I8" s="22"/>
      <c r="J8" s="22"/>
      <c r="K8" s="22"/>
      <c r="L8" s="22"/>
      <c r="M8" s="22"/>
      <c r="N8" s="22"/>
      <c r="O8" s="22"/>
      <c r="P8" s="22"/>
    </row>
    <row r="9" spans="7:16">
      <c r="G9" s="42"/>
      <c r="H9" s="43"/>
      <c r="I9" s="22"/>
      <c r="J9" s="22"/>
      <c r="K9" s="22"/>
      <c r="L9" s="22"/>
      <c r="M9" s="22"/>
      <c r="N9" s="22"/>
      <c r="O9" s="22"/>
      <c r="P9" s="22"/>
    </row>
    <row r="10" spans="7:16">
      <c r="G10" s="42"/>
      <c r="H10" s="43"/>
      <c r="I10" s="22" t="s">
        <v>51</v>
      </c>
      <c r="J10" s="22"/>
      <c r="K10" s="22"/>
      <c r="L10" s="22"/>
      <c r="M10" s="22"/>
      <c r="N10" s="22"/>
      <c r="O10" s="22"/>
      <c r="P10" s="22"/>
    </row>
    <row r="11" spans="7:16">
      <c r="G11" s="42"/>
      <c r="H11" s="43"/>
      <c r="I11" s="22"/>
      <c r="J11" s="22"/>
      <c r="K11" s="22"/>
      <c r="L11" s="22"/>
      <c r="M11" s="22"/>
      <c r="N11" s="22"/>
      <c r="O11" s="22"/>
      <c r="P11" s="22"/>
    </row>
    <row r="12" spans="7:16">
      <c r="G12" s="42"/>
      <c r="H12" s="43"/>
      <c r="I12" s="62"/>
      <c r="J12" s="75" t="s">
        <v>52</v>
      </c>
      <c r="K12" s="75"/>
      <c r="L12" s="76" t="s">
        <v>53</v>
      </c>
      <c r="M12" s="76"/>
      <c r="N12" s="22"/>
      <c r="O12" s="22"/>
      <c r="P12" s="22"/>
    </row>
    <row r="13" spans="7:16">
      <c r="G13" s="42"/>
      <c r="H13" s="43"/>
      <c r="I13" s="62"/>
      <c r="J13" s="75" t="s">
        <v>54</v>
      </c>
      <c r="K13" s="75"/>
      <c r="L13" s="63" t="s">
        <v>55</v>
      </c>
      <c r="M13" s="63"/>
      <c r="N13" s="22"/>
      <c r="O13" s="22"/>
      <c r="P13" s="22"/>
    </row>
    <row r="14" spans="7:16">
      <c r="G14" s="42"/>
      <c r="H14" s="43"/>
      <c r="I14" s="62"/>
      <c r="J14" s="75" t="s">
        <v>56</v>
      </c>
      <c r="K14" s="75"/>
      <c r="L14" s="63" t="s">
        <v>57</v>
      </c>
      <c r="M14" s="64"/>
      <c r="N14" s="22"/>
      <c r="O14" s="22"/>
      <c r="P14" s="22"/>
    </row>
    <row r="15" spans="7:16">
      <c r="G15" s="42"/>
      <c r="H15" s="43"/>
      <c r="I15" s="62"/>
      <c r="J15" s="75" t="s">
        <v>58</v>
      </c>
      <c r="K15" s="75"/>
      <c r="L15" s="63" t="s">
        <v>59</v>
      </c>
      <c r="M15" s="64"/>
      <c r="N15" s="22"/>
      <c r="O15" s="22"/>
      <c r="P15" s="22"/>
    </row>
    <row r="16" spans="7:16">
      <c r="G16" s="42"/>
      <c r="H16" s="43"/>
      <c r="I16" s="62"/>
      <c r="J16" s="75" t="s">
        <v>60</v>
      </c>
      <c r="K16" s="75"/>
      <c r="L16" s="63" t="s">
        <v>61</v>
      </c>
      <c r="M16" s="64"/>
      <c r="N16" s="22"/>
      <c r="O16" s="22"/>
      <c r="P16" s="22"/>
    </row>
    <row r="17" spans="2:16" ht="54.6" customHeight="1">
      <c r="B17" s="70" t="s">
        <v>80</v>
      </c>
      <c r="C17" s="70"/>
      <c r="D17" s="70"/>
      <c r="E17" s="70"/>
      <c r="F17" s="71"/>
      <c r="G17" s="44"/>
      <c r="H17" s="43"/>
      <c r="I17" s="22" t="s">
        <v>62</v>
      </c>
      <c r="J17" s="22"/>
      <c r="K17" s="22"/>
      <c r="L17" s="22"/>
      <c r="M17" s="22"/>
      <c r="N17" s="22"/>
      <c r="O17" s="22"/>
      <c r="P17" s="22"/>
    </row>
    <row r="18" spans="2:16" ht="54.6" customHeight="1">
      <c r="B18" s="72" t="s">
        <v>81</v>
      </c>
      <c r="C18" s="72"/>
      <c r="D18" s="72"/>
      <c r="E18" s="72"/>
      <c r="F18" s="73"/>
      <c r="G18" s="45"/>
      <c r="H18" s="43"/>
      <c r="I18" s="46" t="s">
        <v>63</v>
      </c>
      <c r="J18" s="22"/>
      <c r="K18" s="22"/>
      <c r="L18" s="22"/>
      <c r="M18" s="22"/>
      <c r="N18" s="22"/>
      <c r="O18" s="22"/>
      <c r="P18" s="22"/>
    </row>
    <row r="19" spans="2:16">
      <c r="B19" s="47" t="s">
        <v>82</v>
      </c>
      <c r="H19" s="22"/>
      <c r="J19" s="22"/>
      <c r="K19" s="22"/>
      <c r="L19" s="22"/>
      <c r="M19" s="22"/>
      <c r="N19" s="22"/>
      <c r="O19" s="22"/>
      <c r="P19" s="22"/>
    </row>
    <row r="20" spans="2:16">
      <c r="B20" s="48" t="s">
        <v>83</v>
      </c>
      <c r="C20" s="21" t="s">
        <v>84</v>
      </c>
      <c r="H20" s="22"/>
      <c r="J20" s="22"/>
      <c r="K20" s="22"/>
      <c r="L20" s="22"/>
      <c r="M20" s="22"/>
      <c r="N20" s="22"/>
      <c r="O20" s="22"/>
      <c r="P20" s="22"/>
    </row>
    <row r="21" spans="2:16">
      <c r="B21" s="49" t="s">
        <v>85</v>
      </c>
      <c r="C21" s="21" t="s">
        <v>86</v>
      </c>
      <c r="H21" s="22"/>
      <c r="I21" s="22"/>
      <c r="J21" s="22"/>
      <c r="K21" s="22"/>
      <c r="L21" s="22"/>
      <c r="M21" s="22"/>
      <c r="N21" s="22"/>
      <c r="O21" s="22"/>
      <c r="P21" s="22"/>
    </row>
    <row r="22" spans="2:16">
      <c r="H22" s="22"/>
      <c r="I22" s="22"/>
      <c r="J22" s="22"/>
      <c r="K22" s="22"/>
      <c r="L22" s="22"/>
      <c r="M22" s="22"/>
      <c r="N22" s="22"/>
      <c r="O22" s="22"/>
      <c r="P22" s="22"/>
    </row>
    <row r="23" spans="2:16">
      <c r="N23" s="22"/>
      <c r="O23" s="22"/>
      <c r="P23" s="22"/>
    </row>
    <row r="24" spans="2:16">
      <c r="N24" s="22"/>
      <c r="O24" s="22"/>
      <c r="P24" s="22"/>
    </row>
    <row r="25" spans="2:16">
      <c r="B25" s="74"/>
      <c r="C25" s="69"/>
      <c r="D25" s="69"/>
      <c r="E25" s="69"/>
      <c r="F25" s="69"/>
      <c r="G25" s="69"/>
      <c r="H25" s="69"/>
      <c r="I25" s="69"/>
      <c r="N25" s="22"/>
      <c r="O25" s="22"/>
      <c r="P25" s="22"/>
    </row>
    <row r="26" spans="2:16">
      <c r="B26" s="37"/>
      <c r="C26" s="38"/>
      <c r="D26" s="37"/>
      <c r="E26" s="37"/>
      <c r="F26" s="37"/>
      <c r="G26" s="37"/>
      <c r="H26" s="37"/>
      <c r="I26" s="37"/>
    </row>
    <row r="27" spans="2:16">
      <c r="B27" s="37"/>
      <c r="C27" s="37"/>
      <c r="D27" s="39" t="s">
        <v>87</v>
      </c>
      <c r="E27" s="37"/>
      <c r="F27" s="37"/>
      <c r="G27" s="37"/>
      <c r="H27" s="37"/>
      <c r="I27" s="37"/>
    </row>
    <row r="28" spans="2:16">
      <c r="B28" s="37"/>
      <c r="C28" s="37"/>
      <c r="D28" s="40" t="s">
        <v>88</v>
      </c>
      <c r="E28" s="37"/>
      <c r="F28" s="37"/>
      <c r="G28" s="37"/>
      <c r="H28" s="37"/>
      <c r="I28" s="37"/>
    </row>
    <row r="29" spans="2:16">
      <c r="B29" s="37"/>
      <c r="C29" s="37"/>
      <c r="D29" s="41" t="s">
        <v>89</v>
      </c>
      <c r="E29" s="37"/>
      <c r="F29" s="37"/>
      <c r="G29" s="37"/>
      <c r="H29" s="37"/>
      <c r="I29" s="37"/>
    </row>
    <row r="30" spans="2:16">
      <c r="B30" s="37"/>
      <c r="C30" s="37"/>
      <c r="D30" s="37"/>
      <c r="E30" s="37"/>
      <c r="F30" s="37"/>
      <c r="G30" s="37"/>
      <c r="H30" s="37"/>
      <c r="I30" s="37"/>
    </row>
    <row r="31" spans="2:16">
      <c r="B31" s="37"/>
      <c r="C31" s="37"/>
      <c r="D31" s="37"/>
      <c r="E31" s="37"/>
      <c r="F31" s="37"/>
      <c r="G31" s="37"/>
      <c r="H31" s="37"/>
      <c r="I31" s="37"/>
    </row>
    <row r="32" spans="2:16">
      <c r="B32" s="74"/>
      <c r="C32" s="69"/>
      <c r="D32" s="69"/>
      <c r="E32" s="69"/>
      <c r="F32" s="69"/>
      <c r="G32" s="69"/>
      <c r="H32" s="69"/>
      <c r="I32" s="69"/>
    </row>
  </sheetData>
  <mergeCells count="10">
    <mergeCell ref="L12:M12"/>
    <mergeCell ref="J13:K13"/>
    <mergeCell ref="J14:K14"/>
    <mergeCell ref="J15:K15"/>
    <mergeCell ref="J16:K16"/>
    <mergeCell ref="B17:F17"/>
    <mergeCell ref="B18:F18"/>
    <mergeCell ref="B25:I25"/>
    <mergeCell ref="B32:I32"/>
    <mergeCell ref="J12:K12"/>
  </mergeCells>
  <hyperlinks>
    <hyperlink ref="I18" r:id="rId1" xr:uid="{D238C0FB-9539-4A21-8A5F-44F0C079B77B}"/>
    <hyperlink ref="C21" r:id="rId2" xr:uid="{60ED93D6-304A-4914-87FC-92204D2A5372}"/>
    <hyperlink ref="C20" r:id="rId3" xr:uid="{DB3B7FB3-D541-4879-A7DB-5B73BC4ECB58}"/>
    <hyperlink ref="D29" r:id="rId4" xr:uid="{996FBDD7-75DD-4197-AFA6-6D277B5A1674}"/>
  </hyperlinks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61F85-456B-4C69-B026-EBDDB75F104B}">
  <sheetPr codeName="Sheet2"/>
  <dimension ref="A1:R35"/>
  <sheetViews>
    <sheetView topLeftCell="A10" workbookViewId="0">
      <selection activeCell="R28" sqref="R28"/>
    </sheetView>
  </sheetViews>
  <sheetFormatPr defaultRowHeight="15"/>
  <cols>
    <col min="4" max="4" width="14.7109375" customWidth="1"/>
    <col min="5" max="5" width="11" bestFit="1" customWidth="1"/>
    <col min="9" max="10" width="10" bestFit="1" customWidth="1"/>
    <col min="12" max="12" width="9.7109375" customWidth="1"/>
    <col min="13" max="13" width="23.7109375" customWidth="1"/>
  </cols>
  <sheetData>
    <row r="1" spans="1:13">
      <c r="A1" t="s">
        <v>42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</row>
    <row r="2" spans="1:13">
      <c r="A2" t="s">
        <v>66</v>
      </c>
      <c r="C2" t="s">
        <v>43</v>
      </c>
      <c r="D2" t="str">
        <f ca="1">SUBSTITUTE(_xlfn.FORMULATEXT('XL-Test'!$I39),"$","")</f>
        <v>=SUMPRODUCT(C39:C57*(1-E39:E57)*F39:F57)</v>
      </c>
      <c r="E2" t="str">
        <f ca="1">SUBSTITUTE(_xlfn.FORMULATEXT('XL-Test'!$I41),"$","")</f>
        <v>=SUMPRODUCT((C39:C57*(1-E39:E57)-D39:D57)*F39:F57)</v>
      </c>
      <c r="F2" t="str">
        <f ca="1">SUBSTITUTE(_xlfn.FORMULATEXT('XL-Test'!$I43),"$","")</f>
        <v>=SUMPRODUCT((F39:F57&lt;G39:G57)*1)</v>
      </c>
      <c r="G2" t="str">
        <f ca="1">SUBSTITUTE(_xlfn.FORMULATEXT('XL-Test'!$I45),"$","")</f>
        <v>=AVERAGE(F39:F57/G39:G57)</v>
      </c>
      <c r="H2" t="str">
        <f ca="1">SUBSTITUTE(_xlfn.FORMULATEXT('XL-Test'!$I47),"$","")</f>
        <v>=SUMPRODUCT((G39:G57&gt;F39:F57)*(G39:G57-F39:F57))</v>
      </c>
      <c r="I2" t="str">
        <f ca="1">SUBSTITUTE(_xlfn.FORMULATEXT('XL-Test'!$I49),"$","")</f>
        <v>=SUMPRODUCT((G39:G57&gt;F39:F57)*(G39:G57-F39:F57)*D39:D57)</v>
      </c>
      <c r="J2" t="str">
        <f ca="1">SUBSTITUTE(_xlfn.FORMULATEXT('XL-Test'!$I51),"$","")</f>
        <v>=MAX((C39:C57*(1-E39:E57)-D39:D57)*F39:F57*(1))</v>
      </c>
      <c r="K2" t="str">
        <f ca="1">SUBSTITUTE(_xlfn.FORMULATEXT('XL-Test'!$I53),"$","")</f>
        <v>=LET(profit; (C39:C57*(1-E39:E57)-D39:D57)*F39:F57; INDEX(B39:B57; MATCH(MAX(profit); profit; 0)))</v>
      </c>
      <c r="L2" t="str">
        <f ca="1">SUBSTITUTE(_xlfn.FORMULATEXT('XL-Test'!$I55),"$","")</f>
        <v>=LET(profit; (C39:C57*(1-E39:E57)-D39:D57)*F39:F57; INDEX(B39:B57; MATCH(MIN(profit); profit; 0)))</v>
      </c>
      <c r="M2" t="str">
        <f ca="1">SUBSTITUTE(_xlfn.FORMULATEXT('XL-Test'!$I57),"$","")</f>
        <v>=SUMPRODUCT(C39:C57*(1-(E39:E57-0,03))*F39:F57)</v>
      </c>
    </row>
    <row r="4" spans="1:13">
      <c r="C4" t="s">
        <v>44</v>
      </c>
      <c r="D4">
        <f>'XL-Test'!I39</f>
        <v>7024217500</v>
      </c>
      <c r="E4">
        <f>'XL-Test'!I41</f>
        <v>1752717500</v>
      </c>
      <c r="F4">
        <f>'XL-Test'!I43</f>
        <v>15</v>
      </c>
      <c r="G4" s="14">
        <f>'XL-Test'!I45</f>
        <v>0.86359515135258824</v>
      </c>
      <c r="H4">
        <f>'XL-Test'!I47</f>
        <v>405</v>
      </c>
      <c r="I4">
        <f>'XL-Test'!I49</f>
        <v>922500000</v>
      </c>
      <c r="J4">
        <f>'XL-Test'!I51</f>
        <v>404800000</v>
      </c>
      <c r="K4" t="str">
        <f>'XL-Test'!I53</f>
        <v>Smartphone Samsung Galaxy</v>
      </c>
      <c r="L4" t="str">
        <f>'XL-Test'!I55</f>
        <v>Flashdisk Kingston 64GB</v>
      </c>
      <c r="M4">
        <f>'XL-Test'!I57</f>
        <v>7256200000</v>
      </c>
    </row>
    <row r="6" spans="1:13">
      <c r="D6" t="str">
        <f>IFERROR(DEC2HEX(D4/10000),"EEE")</f>
        <v>AB7D5</v>
      </c>
      <c r="E6" t="str">
        <f>IFERROR(DEC2HEX(E4/10000),"EEE")</f>
        <v>2ACA7</v>
      </c>
      <c r="F6" t="str">
        <f>IFERROR(DEC2HEX(F4*522),"EEE")</f>
        <v>1E96</v>
      </c>
      <c r="G6" t="str">
        <f>IFERROR(DEC2HEX(G4*100000),"EEE")</f>
        <v>15157</v>
      </c>
      <c r="H6" t="str">
        <f>IFERROR(DEC2HEX(H4*522),"EEE")</f>
        <v>339D2</v>
      </c>
      <c r="I6" t="str">
        <f>IFERROR(DEC2HEX(I4/10000),"EEE")</f>
        <v>1685A</v>
      </c>
      <c r="J6" t="str">
        <f>IFERROR(DEC2HEX(J4/1000),"EEE")</f>
        <v>62D40</v>
      </c>
      <c r="K6" t="str">
        <f>IFERROR(DEC2HEX(CODE(LEFT(UPPER(K4)))+CODE(MID(UPPER(K4),2,1))+CODE(MID(UPPER(K4),3,1))+CODE(MID(UPPER(K4),4,1))+CODE(MID(UPPER(K4),5,1))+CODE(RIGHT(UPPER(K4)))+CODE(LEFT(RIGHT(UPPER(K4),2)))+CODE(LEFT(RIGHT(UPPER(K4),3)))+CODE(LEFT(RIGHT(UPPER(K4),4)))*12),"EEE")</f>
        <v>609</v>
      </c>
      <c r="L6" t="str">
        <f>IFERROR(DEC2HEX(CODE(LEFT(UPPER(L4)))+CODE(MID(UPPER(L4),2,1))+CODE(MID(UPPER(L4),3,1))+CODE(MID(UPPER(L4),4,1))+CODE(MID(UPPER(L4),5,1))+CODE(RIGHT(UPPER(L4)))+CODE(LEFT(RIGHT(UPPER(L4),2)))+CODE(LEFT(RIGHT(UPPER(L4),3)))+CODE(LEFT(RIGHT(UPPER(L4),4)))*12),"EEE")</f>
        <v>4B3</v>
      </c>
      <c r="M6" t="str">
        <f>IFERROR(DEC2HEX(M4/10000),"EEE")</f>
        <v>B1274</v>
      </c>
    </row>
    <row r="8" spans="1:13">
      <c r="C8" t="s">
        <v>45</v>
      </c>
      <c r="D8">
        <v>7789</v>
      </c>
      <c r="E8">
        <v>5512</v>
      </c>
      <c r="F8">
        <v>2790</v>
      </c>
      <c r="G8">
        <v>6723</v>
      </c>
      <c r="H8">
        <v>9063</v>
      </c>
      <c r="I8">
        <v>1451</v>
      </c>
      <c r="J8">
        <v>2266</v>
      </c>
      <c r="K8">
        <v>2821</v>
      </c>
      <c r="L8">
        <v>2022</v>
      </c>
      <c r="M8">
        <v>6058</v>
      </c>
    </row>
    <row r="10" spans="1:13">
      <c r="C10" t="b">
        <v>1</v>
      </c>
      <c r="D10" t="str">
        <f>DEC2HEX(LEFT(D8,2)+COLUMN())</f>
        <v>51</v>
      </c>
      <c r="E10" t="str">
        <f t="shared" ref="E10:M10" si="0">DEC2HEX(LEFT(E8,2)+COLUMN())</f>
        <v>3C</v>
      </c>
      <c r="F10" t="str">
        <f t="shared" si="0"/>
        <v>21</v>
      </c>
      <c r="G10" t="str">
        <f t="shared" si="0"/>
        <v>4A</v>
      </c>
      <c r="H10" t="str">
        <f t="shared" si="0"/>
        <v>62</v>
      </c>
      <c r="I10" t="str">
        <f t="shared" si="0"/>
        <v>17</v>
      </c>
      <c r="J10" t="str">
        <f t="shared" si="0"/>
        <v>20</v>
      </c>
      <c r="K10" t="str">
        <f t="shared" si="0"/>
        <v>27</v>
      </c>
      <c r="L10" t="str">
        <f t="shared" si="0"/>
        <v>20</v>
      </c>
      <c r="M10" t="str">
        <f t="shared" si="0"/>
        <v>49</v>
      </c>
    </row>
    <row r="11" spans="1:13">
      <c r="C11" t="b">
        <v>0</v>
      </c>
      <c r="D11" t="str">
        <f>DEC2HEX(RIGHT(D8,2)+COLUMN())</f>
        <v>5D</v>
      </c>
      <c r="E11" t="str">
        <f t="shared" ref="E11:M11" si="1">DEC2HEX(RIGHT(E8,2)+COLUMN())</f>
        <v>11</v>
      </c>
      <c r="F11" t="str">
        <f t="shared" si="1"/>
        <v>60</v>
      </c>
      <c r="G11" t="str">
        <f t="shared" si="1"/>
        <v>1E</v>
      </c>
      <c r="H11" t="str">
        <f t="shared" si="1"/>
        <v>47</v>
      </c>
      <c r="I11" t="str">
        <f t="shared" si="1"/>
        <v>3C</v>
      </c>
      <c r="J11" t="str">
        <f t="shared" si="1"/>
        <v>4C</v>
      </c>
      <c r="K11" t="str">
        <f t="shared" si="1"/>
        <v>20</v>
      </c>
      <c r="L11" t="str">
        <f t="shared" si="1"/>
        <v>22</v>
      </c>
      <c r="M11" t="str">
        <f t="shared" si="1"/>
        <v>47</v>
      </c>
    </row>
    <row r="13" spans="1:13">
      <c r="C13" t="s">
        <v>65</v>
      </c>
      <c r="D13" t="b">
        <f>NOT(OR(D4="",D4=0))</f>
        <v>1</v>
      </c>
      <c r="E13" t="b">
        <f t="shared" ref="E13:M13" si="2">NOT(OR(E4="",E4=0))</f>
        <v>1</v>
      </c>
      <c r="F13" t="b">
        <f t="shared" si="2"/>
        <v>1</v>
      </c>
      <c r="G13" t="b">
        <f t="shared" si="2"/>
        <v>1</v>
      </c>
      <c r="H13" t="b">
        <f t="shared" si="2"/>
        <v>1</v>
      </c>
      <c r="I13" t="b">
        <f t="shared" si="2"/>
        <v>1</v>
      </c>
      <c r="J13" t="b">
        <f t="shared" si="2"/>
        <v>1</v>
      </c>
      <c r="K13" t="b">
        <f t="shared" si="2"/>
        <v>1</v>
      </c>
      <c r="L13" t="b">
        <f t="shared" si="2"/>
        <v>1</v>
      </c>
      <c r="M13" t="b">
        <f t="shared" si="2"/>
        <v>1</v>
      </c>
    </row>
    <row r="14" spans="1:13">
      <c r="C14" t="s">
        <v>46</v>
      </c>
      <c r="D14" t="b">
        <f ca="1">AND(ISNUMBER(FIND("=",D2)),ISNUMBER(FIND("(",D2)))</f>
        <v>1</v>
      </c>
      <c r="E14" t="b">
        <f t="shared" ref="E14:M14" ca="1" si="3">AND(ISNUMBER(FIND("=",E2)),ISNUMBER(FIND("(",E2)))</f>
        <v>1</v>
      </c>
      <c r="F14" t="b">
        <f t="shared" ca="1" si="3"/>
        <v>1</v>
      </c>
      <c r="G14" t="b">
        <f t="shared" ca="1" si="3"/>
        <v>1</v>
      </c>
      <c r="H14" t="b">
        <f t="shared" ca="1" si="3"/>
        <v>1</v>
      </c>
      <c r="I14" t="b">
        <f t="shared" ca="1" si="3"/>
        <v>1</v>
      </c>
      <c r="J14" t="b">
        <f t="shared" ca="1" si="3"/>
        <v>1</v>
      </c>
      <c r="K14" t="b">
        <f t="shared" ca="1" si="3"/>
        <v>1</v>
      </c>
      <c r="L14" t="b">
        <f t="shared" ca="1" si="3"/>
        <v>1</v>
      </c>
      <c r="M14" t="b">
        <f t="shared" ca="1" si="3"/>
        <v>1</v>
      </c>
    </row>
    <row r="15" spans="1:13">
      <c r="C15" t="s">
        <v>47</v>
      </c>
      <c r="D15" t="b">
        <f ca="1">AND(ISNUMBER(FIND(":C",D2)),ISNUMBER(FIND(":E",D2)),ISNUMBER(FIND(":F",D2)))</f>
        <v>1</v>
      </c>
      <c r="E15" t="b">
        <f ca="1">OR(AND(ISNUMBER(FIND(":C",E2)),ISNUMBER(FIND(":E",E2)),ISNUMBER(FIND(":F",E2))),AND(ISNUMBER(FIND(":D",E2)),ISNUMBER(FIND(":F",E2))))</f>
        <v>1</v>
      </c>
      <c r="F15" t="b">
        <f ca="1">AND(ISNUMBER(FIND(":F",F2)),ISNUMBER(FIND(":G",F2)))</f>
        <v>1</v>
      </c>
      <c r="G15" t="b">
        <f ca="1">AND(ISNUMBER(FIND(":F",G2)),ISNUMBER(FIND(":G",G2)))</f>
        <v>1</v>
      </c>
      <c r="H15" t="b">
        <f ca="1">AND(ISNUMBER(FIND(":F",H2)),ISNUMBER(FIND(":G",H2)))</f>
        <v>1</v>
      </c>
      <c r="I15" t="b">
        <f ca="1">AND(ISNUMBER(FIND(":F",I2)),ISNUMBER(FIND(":G",I2)))</f>
        <v>1</v>
      </c>
      <c r="J15" t="b">
        <f t="shared" ref="J15:M15" ca="1" si="4">AND(ISNUMBER(FIND(":C",J2)),ISNUMBER(FIND(":E",J2)),ISNUMBER(FIND(":F",J2)))</f>
        <v>1</v>
      </c>
      <c r="K15" t="b">
        <f t="shared" ca="1" si="4"/>
        <v>1</v>
      </c>
      <c r="L15" t="b">
        <f t="shared" ca="1" si="4"/>
        <v>1</v>
      </c>
      <c r="M15" t="b">
        <f t="shared" ca="1" si="4"/>
        <v>1</v>
      </c>
    </row>
    <row r="17" spans="3:18">
      <c r="C17" t="s">
        <v>64</v>
      </c>
      <c r="D17" t="b">
        <f ca="1">AND(D13:D15)</f>
        <v>1</v>
      </c>
      <c r="E17" t="b">
        <f t="shared" ref="E17:M17" ca="1" si="5">AND(E13:E15)</f>
        <v>1</v>
      </c>
      <c r="F17" t="b">
        <f t="shared" ca="1" si="5"/>
        <v>1</v>
      </c>
      <c r="G17" t="b">
        <f t="shared" ca="1" si="5"/>
        <v>1</v>
      </c>
      <c r="H17" t="b">
        <f t="shared" ca="1" si="5"/>
        <v>1</v>
      </c>
      <c r="I17" t="b">
        <f t="shared" ca="1" si="5"/>
        <v>1</v>
      </c>
      <c r="J17" t="b">
        <f t="shared" ca="1" si="5"/>
        <v>1</v>
      </c>
      <c r="K17" t="b">
        <f t="shared" ca="1" si="5"/>
        <v>1</v>
      </c>
      <c r="L17" t="b">
        <f t="shared" ca="1" si="5"/>
        <v>1</v>
      </c>
      <c r="M17" t="b">
        <f t="shared" ca="1" si="5"/>
        <v>1</v>
      </c>
    </row>
    <row r="18" spans="3:18">
      <c r="D18" t="str">
        <f ca="1">IFERROR(IF(D17,D6,DEC2HEX(D8)),"EEE")</f>
        <v>AB7D5</v>
      </c>
      <c r="E18" t="str">
        <f t="shared" ref="E18:M18" ca="1" si="6">IFERROR(IF(E17,E6,DEC2HEX(E8)),"EEE")</f>
        <v>2ACA7</v>
      </c>
      <c r="F18" t="str">
        <f t="shared" ca="1" si="6"/>
        <v>1E96</v>
      </c>
      <c r="G18" t="str">
        <f t="shared" ca="1" si="6"/>
        <v>15157</v>
      </c>
      <c r="H18" t="str">
        <f t="shared" ca="1" si="6"/>
        <v>339D2</v>
      </c>
      <c r="I18" t="str">
        <f t="shared" ca="1" si="6"/>
        <v>1685A</v>
      </c>
      <c r="J18" t="str">
        <f t="shared" ca="1" si="6"/>
        <v>62D40</v>
      </c>
      <c r="K18" t="str">
        <f t="shared" ca="1" si="6"/>
        <v>609</v>
      </c>
      <c r="L18" t="str">
        <f t="shared" ca="1" si="6"/>
        <v>4B3</v>
      </c>
      <c r="M18" t="str">
        <f t="shared" ca="1" si="6"/>
        <v>B1274</v>
      </c>
      <c r="Q18">
        <v>1</v>
      </c>
      <c r="R18" t="s">
        <v>77</v>
      </c>
    </row>
    <row r="19" spans="3:18">
      <c r="Q19">
        <v>2</v>
      </c>
      <c r="R19" t="s">
        <v>76</v>
      </c>
    </row>
    <row r="20" spans="3:18">
      <c r="C20" t="s">
        <v>48</v>
      </c>
      <c r="D20" t="b">
        <f ca="1">AND(ISNUMBER(FIND("SUM",D2)))</f>
        <v>1</v>
      </c>
      <c r="E20" t="b">
        <f t="shared" ref="E20:M20" ca="1" si="7">AND(ISNUMBER(FIND("SUM",E2)))</f>
        <v>1</v>
      </c>
      <c r="F20" t="b">
        <f t="shared" ca="1" si="7"/>
        <v>1</v>
      </c>
      <c r="G20" t="b">
        <f ca="1">AND(ISNUMBER(FIND("AVE",G2)))</f>
        <v>1</v>
      </c>
      <c r="H20" t="b">
        <f t="shared" ca="1" si="7"/>
        <v>1</v>
      </c>
      <c r="I20" t="b">
        <f t="shared" ca="1" si="7"/>
        <v>1</v>
      </c>
      <c r="J20" t="b">
        <f ca="1">AND(ISNUMBER(FIND("MAX",J2)))</f>
        <v>1</v>
      </c>
      <c r="K20" t="b">
        <f ca="1">AND(ISNUMBER(FIND("INDE",K2)),ISNUMBER(FIND("MAX",K2)))</f>
        <v>1</v>
      </c>
      <c r="L20" t="b">
        <f ca="1">AND(ISNUMBER(FIND("INDE",L2)),ISNUMBER(FIND("MIN",L2)))</f>
        <v>1</v>
      </c>
      <c r="M20" t="b">
        <f t="shared" ca="1" si="7"/>
        <v>1</v>
      </c>
    </row>
    <row r="22" spans="3:18">
      <c r="D22">
        <f ca="1">IFERROR(LEN(D2)-LEN(SUBSTITUTE(D2,"(","")),99)</f>
        <v>2</v>
      </c>
      <c r="E22">
        <f t="shared" ref="E22:M22" ca="1" si="8">IFERROR(LEN(E2)-LEN(SUBSTITUTE(E2,"(","")),99)</f>
        <v>3</v>
      </c>
      <c r="F22">
        <f t="shared" ca="1" si="8"/>
        <v>2</v>
      </c>
      <c r="G22">
        <f t="shared" ca="1" si="8"/>
        <v>1</v>
      </c>
      <c r="H22">
        <f t="shared" ca="1" si="8"/>
        <v>3</v>
      </c>
      <c r="I22">
        <f t="shared" ca="1" si="8"/>
        <v>3</v>
      </c>
      <c r="J22">
        <f t="shared" ca="1" si="8"/>
        <v>4</v>
      </c>
      <c r="K22">
        <f t="shared" ca="1" si="8"/>
        <v>6</v>
      </c>
      <c r="L22">
        <f t="shared" ca="1" si="8"/>
        <v>6</v>
      </c>
      <c r="M22">
        <f t="shared" ca="1" si="8"/>
        <v>3</v>
      </c>
    </row>
    <row r="23" spans="3:18">
      <c r="D23">
        <v>5</v>
      </c>
      <c r="E23">
        <v>5</v>
      </c>
      <c r="F23">
        <v>3</v>
      </c>
      <c r="G23">
        <v>2</v>
      </c>
      <c r="H23">
        <v>4</v>
      </c>
      <c r="I23">
        <v>4</v>
      </c>
      <c r="J23">
        <v>5</v>
      </c>
      <c r="K23">
        <v>10</v>
      </c>
      <c r="L23">
        <v>10</v>
      </c>
      <c r="M23">
        <v>5</v>
      </c>
    </row>
    <row r="25" spans="3:18">
      <c r="D25" t="b">
        <f ca="1">D22&lt;=D23</f>
        <v>1</v>
      </c>
      <c r="E25" t="b">
        <f t="shared" ref="E25:M25" ca="1" si="9">E22&lt;=E23</f>
        <v>1</v>
      </c>
      <c r="F25" t="b">
        <f t="shared" ca="1" si="9"/>
        <v>1</v>
      </c>
      <c r="G25" t="b">
        <f t="shared" ca="1" si="9"/>
        <v>1</v>
      </c>
      <c r="H25" t="b">
        <f t="shared" ca="1" si="9"/>
        <v>1</v>
      </c>
      <c r="I25" t="b">
        <f t="shared" ca="1" si="9"/>
        <v>1</v>
      </c>
      <c r="J25" t="b">
        <f t="shared" ca="1" si="9"/>
        <v>1</v>
      </c>
      <c r="K25" t="b">
        <f t="shared" ca="1" si="9"/>
        <v>1</v>
      </c>
      <c r="L25" t="b">
        <f t="shared" ca="1" si="9"/>
        <v>1</v>
      </c>
      <c r="M25" t="b">
        <f t="shared" ca="1" si="9"/>
        <v>1</v>
      </c>
    </row>
    <row r="27" spans="3:18">
      <c r="C27" t="s">
        <v>64</v>
      </c>
      <c r="D27" t="b">
        <f ca="1">AND(D25,D20)</f>
        <v>1</v>
      </c>
      <c r="E27" t="b">
        <f t="shared" ref="E27:M27" ca="1" si="10">AND(E25,E20)</f>
        <v>1</v>
      </c>
      <c r="F27" t="b">
        <f t="shared" ca="1" si="10"/>
        <v>1</v>
      </c>
      <c r="G27" t="b">
        <f t="shared" ca="1" si="10"/>
        <v>1</v>
      </c>
      <c r="H27" t="b">
        <f t="shared" ca="1" si="10"/>
        <v>1</v>
      </c>
      <c r="I27" t="b">
        <f t="shared" ca="1" si="10"/>
        <v>1</v>
      </c>
      <c r="J27" t="b">
        <f t="shared" ca="1" si="10"/>
        <v>1</v>
      </c>
      <c r="K27" t="b">
        <f t="shared" ca="1" si="10"/>
        <v>1</v>
      </c>
      <c r="L27" t="b">
        <f t="shared" ca="1" si="10"/>
        <v>1</v>
      </c>
      <c r="M27" t="b">
        <f t="shared" ca="1" si="10"/>
        <v>1</v>
      </c>
    </row>
    <row r="29" spans="3:18">
      <c r="D29" t="str">
        <f ca="1">IF(D27,D10,D11)&amp;"-"&amp;D18&amp;";"</f>
        <v>51-AB7D5;</v>
      </c>
      <c r="E29" t="str">
        <f t="shared" ref="E29:L29" ca="1" si="11">IF(E27,E10,E11)&amp;"-"&amp;E18&amp;";"</f>
        <v>3C-2ACA7;</v>
      </c>
      <c r="F29" t="str">
        <f t="shared" ca="1" si="11"/>
        <v>21-1E96;</v>
      </c>
      <c r="G29" t="str">
        <f t="shared" ca="1" si="11"/>
        <v>4A-15157;</v>
      </c>
      <c r="H29" t="str">
        <f t="shared" ca="1" si="11"/>
        <v>62-339D2;</v>
      </c>
      <c r="I29" t="str">
        <f t="shared" ca="1" si="11"/>
        <v>17-1685A;</v>
      </c>
      <c r="J29" t="str">
        <f t="shared" ca="1" si="11"/>
        <v>20-62D40;</v>
      </c>
      <c r="K29" t="str">
        <f t="shared" ca="1" si="11"/>
        <v>27-609;</v>
      </c>
      <c r="L29" t="str">
        <f t="shared" ca="1" si="11"/>
        <v>20-4B3;</v>
      </c>
      <c r="M29" t="str">
        <f ca="1">IF(M27,M10,M11)&amp;"-"&amp;M18</f>
        <v>49-B1274</v>
      </c>
      <c r="O29" t="s">
        <v>75</v>
      </c>
      <c r="P29" t="s">
        <v>76</v>
      </c>
    </row>
    <row r="31" spans="3:18">
      <c r="D31" t="str" cm="1">
        <f t="array" aca="1" ref="D31" ca="1">INDIRECT(O29&amp;VLOOKUP(2,Q18:R19,2,0))</f>
        <v>MJ2|51-AB7D5;3C-2ACA7;21-1E96;4A-15157;62-339D2;17-1685A;20-62D40;27-609;20-4B3;49-B1274</v>
      </c>
    </row>
    <row r="35" spans="4:4">
      <c r="D35" t="str">
        <f ca="1">A2&amp;"|"&amp;D29&amp;E29&amp;F29&amp;G29&amp;H29&amp;I29&amp;J29&amp;K29&amp;L29&amp;M29</f>
        <v>MJ2|51-AB7D5;3C-2ACA7;21-1E96;4A-15157;62-339D2;17-1685A;20-62D40;27-609;20-4B3;49-B1274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XL-Test</vt:lpstr>
      <vt:lpstr>About</vt:lpstr>
      <vt:lpstr>kode_jawaban</vt:lpstr>
      <vt:lpstr>DF!saya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 setiadi</dc:creator>
  <cp:lastModifiedBy>Siti Rukoyah Al Munazalah</cp:lastModifiedBy>
  <dcterms:created xsi:type="dcterms:W3CDTF">2025-10-02T15:33:31Z</dcterms:created>
  <dcterms:modified xsi:type="dcterms:W3CDTF">2026-06-09T08:38:47Z</dcterms:modified>
</cp:coreProperties>
</file>