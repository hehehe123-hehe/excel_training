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7ECFF566-935F-4949-96D1-98D9A5C9FF37}" xr6:coauthVersionLast="47" xr6:coauthVersionMax="47" xr10:uidLastSave="{00000000-0000-0000-0000-000000000000}"/>
  <workbookProtection workbookAlgorithmName="SHA-512" workbookHashValue="1BcPeodkvMJAueMl11sh3RRGKo8nSIir4a+GJsmHpcE2YuUDDYlvezNlgPQp2uoxEBbrG+m0kt6T2wFfy0D0nw==" workbookSaltValue="hlxL6cvJmyHtPeroliCOyQ==" workbookSpinCount="100000" lockStructure="1"/>
  <bookViews>
    <workbookView xWindow="-120" yWindow="-120" windowWidth="20730" windowHeight="11760" xr2:uid="{F08B91E5-40EB-42D3-8CF4-57CB1FF39E77}"/>
  </bookViews>
  <sheets>
    <sheet name="XL-Test" sheetId="1" r:id="rId1"/>
    <sheet name="About" sheetId="4" r:id="rId2"/>
    <sheet name="DF" sheetId="2" state="veryHidden" r:id="rId3"/>
  </sheets>
  <definedNames>
    <definedName name="Baris" localSheetId="2">DF!$M$1</definedName>
    <definedName name="jmlAND">DF!$X$13</definedName>
    <definedName name="jmlIF">DF!$X$12</definedName>
    <definedName name="jmlNOT">DF!$X$15</definedName>
    <definedName name="jmlOR">DF!$X$14</definedName>
    <definedName name="kode_jawaban">DF!$C$34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1" l="1"/>
  <c r="I56" i="1"/>
  <c r="J56" i="1"/>
  <c r="K56" i="1"/>
  <c r="L56" i="1"/>
  <c r="M56" i="1"/>
  <c r="N56" i="1"/>
  <c r="H57" i="1"/>
  <c r="I57" i="1"/>
  <c r="J57" i="1"/>
  <c r="K57" i="1"/>
  <c r="L57" i="1"/>
  <c r="M57" i="1"/>
  <c r="N57" i="1"/>
  <c r="H58" i="1"/>
  <c r="I58" i="1"/>
  <c r="J58" i="1"/>
  <c r="K58" i="1"/>
  <c r="L58" i="1"/>
  <c r="M58" i="1"/>
  <c r="N58" i="1"/>
  <c r="H59" i="1"/>
  <c r="I59" i="1"/>
  <c r="J59" i="1"/>
  <c r="K59" i="1"/>
  <c r="L59" i="1"/>
  <c r="M59" i="1"/>
  <c r="N59" i="1"/>
  <c r="H60" i="1"/>
  <c r="I60" i="1"/>
  <c r="J60" i="1"/>
  <c r="K60" i="1"/>
  <c r="L60" i="1"/>
  <c r="M60" i="1"/>
  <c r="N60" i="1"/>
  <c r="H61" i="1"/>
  <c r="I61" i="1"/>
  <c r="J61" i="1"/>
  <c r="K61" i="1"/>
  <c r="L61" i="1"/>
  <c r="M61" i="1"/>
  <c r="N61" i="1"/>
  <c r="H62" i="1"/>
  <c r="I62" i="1"/>
  <c r="J62" i="1"/>
  <c r="K62" i="1"/>
  <c r="L62" i="1"/>
  <c r="M62" i="1"/>
  <c r="N62" i="1"/>
  <c r="H63" i="1"/>
  <c r="I63" i="1"/>
  <c r="J63" i="1"/>
  <c r="K63" i="1"/>
  <c r="L63" i="1"/>
  <c r="M63" i="1"/>
  <c r="N63" i="1"/>
  <c r="H64" i="1"/>
  <c r="I64" i="1"/>
  <c r="J64" i="1"/>
  <c r="K64" i="1"/>
  <c r="L64" i="1"/>
  <c r="M64" i="1"/>
  <c r="N64" i="1"/>
  <c r="H65" i="1"/>
  <c r="I65" i="1"/>
  <c r="J65" i="1"/>
  <c r="K65" i="1"/>
  <c r="L65" i="1"/>
  <c r="M65" i="1"/>
  <c r="N65" i="1"/>
  <c r="H66" i="1"/>
  <c r="I66" i="1"/>
  <c r="J66" i="1"/>
  <c r="K66" i="1"/>
  <c r="L66" i="1"/>
  <c r="M66" i="1"/>
  <c r="N66" i="1"/>
  <c r="H67" i="1"/>
  <c r="I67" i="1"/>
  <c r="J67" i="1"/>
  <c r="K67" i="1"/>
  <c r="L67" i="1"/>
  <c r="M67" i="1"/>
  <c r="N67" i="1"/>
  <c r="H68" i="1"/>
  <c r="I68" i="1"/>
  <c r="J68" i="1"/>
  <c r="K68" i="1"/>
  <c r="L68" i="1"/>
  <c r="M68" i="1"/>
  <c r="N68" i="1"/>
  <c r="N55" i="1"/>
  <c r="M55" i="1"/>
  <c r="L55" i="1"/>
  <c r="K55" i="1"/>
  <c r="J55" i="1"/>
  <c r="I55" i="1"/>
  <c r="H55" i="1"/>
  <c r="C3" i="2"/>
  <c r="C59" i="2" s="1"/>
  <c r="C4" i="2"/>
  <c r="C60" i="2" s="1"/>
  <c r="C5" i="2"/>
  <c r="C61" i="2" s="1"/>
  <c r="C6" i="2"/>
  <c r="C62" i="2" s="1"/>
  <c r="C7" i="2"/>
  <c r="C63" i="2" s="1"/>
  <c r="C8" i="2"/>
  <c r="C64" i="2" s="1"/>
  <c r="C9" i="2"/>
  <c r="C65" i="2" s="1"/>
  <c r="C10" i="2"/>
  <c r="C66" i="2" s="1"/>
  <c r="C11" i="2"/>
  <c r="C67" i="2" s="1"/>
  <c r="C12" i="2"/>
  <c r="C68" i="2" s="1"/>
  <c r="C13" i="2"/>
  <c r="C69" i="2" s="1"/>
  <c r="C14" i="2"/>
  <c r="C70" i="2" s="1"/>
  <c r="C15" i="2"/>
  <c r="C71" i="2" s="1"/>
  <c r="C2" i="2"/>
  <c r="F9" i="2"/>
  <c r="F65" i="2" s="1"/>
  <c r="F10" i="2"/>
  <c r="F66" i="2" s="1"/>
  <c r="F11" i="2"/>
  <c r="F67" i="2" s="1"/>
  <c r="F12" i="2"/>
  <c r="F68" i="2" s="1"/>
  <c r="F13" i="2"/>
  <c r="F69" i="2" s="1"/>
  <c r="F14" i="2"/>
  <c r="F70" i="2" s="1"/>
  <c r="F15" i="2"/>
  <c r="F71" i="2" s="1"/>
  <c r="F3" i="2"/>
  <c r="F59" i="2" s="1"/>
  <c r="F4" i="2"/>
  <c r="F60" i="2" s="1"/>
  <c r="F5" i="2"/>
  <c r="F61" i="2" s="1"/>
  <c r="F6" i="2"/>
  <c r="F62" i="2" s="1"/>
  <c r="F7" i="2"/>
  <c r="F63" i="2" s="1"/>
  <c r="F8" i="2"/>
  <c r="F64" i="2" s="1"/>
  <c r="H15" i="2"/>
  <c r="H71" i="2" s="1"/>
  <c r="H14" i="2"/>
  <c r="H70" i="2" s="1"/>
  <c r="H13" i="2"/>
  <c r="H69" i="2" s="1"/>
  <c r="H12" i="2"/>
  <c r="H68" i="2" s="1"/>
  <c r="H11" i="2"/>
  <c r="H67" i="2" s="1"/>
  <c r="H10" i="2"/>
  <c r="H66" i="2" s="1"/>
  <c r="H9" i="2"/>
  <c r="H65" i="2" s="1"/>
  <c r="H8" i="2"/>
  <c r="H64" i="2" s="1"/>
  <c r="H7" i="2"/>
  <c r="H63" i="2" s="1"/>
  <c r="H6" i="2"/>
  <c r="H62" i="2" s="1"/>
  <c r="H5" i="2"/>
  <c r="H61" i="2" s="1"/>
  <c r="H4" i="2"/>
  <c r="H60" i="2" s="1"/>
  <c r="H3" i="2"/>
  <c r="H59" i="2" s="1"/>
  <c r="I11" i="2"/>
  <c r="I67" i="2" s="1"/>
  <c r="I14" i="2"/>
  <c r="I70" i="2" s="1"/>
  <c r="I15" i="2"/>
  <c r="I71" i="2" s="1"/>
  <c r="I13" i="2"/>
  <c r="I69" i="2" s="1"/>
  <c r="I12" i="2"/>
  <c r="I68" i="2" s="1"/>
  <c r="I10" i="2"/>
  <c r="I66" i="2" s="1"/>
  <c r="I9" i="2"/>
  <c r="I65" i="2" s="1"/>
  <c r="I8" i="2"/>
  <c r="I64" i="2" s="1"/>
  <c r="I7" i="2"/>
  <c r="I63" i="2" s="1"/>
  <c r="I6" i="2"/>
  <c r="I62" i="2" s="1"/>
  <c r="I5" i="2"/>
  <c r="I61" i="2" s="1"/>
  <c r="I4" i="2"/>
  <c r="I60" i="2" s="1"/>
  <c r="I3" i="2"/>
  <c r="I59" i="2" s="1"/>
  <c r="G3" i="2"/>
  <c r="G59" i="2" s="1"/>
  <c r="G4" i="2"/>
  <c r="G60" i="2" s="1"/>
  <c r="G5" i="2"/>
  <c r="G61" i="2" s="1"/>
  <c r="G6" i="2"/>
  <c r="G62" i="2" s="1"/>
  <c r="G7" i="2"/>
  <c r="G63" i="2" s="1"/>
  <c r="G8" i="2"/>
  <c r="G64" i="2" s="1"/>
  <c r="G9" i="2"/>
  <c r="G65" i="2" s="1"/>
  <c r="G10" i="2"/>
  <c r="G66" i="2" s="1"/>
  <c r="G11" i="2"/>
  <c r="G67" i="2" s="1"/>
  <c r="G12" i="2"/>
  <c r="G68" i="2" s="1"/>
  <c r="G13" i="2"/>
  <c r="G69" i="2" s="1"/>
  <c r="G14" i="2"/>
  <c r="G70" i="2" s="1"/>
  <c r="G15" i="2"/>
  <c r="G71" i="2" s="1"/>
  <c r="G2" i="2"/>
  <c r="E15" i="2"/>
  <c r="E71" i="2" s="1"/>
  <c r="E14" i="2"/>
  <c r="E70" i="2" s="1"/>
  <c r="E13" i="2"/>
  <c r="E69" i="2" s="1"/>
  <c r="E12" i="2"/>
  <c r="E68" i="2" s="1"/>
  <c r="E11" i="2"/>
  <c r="E67" i="2" s="1"/>
  <c r="E10" i="2"/>
  <c r="E66" i="2" s="1"/>
  <c r="E9" i="2"/>
  <c r="E65" i="2" s="1"/>
  <c r="E8" i="2"/>
  <c r="E64" i="2" s="1"/>
  <c r="E7" i="2"/>
  <c r="E63" i="2" s="1"/>
  <c r="E6" i="2"/>
  <c r="E62" i="2" s="1"/>
  <c r="E5" i="2"/>
  <c r="E61" i="2" s="1"/>
  <c r="E4" i="2"/>
  <c r="E60" i="2" s="1"/>
  <c r="E3" i="2"/>
  <c r="E59" i="2" s="1"/>
  <c r="E2" i="2"/>
  <c r="D3" i="2"/>
  <c r="D59" i="2" s="1"/>
  <c r="D4" i="2"/>
  <c r="D60" i="2" s="1"/>
  <c r="D5" i="2"/>
  <c r="D61" i="2" s="1"/>
  <c r="D6" i="2"/>
  <c r="D62" i="2" s="1"/>
  <c r="D7" i="2"/>
  <c r="D63" i="2" s="1"/>
  <c r="D8" i="2"/>
  <c r="D64" i="2" s="1"/>
  <c r="D9" i="2"/>
  <c r="D65" i="2" s="1"/>
  <c r="D10" i="2"/>
  <c r="D66" i="2" s="1"/>
  <c r="D11" i="2"/>
  <c r="D67" i="2" s="1"/>
  <c r="D12" i="2"/>
  <c r="D68" i="2" s="1"/>
  <c r="D13" i="2"/>
  <c r="D69" i="2" s="1"/>
  <c r="D14" i="2"/>
  <c r="D70" i="2" s="1"/>
  <c r="D15" i="2"/>
  <c r="D71" i="2" s="1"/>
  <c r="D2" i="2"/>
  <c r="M1" i="2"/>
  <c r="D38" i="2"/>
  <c r="E38" i="2"/>
  <c r="F38" i="2"/>
  <c r="G38" i="2"/>
  <c r="H38" i="2"/>
  <c r="I38" i="2"/>
  <c r="J38" i="2"/>
  <c r="D39" i="2"/>
  <c r="E39" i="2"/>
  <c r="F39" i="2"/>
  <c r="G39" i="2"/>
  <c r="H39" i="2"/>
  <c r="I39" i="2"/>
  <c r="J39" i="2"/>
  <c r="D40" i="2"/>
  <c r="E40" i="2"/>
  <c r="F40" i="2"/>
  <c r="G40" i="2"/>
  <c r="H40" i="2"/>
  <c r="I40" i="2"/>
  <c r="J40" i="2"/>
  <c r="D41" i="2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J2" i="2"/>
  <c r="U2" i="2"/>
  <c r="T2" i="2"/>
  <c r="S2" i="2"/>
  <c r="R2" i="2"/>
  <c r="Q2" i="2"/>
  <c r="P2" i="2"/>
  <c r="O2" i="2"/>
  <c r="D23" i="2"/>
  <c r="E23" i="2"/>
  <c r="F23" i="2"/>
  <c r="G23" i="2"/>
  <c r="H23" i="2"/>
  <c r="I23" i="2"/>
  <c r="C23" i="2"/>
  <c r="D22" i="2"/>
  <c r="E22" i="2"/>
  <c r="F22" i="2"/>
  <c r="G22" i="2"/>
  <c r="H22" i="2"/>
  <c r="I22" i="2"/>
  <c r="C22" i="2"/>
  <c r="I2" i="2" l="1"/>
  <c r="H2" i="2"/>
  <c r="F2" i="2"/>
  <c r="F58" i="2"/>
  <c r="H58" i="2"/>
  <c r="I58" i="2"/>
  <c r="G58" i="2"/>
  <c r="E58" i="2"/>
  <c r="D58" i="2"/>
  <c r="C58" i="2"/>
  <c r="C17" i="2" s="1"/>
  <c r="C18" i="2" s="1"/>
  <c r="I25" i="2"/>
  <c r="I26" i="2"/>
  <c r="H25" i="2"/>
  <c r="H26" i="2"/>
  <c r="G25" i="2"/>
  <c r="G26" i="2"/>
  <c r="F25" i="2"/>
  <c r="F26" i="2"/>
  <c r="E25" i="2"/>
  <c r="E26" i="2"/>
  <c r="D25" i="2"/>
  <c r="D26" i="2"/>
  <c r="C25" i="2"/>
  <c r="C26" i="2"/>
  <c r="D17" i="2"/>
  <c r="D18" i="2" s="1"/>
  <c r="F17" i="2"/>
  <c r="F18" i="2" s="1"/>
  <c r="G17" i="2"/>
  <c r="G18" i="2" s="1"/>
  <c r="I17" i="2"/>
  <c r="I18" i="2" s="1"/>
  <c r="E17" i="2"/>
  <c r="E18" i="2" s="1"/>
  <c r="H17" i="2"/>
  <c r="H18" i="2" s="1"/>
  <c r="D53" i="2"/>
  <c r="D54" i="2"/>
  <c r="E53" i="2"/>
  <c r="E54" i="2"/>
  <c r="F53" i="2"/>
  <c r="F54" i="2"/>
  <c r="G53" i="2"/>
  <c r="G54" i="2"/>
  <c r="H53" i="2"/>
  <c r="H54" i="2"/>
  <c r="I53" i="2"/>
  <c r="I54" i="2"/>
  <c r="J53" i="2"/>
  <c r="C53" i="2"/>
  <c r="C54" i="2"/>
  <c r="U15" i="2"/>
  <c r="U12" i="2"/>
  <c r="T15" i="2"/>
  <c r="T12" i="2"/>
  <c r="S15" i="2"/>
  <c r="S12" i="2"/>
  <c r="R15" i="2"/>
  <c r="R12" i="2"/>
  <c r="Q15" i="2"/>
  <c r="Q12" i="2"/>
  <c r="P15" i="2"/>
  <c r="P12" i="2"/>
  <c r="O15" i="2"/>
  <c r="O12" i="2"/>
  <c r="U13" i="2"/>
  <c r="U14" i="2"/>
  <c r="T13" i="2"/>
  <c r="T14" i="2"/>
  <c r="S13" i="2"/>
  <c r="S14" i="2"/>
  <c r="R13" i="2"/>
  <c r="R14" i="2"/>
  <c r="Q13" i="2"/>
  <c r="Q14" i="2"/>
  <c r="P13" i="2"/>
  <c r="P14" i="2"/>
  <c r="O13" i="2"/>
  <c r="O14" i="2"/>
  <c r="J3" i="2"/>
  <c r="J4" i="2"/>
  <c r="J5" i="2"/>
  <c r="J6" i="2"/>
  <c r="J54" i="2" s="1"/>
  <c r="J7" i="2"/>
  <c r="J8" i="2"/>
  <c r="J9" i="2"/>
  <c r="J10" i="2"/>
  <c r="J11" i="2"/>
  <c r="J12" i="2"/>
  <c r="J13" i="2"/>
  <c r="J14" i="2"/>
  <c r="J15" i="2"/>
  <c r="O3" i="2"/>
  <c r="O5" i="2"/>
  <c r="O6" i="2"/>
  <c r="O7" i="2"/>
  <c r="O8" i="2"/>
  <c r="O4" i="2"/>
  <c r="U36" i="2" l="1"/>
  <c r="U38" i="2" s="1"/>
  <c r="T36" i="2"/>
  <c r="T38" i="2" s="1"/>
  <c r="S36" i="2"/>
  <c r="S38" i="2" s="1"/>
  <c r="Q36" i="2"/>
  <c r="Q38" i="2" s="1"/>
  <c r="O36" i="2"/>
  <c r="O38" i="2" s="1"/>
  <c r="P36" i="2"/>
  <c r="P38" i="2" s="1"/>
  <c r="R36" i="2"/>
  <c r="R38" i="2" s="1"/>
  <c r="E56" i="2"/>
  <c r="F56" i="2"/>
  <c r="O27" i="2"/>
  <c r="O31" i="2" s="1"/>
  <c r="P27" i="2"/>
  <c r="P31" i="2" s="1"/>
  <c r="Q27" i="2"/>
  <c r="Q31" i="2" s="1"/>
  <c r="R27" i="2"/>
  <c r="R31" i="2" s="1"/>
  <c r="S27" i="2"/>
  <c r="S31" i="2" s="1"/>
  <c r="T27" i="2"/>
  <c r="T31" i="2" s="1"/>
  <c r="U27" i="2"/>
  <c r="U31" i="2" s="1"/>
  <c r="O25" i="2"/>
  <c r="O29" i="2" s="1"/>
  <c r="P25" i="2"/>
  <c r="P29" i="2" s="1"/>
  <c r="Q25" i="2"/>
  <c r="Q29" i="2" s="1"/>
  <c r="R25" i="2"/>
  <c r="R29" i="2" s="1"/>
  <c r="S25" i="2"/>
  <c r="S29" i="2" s="1"/>
  <c r="T25" i="2"/>
  <c r="T29" i="2" s="1"/>
  <c r="U25" i="2"/>
  <c r="U29" i="2" s="1"/>
  <c r="O26" i="2"/>
  <c r="O30" i="2" s="1"/>
  <c r="P26" i="2"/>
  <c r="P30" i="2" s="1"/>
  <c r="Q26" i="2"/>
  <c r="Q30" i="2" s="1"/>
  <c r="R26" i="2"/>
  <c r="R30" i="2" s="1"/>
  <c r="S26" i="2"/>
  <c r="S30" i="2" s="1"/>
  <c r="T26" i="2"/>
  <c r="T30" i="2" s="1"/>
  <c r="U26" i="2"/>
  <c r="U30" i="2" s="1"/>
  <c r="O24" i="2"/>
  <c r="O28" i="2" s="1"/>
  <c r="P24" i="2"/>
  <c r="P28" i="2" s="1"/>
  <c r="Q24" i="2"/>
  <c r="Q28" i="2" s="1"/>
  <c r="R24" i="2"/>
  <c r="R28" i="2" s="1"/>
  <c r="S24" i="2"/>
  <c r="S28" i="2" s="1"/>
  <c r="T24" i="2"/>
  <c r="T28" i="2" s="1"/>
  <c r="U24" i="2"/>
  <c r="U28" i="2" s="1"/>
  <c r="G56" i="2"/>
  <c r="H56" i="2"/>
  <c r="J56" i="2"/>
  <c r="I56" i="2"/>
  <c r="D56" i="2"/>
  <c r="C56" i="2"/>
  <c r="X12" i="2"/>
  <c r="X15" i="2"/>
  <c r="X14" i="2"/>
  <c r="X13" i="2"/>
  <c r="U33" i="2" l="1"/>
  <c r="U34" i="2" s="1"/>
  <c r="N49" i="1" s="1"/>
  <c r="Q33" i="2"/>
  <c r="Q34" i="2" s="1"/>
  <c r="J49" i="1" s="1"/>
  <c r="T33" i="2"/>
  <c r="T34" i="2" s="1"/>
  <c r="M49" i="1" s="1"/>
  <c r="P33" i="2"/>
  <c r="P34" i="2" s="1"/>
  <c r="I49" i="1" s="1"/>
  <c r="R33" i="2"/>
  <c r="R34" i="2" s="1"/>
  <c r="K49" i="1" s="1"/>
  <c r="S33" i="2"/>
  <c r="S34" i="2" s="1"/>
  <c r="L49" i="1" s="1"/>
  <c r="O33" i="2"/>
  <c r="O34" i="2" s="1"/>
  <c r="H49" i="1" s="1"/>
  <c r="L26" i="1"/>
  <c r="L25" i="1"/>
  <c r="L24" i="1"/>
  <c r="L23" i="1"/>
  <c r="G74" i="2" l="1"/>
  <c r="G20" i="2" s="1"/>
  <c r="G28" i="2" s="1"/>
  <c r="H74" i="2"/>
  <c r="H20" i="2" s="1"/>
  <c r="H28" i="2" s="1"/>
  <c r="E74" i="2"/>
  <c r="E20" i="2" s="1"/>
  <c r="E28" i="2" s="1"/>
  <c r="I74" i="2"/>
  <c r="I20" i="2" s="1"/>
  <c r="I28" i="2" s="1"/>
  <c r="D74" i="2"/>
  <c r="D20" i="2" s="1"/>
  <c r="D28" i="2" s="1"/>
  <c r="F74" i="2"/>
  <c r="F20" i="2" s="1"/>
  <c r="F28" i="2" s="1"/>
  <c r="C74" i="2"/>
  <c r="C20" i="2" s="1"/>
  <c r="C28" i="2" s="1"/>
  <c r="C30" i="2" l="1"/>
  <c r="C32" i="2" s="1"/>
  <c r="C34" i="2" s="1" a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<sst xmlns="http://schemas.openxmlformats.org/spreadsheetml/2006/main" count="156" uniqueCount="131">
  <si>
    <t>C</t>
  </si>
  <si>
    <t>KODE SOAL</t>
  </si>
  <si>
    <t>KODE JAWABAN</t>
  </si>
  <si>
    <t>Soal:</t>
  </si>
  <si>
    <t>DF</t>
  </si>
  <si>
    <t>RND</t>
  </si>
  <si>
    <t>Cek Manual</t>
  </si>
  <si>
    <t>Cek Formula</t>
  </si>
  <si>
    <t>X</t>
  </si>
  <si>
    <t>Y</t>
  </si>
  <si>
    <t>B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</si>
  <si>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</si>
  <si>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</si>
  <si>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</si>
  <si>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</si>
  <si>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</si>
  <si>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</si>
  <si>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</si>
  <si>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</si>
  <si>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</si>
  <si>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</si>
  <si>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</si>
  <si>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</si>
  <si>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</si>
  <si>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</si>
  <si>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</si>
  <si>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</si>
  <si>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Contoh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</si>
  <si>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</si>
  <si>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</si>
  <si>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</si>
  <si>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</si>
  <si>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</si>
  <si>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</si>
  <si>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</si>
  <si>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</si>
  <si>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</si>
  <si>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</si>
  <si>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</si>
  <si>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</si>
  <si>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</si>
  <si>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</si>
  <si>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No Soal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</si>
  <si>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</si>
  <si>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</si>
  <si>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Saya adalah seorang Excel Holic yang percaya bahwa setiap angka memiliki cerita yang bisa ditemukan dengan cara yang tepat.</t>
  </si>
  <si>
    <t>Contact :</t>
  </si>
  <si>
    <t>🌐 Web</t>
  </si>
  <si>
    <t>https://www.threads.com/@andisetiadi</t>
  </si>
  <si>
    <t>🪡threads</t>
  </si>
  <si>
    <t>https://setiadi.me</t>
  </si>
  <si>
    <t>“Excel bukan cuma soal kerjaan tapi juga hobi yang aku nikmati.”</t>
  </si>
  <si>
    <t>Perlu Video Penjelasan atau Kunci Jawaban ?</t>
  </si>
  <si>
    <t>Scan barcode atau kunjungi</t>
  </si>
  <si>
    <t>https://lynk.id/setiadi/page/jawaban-xl-test</t>
  </si>
  <si>
    <t>Nama</t>
  </si>
  <si>
    <t>Kehadiran</t>
  </si>
  <si>
    <t>Andi</t>
  </si>
  <si>
    <t>Ani</t>
  </si>
  <si>
    <t>Budi</t>
  </si>
  <si>
    <t>Cici</t>
  </si>
  <si>
    <t>Dodi</t>
  </si>
  <si>
    <t>Eka</t>
  </si>
  <si>
    <t>Fina</t>
  </si>
  <si>
    <t>Gina</t>
  </si>
  <si>
    <t>Hadi</t>
  </si>
  <si>
    <t>Indra</t>
  </si>
  <si>
    <t>Joko</t>
  </si>
  <si>
    <t>Udin</t>
  </si>
  <si>
    <t>Lina</t>
  </si>
  <si>
    <t>Agus</t>
  </si>
  <si>
    <t>AND</t>
  </si>
  <si>
    <t>OR</t>
  </si>
  <si>
    <t>NOT</t>
  </si>
  <si>
    <t>Jenis Kelamin</t>
  </si>
  <si>
    <t>Laki-laki</t>
  </si>
  <si>
    <t>Perempuan</t>
  </si>
  <si>
    <t>Yoga</t>
  </si>
  <si>
    <t>Nilai UTS</t>
  </si>
  <si>
    <t>Nilai UAS</t>
  </si>
  <si>
    <t>Ket Nilai</t>
  </si>
  <si>
    <t>Nilai Tugas</t>
  </si>
  <si>
    <t>Fungsi</t>
  </si>
  <si>
    <t>Ket. Tugas Tambahan</t>
  </si>
  <si>
    <t>Terpakai</t>
  </si>
  <si>
    <t>Ket. Beasiswa</t>
  </si>
  <si>
    <t>Ket. Lulus</t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</si>
  <si>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Beasiswa</t>
    </r>
    <r>
      <rPr>
        <sz val="11"/>
        <color theme="1"/>
        <rFont val="Aptos Narrow"/>
        <family val="2"/>
        <scheme val="minor"/>
      </rPr>
      <t xml:space="preserve"> dengan "</t>
    </r>
    <r>
      <rPr>
        <b/>
        <sz val="11"/>
        <color theme="5"/>
        <rFont val="Aptos Narrow"/>
        <family val="2"/>
        <scheme val="minor"/>
      </rPr>
      <t>Beasiswa</t>
    </r>
    <r>
      <rPr>
        <sz val="11"/>
        <color theme="1"/>
        <rFont val="Aptos Narrow"/>
        <family val="2"/>
        <scheme val="minor"/>
      </rPr>
      <t>" dan "</t>
    </r>
    <r>
      <rPr>
        <b/>
        <sz val="11"/>
        <color theme="5"/>
        <rFont val="Aptos Narrow"/>
        <family val="2"/>
        <scheme val="minor"/>
      </rPr>
      <t>Umum</t>
    </r>
    <r>
      <rPr>
        <sz val="11"/>
        <color theme="1"/>
        <rFont val="Aptos Narrow"/>
        <family val="2"/>
        <scheme val="minor"/>
      </rPr>
      <t>"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</si>
  <si>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Lulus</t>
    </r>
    <r>
      <rPr>
        <sz val="11"/>
        <color theme="1"/>
        <rFont val="Aptos Narrow"/>
        <family val="2"/>
        <scheme val="minor"/>
      </rPr>
      <t xml:space="preserve"> dengan  "</t>
    </r>
    <r>
      <rPr>
        <b/>
        <sz val="11"/>
        <color theme="5"/>
        <rFont val="Aptos Narrow"/>
        <family val="2"/>
        <scheme val="minor"/>
      </rPr>
      <t>Lulus</t>
    </r>
    <r>
      <rPr>
        <sz val="11"/>
        <color theme="1"/>
        <rFont val="Aptos Narrow"/>
        <family val="2"/>
        <scheme val="minor"/>
      </rPr>
      <t>"  atau  "</t>
    </r>
    <r>
      <rPr>
        <b/>
        <sz val="11"/>
        <color theme="5"/>
        <rFont val="Aptos Narrow"/>
        <family val="2"/>
        <scheme val="minor"/>
      </rPr>
      <t>Tidak Lulus</t>
    </r>
    <r>
      <rPr>
        <sz val="11"/>
        <color theme="1"/>
        <rFont val="Aptos Narrow"/>
        <family val="2"/>
        <scheme val="minor"/>
      </rPr>
      <t>"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</si>
  <si>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Nilai</t>
    </r>
    <r>
      <rPr>
        <sz val="11"/>
        <color theme="1"/>
        <rFont val="Aptos Narrow"/>
        <family val="2"/>
        <scheme val="minor"/>
      </rPr>
      <t xml:space="preserve"> dengan    "</t>
    </r>
    <r>
      <rPr>
        <b/>
        <sz val="11"/>
        <color theme="5"/>
        <rFont val="Aptos Narrow"/>
        <family val="2"/>
        <scheme val="minor"/>
      </rPr>
      <t>Baik</t>
    </r>
    <r>
      <rPr>
        <sz val="11"/>
        <color theme="1"/>
        <rFont val="Aptos Narrow"/>
        <family val="2"/>
        <scheme val="minor"/>
      </rPr>
      <t>"   atau   "</t>
    </r>
    <r>
      <rPr>
        <b/>
        <sz val="11"/>
        <color theme="5"/>
        <rFont val="Aptos Narrow"/>
        <family val="2"/>
        <scheme val="minor"/>
      </rPr>
      <t>Kurang Baik</t>
    </r>
    <r>
      <rPr>
        <sz val="11"/>
        <color theme="1"/>
        <rFont val="Aptos Narrow"/>
        <family val="2"/>
        <scheme val="minor"/>
      </rPr>
      <t>"</t>
    </r>
  </si>
  <si>
    <t>IF</t>
  </si>
  <si>
    <t>Ket. Nilai Istimewa</t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</si>
  <si>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Perbaikan</t>
    </r>
    <r>
      <rPr>
        <sz val="11"/>
        <color theme="1"/>
        <rFont val="Aptos Narrow"/>
        <family val="2"/>
        <scheme val="minor"/>
      </rPr>
      <t xml:space="preserve"> dengan  "</t>
    </r>
    <r>
      <rPr>
        <b/>
        <sz val="11"/>
        <color theme="5"/>
        <rFont val="Aptos Narrow"/>
        <family val="2"/>
        <scheme val="minor"/>
      </rPr>
      <t>Perbaikan</t>
    </r>
    <r>
      <rPr>
        <sz val="11"/>
        <color theme="1"/>
        <rFont val="Aptos Narrow"/>
        <family val="2"/>
        <scheme val="minor"/>
      </rPr>
      <t>"  atau  "</t>
    </r>
    <r>
      <rPr>
        <b/>
        <sz val="11"/>
        <color theme="5"/>
        <rFont val="Aptos Narrow"/>
        <family val="2"/>
        <scheme val="minor"/>
      </rPr>
      <t>Sudah Bagus</t>
    </r>
    <r>
      <rPr>
        <sz val="11"/>
        <color theme="1"/>
        <rFont val="Aptos Narrow"/>
        <family val="2"/>
        <scheme val="minor"/>
      </rPr>
      <t>"</t>
    </r>
  </si>
  <si>
    <t>Ket. Perbaikan</t>
  </si>
  <si>
    <t>Beasiswa</t>
  </si>
  <si>
    <t>Ket. Kehadarian</t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</si>
  <si>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Kehadiran</t>
    </r>
    <r>
      <rPr>
        <sz val="11"/>
        <color theme="1"/>
        <rFont val="Aptos Narrow"/>
        <family val="2"/>
        <scheme val="minor"/>
      </rPr>
      <t xml:space="preserve"> dengan  "</t>
    </r>
    <r>
      <rPr>
        <b/>
        <sz val="11"/>
        <color theme="5"/>
        <rFont val="Aptos Narrow"/>
        <family val="2"/>
        <scheme val="minor"/>
      </rPr>
      <t>Rajin</t>
    </r>
    <r>
      <rPr>
        <sz val="11"/>
        <color theme="1"/>
        <rFont val="Aptos Narrow"/>
        <family val="2"/>
        <scheme val="minor"/>
      </rPr>
      <t>"  atau  "</t>
    </r>
    <r>
      <rPr>
        <b/>
        <sz val="11"/>
        <color theme="5"/>
        <rFont val="Aptos Narrow"/>
        <family val="2"/>
        <scheme val="minor"/>
      </rPr>
      <t>Kurang</t>
    </r>
    <r>
      <rPr>
        <sz val="11"/>
        <color theme="1"/>
        <rFont val="Aptos Narrow"/>
        <family val="2"/>
        <scheme val="minor"/>
      </rPr>
      <t>"</t>
    </r>
  </si>
  <si>
    <t>SBEM015</t>
  </si>
  <si>
    <t>MO1</t>
  </si>
  <si>
    <t>AV</t>
  </si>
  <si>
    <t>ARR</t>
  </si>
  <si>
    <t>V **</t>
  </si>
  <si>
    <t>Batas</t>
  </si>
  <si>
    <t>Baik</t>
  </si>
  <si>
    <t>Tidak Perlu</t>
  </si>
  <si>
    <t>Lulus</t>
  </si>
  <si>
    <t>Nilai Istimewa</t>
  </si>
  <si>
    <t>Sudah Bagus</t>
  </si>
  <si>
    <t>Rajin</t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</si>
  <si>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Tugas Tambahan</t>
    </r>
    <r>
      <rPr>
        <sz val="11"/>
        <color theme="1"/>
        <rFont val="Aptos Narrow"/>
        <family val="2"/>
        <scheme val="minor"/>
      </rPr>
      <t xml:space="preserve"> dengan   "</t>
    </r>
    <r>
      <rPr>
        <b/>
        <sz val="11"/>
        <color theme="5"/>
        <rFont val="Aptos Narrow"/>
        <family val="2"/>
        <scheme val="minor"/>
      </rPr>
      <t>Tambahan</t>
    </r>
    <r>
      <rPr>
        <sz val="11"/>
        <color theme="1"/>
        <rFont val="Aptos Narrow"/>
        <family val="2"/>
        <scheme val="minor"/>
      </rPr>
      <t>"   atau   "</t>
    </r>
    <r>
      <rPr>
        <b/>
        <sz val="11"/>
        <color theme="5"/>
        <rFont val="Aptos Narrow"/>
        <family val="2"/>
        <scheme val="minor"/>
      </rPr>
      <t>Tidak Perlu</t>
    </r>
    <r>
      <rPr>
        <sz val="11"/>
        <color theme="1"/>
        <rFont val="Aptos Narrow"/>
        <family val="2"/>
        <scheme val="minor"/>
      </rPr>
      <t>"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</si>
  <si>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ket. Nilai Istimewa</t>
    </r>
    <r>
      <rPr>
        <sz val="11"/>
        <color theme="1"/>
        <rFont val="Aptos Narrow"/>
        <family val="2"/>
        <scheme val="minor"/>
      </rPr>
      <t xml:space="preserve"> dengan "</t>
    </r>
    <r>
      <rPr>
        <b/>
        <sz val="11"/>
        <color theme="5"/>
        <rFont val="Aptos Narrow"/>
        <family val="2"/>
        <scheme val="minor"/>
      </rPr>
      <t>Nilai Istimewa</t>
    </r>
    <r>
      <rPr>
        <sz val="11"/>
        <color theme="1"/>
        <rFont val="Aptos Narrow"/>
        <family val="2"/>
        <scheme val="minor"/>
      </rPr>
      <t>" atau "</t>
    </r>
    <r>
      <rPr>
        <b/>
        <sz val="11"/>
        <color theme="5"/>
        <rFont val="Aptos Narrow"/>
        <family val="2"/>
        <scheme val="minor"/>
      </rPr>
      <t>Nilai Asli</t>
    </r>
    <r>
      <rPr>
        <sz val="11"/>
        <color theme="1"/>
        <rFont val="Aptos Narrow"/>
        <family val="2"/>
        <scheme val="minor"/>
      </rPr>
      <t>"</t>
    </r>
  </si>
  <si>
    <r>
      <t xml:space="preserve">Isi dengan "Baik" Jika </t>
    </r>
    <r>
      <rPr>
        <b/>
        <sz val="11"/>
        <color theme="1"/>
        <rFont val="Aptos Narrow"/>
        <family val="2"/>
        <scheme val="minor"/>
      </rPr>
      <t>semua</t>
    </r>
    <r>
      <rPr>
        <sz val="11"/>
        <color theme="1"/>
        <rFont val="Aptos Narrow"/>
        <family val="2"/>
        <scheme val="minor"/>
      </rPr>
      <t xml:space="preserve"> Nilai (Tugas, UTS, UAS) lebih besar atau sama dengan 50  (50 Termasuk) selain itu isi "Kurang Baik"</t>
    </r>
  </si>
  <si>
    <r>
      <t xml:space="preserve">Isi dengan "Tambahan" Jika  Nilai Tugas dibawah 70 </t>
    </r>
    <r>
      <rPr>
        <b/>
        <sz val="11"/>
        <color theme="1"/>
        <rFont val="Aptos Narrow"/>
        <family val="2"/>
        <scheme val="minor"/>
      </rPr>
      <t>atau</t>
    </r>
    <r>
      <rPr>
        <sz val="11"/>
        <color theme="1"/>
        <rFont val="Aptos Narrow"/>
        <family val="2"/>
        <scheme val="minor"/>
      </rPr>
      <t xml:space="preserve"> Nilai UTS dibawah 70 selain itu isi "Tidak Perlu" (70 Masuk Tidak Perlu)</t>
    </r>
  </si>
  <si>
    <r>
      <t xml:space="preserve">Isi dengan "Lulus" Jika Nilai Tugas, Nilai UTS dan Nilai UAS </t>
    </r>
    <r>
      <rPr>
        <b/>
        <sz val="11"/>
        <color theme="1"/>
        <rFont val="Aptos Narrow"/>
        <family val="2"/>
        <scheme val="minor"/>
      </rPr>
      <t>semua</t>
    </r>
    <r>
      <rPr>
        <sz val="11"/>
        <color theme="1"/>
        <rFont val="Aptos Narrow"/>
        <family val="2"/>
        <scheme val="minor"/>
      </rPr>
      <t xml:space="preserve"> &gt;= 75 (75 Termasuk) selain kondisi itu isi dengan "Tidak Lulus"</t>
    </r>
  </si>
  <si>
    <r>
      <t xml:space="preserve">Isi dengan "Nilai Istimewa" Jika Nilai UTS lebih besar 80 </t>
    </r>
    <r>
      <rPr>
        <b/>
        <sz val="11"/>
        <color theme="1"/>
        <rFont val="Aptos Narrow"/>
        <family val="2"/>
        <scheme val="minor"/>
      </rPr>
      <t>atau</t>
    </r>
    <r>
      <rPr>
        <sz val="11"/>
        <color theme="1"/>
        <rFont val="Aptos Narrow"/>
        <family val="2"/>
        <scheme val="minor"/>
      </rPr>
      <t xml:space="preserve"> Nilai UAS lebih besar 80 (80 Tidak Termasuk) , jika tidak ada isi dengan "Nilai Asli"</t>
    </r>
  </si>
  <si>
    <r>
      <t xml:space="preserve">Isi dengan "Perbaikan" Jika Nilai UTS dibawah 75 </t>
    </r>
    <r>
      <rPr>
        <b/>
        <sz val="11"/>
        <color theme="1"/>
        <rFont val="Aptos Narrow"/>
        <family val="2"/>
        <scheme val="minor"/>
      </rPr>
      <t>atau</t>
    </r>
    <r>
      <rPr>
        <sz val="11"/>
        <color theme="1"/>
        <rFont val="Aptos Narrow"/>
        <family val="2"/>
        <scheme val="minor"/>
      </rPr>
      <t xml:space="preserve">  Nilai UAS  dibawah 70  selain kondisi itu isi dengan "Sudah Bagus" </t>
    </r>
  </si>
  <si>
    <r>
      <t xml:space="preserve">Isi dengan "Rajin" Jika Nilai UAS &gt;= 80 (80 Termasuk) </t>
    </r>
    <r>
      <rPr>
        <b/>
        <sz val="11"/>
        <color theme="1"/>
        <rFont val="Aptos Narrow"/>
        <family val="2"/>
        <scheme val="minor"/>
      </rPr>
      <t>dan</t>
    </r>
    <r>
      <rPr>
        <sz val="11"/>
        <color theme="1"/>
        <rFont val="Aptos Narrow"/>
        <family val="2"/>
        <scheme val="minor"/>
      </rPr>
      <t xml:space="preserve"> Kehadiran diatas 80% (80% termasuk) selain kondisi itu isi dengan "Kurang"</t>
    </r>
  </si>
  <si>
    <r>
      <t xml:space="preserve">Isi dengan "Beasiswa" Jika  Perempuan </t>
    </r>
    <r>
      <rPr>
        <b/>
        <sz val="11"/>
        <color theme="1"/>
        <rFont val="Aptos Narrow"/>
        <family val="2"/>
        <scheme val="minor"/>
      </rPr>
      <t>dan</t>
    </r>
    <r>
      <rPr>
        <sz val="11"/>
        <color theme="1"/>
        <rFont val="Aptos Narrow"/>
        <family val="2"/>
        <scheme val="minor"/>
      </rPr>
      <t xml:space="preserve"> Nilai UTS &gt; 75 </t>
    </r>
    <r>
      <rPr>
        <b/>
        <sz val="11"/>
        <color theme="1"/>
        <rFont val="Aptos Narrow"/>
        <family val="2"/>
        <scheme val="minor"/>
      </rPr>
      <t>dan</t>
    </r>
    <r>
      <rPr>
        <sz val="11"/>
        <color theme="1"/>
        <rFont val="Aptos Narrow"/>
        <family val="2"/>
        <scheme val="minor"/>
      </rPr>
      <t xml:space="preserve"> UAS &gt;78 </t>
    </r>
    <r>
      <rPr>
        <b/>
        <sz val="11"/>
        <color theme="1"/>
        <rFont val="Aptos Narrow"/>
        <family val="2"/>
        <scheme val="minor"/>
      </rPr>
      <t>atau</t>
    </r>
    <r>
      <rPr>
        <sz val="11"/>
        <color theme="1"/>
        <rFont val="Aptos Narrow"/>
        <family val="2"/>
        <scheme val="minor"/>
      </rPr>
      <t xml:space="preserve"> Laki-laki </t>
    </r>
    <r>
      <rPr>
        <b/>
        <sz val="11"/>
        <color theme="1"/>
        <rFont val="Aptos Narrow"/>
        <family val="2"/>
        <scheme val="minor"/>
      </rPr>
      <t>dan</t>
    </r>
    <r>
      <rPr>
        <sz val="11"/>
        <color theme="1"/>
        <rFont val="Aptos Narrow"/>
        <family val="2"/>
        <scheme val="minor"/>
      </rPr>
      <t xml:space="preserve"> Nilai UTS &gt; 68 </t>
    </r>
    <r>
      <rPr>
        <b/>
        <sz val="11"/>
        <color theme="1"/>
        <rFont val="Aptos Narrow"/>
        <family val="2"/>
        <scheme val="minor"/>
      </rPr>
      <t>dan</t>
    </r>
    <r>
      <rPr>
        <sz val="11"/>
        <color theme="1"/>
        <rFont val="Aptos Narrow"/>
        <family val="2"/>
        <scheme val="minor"/>
      </rPr>
      <t xml:space="preserve"> UAS &gt; 70 , selain kondisi tersebut isi "Umum"</t>
    </r>
  </si>
  <si>
    <t xml:space="preserve">Kamu memiliki Jatah batas penggunaan IF sebanyak 7x, AND 5x , OR 1x dan NOT 1x, Manfaatkan Fungsi-fungsi tersebut dengan Baik. </t>
  </si>
  <si>
    <t>Jika Pengunaan Fungsi melebihi batas yang disediakan, maka jawaban selanjutnya  akan dianggap salah walaupun hasil jawaban benar!</t>
  </si>
  <si>
    <r>
      <t xml:space="preserve">Selsaikan Kasus dibawah ini menggunakan Fungsi Excel. </t>
    </r>
    <r>
      <rPr>
        <b/>
        <i/>
        <sz val="11"/>
        <color theme="5"/>
        <rFont val="Aptos Narrow"/>
        <family val="2"/>
        <scheme val="minor"/>
      </rPr>
      <t>Tantangan</t>
    </r>
    <r>
      <rPr>
        <i/>
        <sz val="11"/>
        <color theme="1" tint="0.249977111117893"/>
        <rFont val="Aptos Narrow"/>
        <family val="2"/>
        <scheme val="minor"/>
      </rPr>
      <t xml:space="preserve"> kali ini kamu diberikan batas penggunaan Fungsi yang bisa digunakan</t>
    </r>
  </si>
  <si>
    <t>⭐</t>
  </si>
  <si>
    <r>
      <t xml:space="preserve">1 </t>
    </r>
    <r>
      <rPr>
        <vertAlign val="superscript"/>
        <sz val="11"/>
        <color rgb="FFFFC000"/>
        <rFont val="Aptos Narrow"/>
        <family val="2"/>
        <scheme val="minor"/>
      </rPr>
      <t>⭐</t>
    </r>
  </si>
  <si>
    <r>
      <t xml:space="preserve">2 </t>
    </r>
    <r>
      <rPr>
        <vertAlign val="superscript"/>
        <sz val="11"/>
        <color rgb="FFFFC000"/>
        <rFont val="Aptos Narrow"/>
        <family val="2"/>
        <scheme val="minor"/>
      </rPr>
      <t>⭐</t>
    </r>
  </si>
  <si>
    <r>
      <t xml:space="preserve">3 </t>
    </r>
    <r>
      <rPr>
        <vertAlign val="superscript"/>
        <sz val="11"/>
        <color rgb="FFFFC000"/>
        <rFont val="Aptos Narrow"/>
        <family val="2"/>
        <scheme val="minor"/>
      </rPr>
      <t>⭐</t>
    </r>
  </si>
  <si>
    <r>
      <t xml:space="preserve">4 </t>
    </r>
    <r>
      <rPr>
        <vertAlign val="superscript"/>
        <sz val="11"/>
        <color rgb="FFFFC000"/>
        <rFont val="Aptos Narrow"/>
        <family val="2"/>
        <scheme val="minor"/>
      </rPr>
      <t>⭐</t>
    </r>
  </si>
  <si>
    <r>
      <t xml:space="preserve">7 </t>
    </r>
    <r>
      <rPr>
        <vertAlign val="superscript"/>
        <sz val="11"/>
        <color rgb="FFFFC000"/>
        <rFont val="Aptos Narrow"/>
        <family val="2"/>
        <scheme val="minor"/>
      </rPr>
      <t>⭐</t>
    </r>
  </si>
  <si>
    <r>
      <t xml:space="preserve">Soal dengan tanda </t>
    </r>
    <r>
      <rPr>
        <vertAlign val="superscript"/>
        <sz val="11"/>
        <color rgb="FFFFC000"/>
        <rFont val="Aptos Narrow"/>
        <family val="2"/>
        <scheme val="minor"/>
      </rPr>
      <t>⭐</t>
    </r>
    <r>
      <rPr>
        <b/>
        <i/>
        <sz val="11"/>
        <color rgb="FF0070C0"/>
        <rFont val="Aptos Narrow"/>
        <family val="2"/>
        <scheme val="minor"/>
      </rPr>
      <t xml:space="preserve">, wajib menggunakan salah satu fungsi </t>
    </r>
    <r>
      <rPr>
        <b/>
        <sz val="11"/>
        <color theme="8" tint="-0.249977111117893"/>
        <rFont val="Aptos Narrow"/>
        <family val="2"/>
        <scheme val="minor"/>
      </rPr>
      <t>AND</t>
    </r>
    <r>
      <rPr>
        <b/>
        <i/>
        <sz val="11"/>
        <color rgb="FF0070C0"/>
        <rFont val="Aptos Narrow"/>
        <family val="2"/>
        <scheme val="minor"/>
      </rPr>
      <t xml:space="preserve"> atau </t>
    </r>
    <r>
      <rPr>
        <b/>
        <sz val="11"/>
        <color theme="8" tint="-0.249977111117893"/>
        <rFont val="Aptos Narrow"/>
        <family val="2"/>
        <scheme val="minor"/>
      </rPr>
      <t>OR</t>
    </r>
    <r>
      <rPr>
        <b/>
        <i/>
        <sz val="11"/>
        <color rgb="FF0070C0"/>
        <rFont val="Aptos Narrow"/>
        <family val="2"/>
        <scheme val="minor"/>
      </rPr>
      <t>, jika tidak ada jawaban akan diangap salah!</t>
    </r>
  </si>
  <si>
    <t>Status Jawaban</t>
  </si>
  <si>
    <r>
      <t xml:space="preserve">Medium Level </t>
    </r>
    <r>
      <rPr>
        <b/>
        <sz val="11"/>
        <rFont val="Aptos Narrow"/>
        <family val="2"/>
        <scheme val="minor"/>
      </rPr>
      <t>- Soal Latihan Logika IF , AND dan OR</t>
    </r>
  </si>
  <si>
    <t>Selesaikan kasus tanpa menggunakan kolom bantuan, mengubah Table atau Menambah Table Baru!!, Gunakan Table seperti yang sudah di sediakan soal!!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</si>
</sst>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_-;_-@_-"/>
    <numFmt numFmtId="167" formatCode="#,##0;\(#,##0\);\-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8"/>
      <color theme="0"/>
      <name val="ROBOTECH GP"/>
      <family val="2"/>
    </font>
    <font>
      <sz val="11"/>
      <color theme="1"/>
      <name val="Roboto"/>
    </font>
    <font>
      <b/>
      <sz val="12"/>
      <color theme="0"/>
      <name val="ROBOTECH GP"/>
      <family val="2"/>
    </font>
    <font>
      <b/>
      <sz val="18"/>
      <color theme="0"/>
      <name val="Roboto"/>
    </font>
    <font>
      <b/>
      <sz val="12"/>
      <color theme="0"/>
      <name val="Roboto"/>
    </font>
    <font>
      <b/>
      <sz val="14"/>
      <color theme="0"/>
      <name val="Roboto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1D1F45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11"/>
      <color theme="0"/>
      <name val="ROBOTECH GP"/>
      <family val="2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i/>
      <sz val="11"/>
      <color theme="5"/>
      <name val="Aptos Narrow"/>
      <family val="2"/>
      <scheme val="minor"/>
    </font>
    <font>
      <vertAlign val="superscript"/>
      <sz val="11"/>
      <color rgb="FFFFC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/>
      <bottom style="thin">
        <color theme="0"/>
      </bottom>
      <diagonal/>
    </border>
    <border>
      <left style="medium">
        <color rgb="FF00B050"/>
      </left>
      <right style="thin">
        <color theme="0"/>
      </right>
      <top style="medium">
        <color rgb="FF00B050"/>
      </top>
      <bottom/>
      <diagonal/>
    </border>
    <border>
      <left style="thin">
        <color theme="0"/>
      </left>
      <right style="thin">
        <color theme="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2" applyAlignment="1">
      <alignment horizontal="left"/>
    </xf>
    <xf numFmtId="0" fontId="8" fillId="0" borderId="0" xfId="0" applyFont="1"/>
    <xf numFmtId="1" fontId="0" fillId="0" borderId="0" xfId="0" applyNumberFormat="1"/>
    <xf numFmtId="0" fontId="9" fillId="0" borderId="0" xfId="0" applyFont="1"/>
    <xf numFmtId="0" fontId="5" fillId="0" borderId="0" xfId="0" applyFont="1" applyAlignment="1">
      <alignment horizontal="right"/>
    </xf>
    <xf numFmtId="0" fontId="1" fillId="0" borderId="1" xfId="4" applyBorder="1"/>
    <xf numFmtId="0" fontId="1" fillId="0" borderId="0" xfId="4"/>
    <xf numFmtId="0" fontId="13" fillId="0" borderId="0" xfId="0" applyFont="1"/>
    <xf numFmtId="0" fontId="18" fillId="7" borderId="8" xfId="0" applyFont="1" applyFill="1" applyBorder="1" applyAlignment="1">
      <alignment vertical="top" wrapText="1"/>
    </xf>
    <xf numFmtId="0" fontId="18" fillId="7" borderId="9" xfId="0" applyFont="1" applyFill="1" applyBorder="1" applyAlignment="1">
      <alignment vertical="top" wrapText="1"/>
    </xf>
    <xf numFmtId="0" fontId="18" fillId="7" borderId="10" xfId="0" applyFont="1" applyFill="1" applyBorder="1" applyAlignment="1">
      <alignment vertical="top" wrapText="1"/>
    </xf>
    <xf numFmtId="0" fontId="18" fillId="7" borderId="2" xfId="0" applyFont="1" applyFill="1" applyBorder="1" applyAlignment="1">
      <alignment vertical="top" wrapText="1"/>
    </xf>
    <xf numFmtId="0" fontId="18" fillId="7" borderId="0" xfId="0" applyFont="1" applyFill="1" applyAlignment="1">
      <alignment vertical="top" wrapText="1"/>
    </xf>
    <xf numFmtId="0" fontId="18" fillId="7" borderId="4" xfId="0" applyFont="1" applyFill="1" applyBorder="1" applyAlignment="1">
      <alignment vertical="top" wrapText="1"/>
    </xf>
    <xf numFmtId="0" fontId="18" fillId="7" borderId="5" xfId="0" applyFont="1" applyFill="1" applyBorder="1" applyAlignment="1">
      <alignment vertical="top" wrapText="1"/>
    </xf>
    <xf numFmtId="0" fontId="18" fillId="7" borderId="6" xfId="0" applyFont="1" applyFill="1" applyBorder="1" applyAlignment="1">
      <alignment vertical="top" wrapText="1"/>
    </xf>
    <xf numFmtId="0" fontId="18" fillId="7" borderId="7" xfId="0" applyFont="1" applyFill="1" applyBorder="1" applyAlignment="1">
      <alignment vertical="top" wrapText="1"/>
    </xf>
    <xf numFmtId="0" fontId="5" fillId="7" borderId="0" xfId="0" applyFont="1" applyFill="1" applyAlignment="1">
      <alignment horizontal="right"/>
    </xf>
    <xf numFmtId="0" fontId="0" fillId="7" borderId="0" xfId="0" applyFill="1"/>
    <xf numFmtId="0" fontId="9" fillId="7" borderId="0" xfId="0" applyFont="1" applyFill="1"/>
    <xf numFmtId="0" fontId="10" fillId="7" borderId="0" xfId="0" applyFont="1" applyFill="1"/>
    <xf numFmtId="0" fontId="0" fillId="7" borderId="6" xfId="0" applyFill="1" applyBorder="1"/>
    <xf numFmtId="0" fontId="18" fillId="0" borderId="0" xfId="0" applyFont="1" applyAlignment="1">
      <alignment vertical="top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167" fontId="16" fillId="6" borderId="3" xfId="0" applyNumberFormat="1" applyFont="1" applyFill="1" applyBorder="1" applyAlignment="1">
      <alignment horizontal="center" vertical="center"/>
    </xf>
    <xf numFmtId="0" fontId="4" fillId="0" borderId="1" xfId="5" applyBorder="1" applyAlignment="1">
      <alignment vertical="top"/>
    </xf>
    <xf numFmtId="0" fontId="1" fillId="0" borderId="13" xfId="4" applyBorder="1"/>
    <xf numFmtId="0" fontId="1" fillId="0" borderId="14" xfId="4" applyBorder="1"/>
    <xf numFmtId="0" fontId="21" fillId="0" borderId="13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3" fillId="0" borderId="0" xfId="4" applyFont="1"/>
    <xf numFmtId="0" fontId="23" fillId="0" borderId="0" xfId="4" applyFont="1"/>
    <xf numFmtId="0" fontId="23" fillId="0" borderId="0" xfId="4" quotePrefix="1" applyFont="1"/>
    <xf numFmtId="0" fontId="4" fillId="0" borderId="0" xfId="2"/>
    <xf numFmtId="167" fontId="15" fillId="6" borderId="0" xfId="0" applyNumberFormat="1" applyFont="1" applyFill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7" fontId="17" fillId="6" borderId="19" xfId="0" applyNumberFormat="1" applyFont="1" applyFill="1" applyBorder="1" applyAlignment="1">
      <alignment horizontal="left" vertical="center"/>
    </xf>
    <xf numFmtId="0" fontId="0" fillId="8" borderId="0" xfId="0" applyFill="1"/>
    <xf numFmtId="0" fontId="5" fillId="7" borderId="0" xfId="0" applyFont="1" applyFill="1" applyAlignment="1">
      <alignment horizontal="left"/>
    </xf>
    <xf numFmtId="0" fontId="27" fillId="0" borderId="1" xfId="4" applyFont="1" applyBorder="1"/>
    <xf numFmtId="0" fontId="29" fillId="0" borderId="1" xfId="4" applyFont="1" applyBorder="1" applyAlignment="1">
      <alignment horizontal="left"/>
    </xf>
    <xf numFmtId="0" fontId="29" fillId="0" borderId="1" xfId="4" applyFont="1" applyBorder="1"/>
    <xf numFmtId="0" fontId="0" fillId="6" borderId="0" xfId="0" applyFill="1"/>
    <xf numFmtId="0" fontId="31" fillId="6" borderId="0" xfId="0" applyFont="1" applyFill="1"/>
    <xf numFmtId="0" fontId="26" fillId="6" borderId="0" xfId="0" applyFont="1" applyFill="1"/>
    <xf numFmtId="0" fontId="32" fillId="6" borderId="0" xfId="0" applyFont="1" applyFill="1"/>
    <xf numFmtId="0" fontId="33" fillId="6" borderId="0" xfId="2" applyFont="1" applyFill="1"/>
    <xf numFmtId="9" fontId="0" fillId="3" borderId="16" xfId="3" applyFont="1" applyFill="1" applyBorder="1" applyAlignment="1">
      <alignment horizontal="center" vertical="center"/>
    </xf>
    <xf numFmtId="0" fontId="34" fillId="7" borderId="0" xfId="0" applyFont="1" applyFill="1"/>
    <xf numFmtId="0" fontId="0" fillId="9" borderId="20" xfId="0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0" fillId="8" borderId="0" xfId="0" applyFill="1" applyAlignment="1">
      <alignment horizontal="left"/>
    </xf>
    <xf numFmtId="0" fontId="0" fillId="4" borderId="16" xfId="0" applyFill="1" applyBorder="1" applyAlignment="1">
      <alignment horizontal="left" indent="2"/>
    </xf>
    <xf numFmtId="166" fontId="0" fillId="4" borderId="16" xfId="0" applyNumberFormat="1" applyFill="1" applyBorder="1" applyAlignment="1">
      <alignment horizontal="left" indent="2"/>
    </xf>
    <xf numFmtId="10" fontId="0" fillId="4" borderId="16" xfId="3" applyNumberFormat="1" applyFont="1" applyFill="1" applyBorder="1" applyAlignment="1">
      <alignment horizontal="left" indent="2"/>
    </xf>
    <xf numFmtId="165" fontId="0" fillId="4" borderId="16" xfId="1" applyNumberFormat="1" applyFont="1" applyFill="1" applyBorder="1" applyAlignment="1">
      <alignment horizontal="left"/>
    </xf>
    <xf numFmtId="166" fontId="0" fillId="4" borderId="16" xfId="0" applyNumberFormat="1" applyFill="1" applyBorder="1"/>
    <xf numFmtId="0" fontId="0" fillId="0" borderId="0" xfId="0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9" fontId="0" fillId="3" borderId="22" xfId="3" applyFont="1" applyFill="1" applyBorder="1" applyAlignment="1">
      <alignment horizontal="center" vertical="center"/>
    </xf>
    <xf numFmtId="0" fontId="0" fillId="4" borderId="22" xfId="0" applyFill="1" applyBorder="1" applyAlignment="1">
      <alignment horizontal="left" indent="2"/>
    </xf>
    <xf numFmtId="166" fontId="0" fillId="4" borderId="22" xfId="0" applyNumberFormat="1" applyFill="1" applyBorder="1" applyAlignment="1">
      <alignment horizontal="left" indent="2"/>
    </xf>
    <xf numFmtId="10" fontId="0" fillId="4" borderId="22" xfId="3" applyNumberFormat="1" applyFont="1" applyFill="1" applyBorder="1" applyAlignment="1">
      <alignment horizontal="left" indent="2"/>
    </xf>
    <xf numFmtId="165" fontId="0" fillId="4" borderId="22" xfId="1" applyNumberFormat="1" applyFont="1" applyFill="1" applyBorder="1" applyAlignment="1">
      <alignment horizontal="left"/>
    </xf>
    <xf numFmtId="166" fontId="0" fillId="4" borderId="22" xfId="0" applyNumberFormat="1" applyFill="1" applyBorder="1"/>
    <xf numFmtId="0" fontId="36" fillId="0" borderId="0" xfId="0" applyFont="1" applyAlignment="1">
      <alignment horizontal="right"/>
    </xf>
    <xf numFmtId="167" fontId="17" fillId="6" borderId="0" xfId="0" applyNumberFormat="1" applyFont="1" applyFill="1" applyAlignment="1">
      <alignment horizontal="center" vertical="center"/>
    </xf>
    <xf numFmtId="0" fontId="11" fillId="7" borderId="0" xfId="0" applyFont="1" applyFill="1"/>
    <xf numFmtId="0" fontId="35" fillId="0" borderId="0" xfId="0" applyFont="1" applyAlignment="1">
      <alignment horizontal="center"/>
    </xf>
    <xf numFmtId="0" fontId="9" fillId="7" borderId="0" xfId="0" applyFont="1" applyFill="1" applyAlignment="1">
      <alignment horizontal="right"/>
    </xf>
    <xf numFmtId="0" fontId="9" fillId="7" borderId="0" xfId="0" applyFont="1" applyFill="1" applyAlignment="1">
      <alignment horizontal="right" indent="2"/>
    </xf>
    <xf numFmtId="0" fontId="0" fillId="9" borderId="15" xfId="0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9" fillId="0" borderId="1" xfId="4" applyFont="1" applyBorder="1" applyAlignment="1">
      <alignment horizontal="left"/>
    </xf>
    <xf numFmtId="0" fontId="28" fillId="0" borderId="1" xfId="4" applyFont="1" applyBorder="1" applyAlignment="1">
      <alignment horizontal="left"/>
    </xf>
    <xf numFmtId="0" fontId="21" fillId="0" borderId="0" xfId="0" applyFont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30" fillId="5" borderId="2" xfId="0" applyFont="1" applyFill="1" applyBorder="1" applyAlignment="1">
      <alignment horizontal="center" vertical="center"/>
    </xf>
  </cellXfs>
  <cellStyles count="6">
    <cellStyle name="Comma" xfId="1" builtinId="3"/>
    <cellStyle name="Hyperlink" xfId="2" builtinId="8"/>
    <cellStyle name="Hyperlink 2" xfId="5" xr:uid="{C29B2A73-51F1-49F5-A37D-453509C09B56}"/>
    <cellStyle name="Normal" xfId="0" builtinId="0"/>
    <cellStyle name="Normal 2" xfId="4" xr:uid="{92AD0A28-227A-4E17-9A19-299C505D3A27}"/>
    <cellStyle name="Percent" xfId="3" builtinId="5"/>
  </cellStyles>
  <dxfs count="2">
    <dxf>
      <font>
        <strike/>
      </font>
      <fill>
        <patternFill>
          <bgColor rgb="FFFF0000"/>
        </patternFill>
      </fill>
    </dxf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1249680</xdr:colOff>
      <xdr:row>15</xdr:row>
      <xdr:rowOff>49531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7DA81-57D3-4397-BCA6-FFB86290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1170920" cy="2792730"/>
        </a:xfrm>
        <a:prstGeom prst="rect">
          <a:avLst/>
        </a:prstGeom>
      </xdr:spPr>
    </xdr:pic>
    <xdr:clientData/>
  </xdr:twoCellAnchor>
  <xdr:twoCellAnchor>
    <xdr:from>
      <xdr:col>2</xdr:col>
      <xdr:colOff>662940</xdr:colOff>
      <xdr:row>42</xdr:row>
      <xdr:rowOff>106680</xdr:rowOff>
    </xdr:from>
    <xdr:to>
      <xdr:col>4</xdr:col>
      <xdr:colOff>441960</xdr:colOff>
      <xdr:row>44</xdr:row>
      <xdr:rowOff>30480</xdr:rowOff>
    </xdr:to>
    <xdr:sp macro="" textlink="">
      <xdr:nvSpPr>
        <xdr:cNvPr id="10" name="Rectangle: Rounded Corner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03335F-A8B1-4A75-AED4-87BC62E52A97}"/>
            </a:ext>
          </a:extLst>
        </xdr:cNvPr>
        <xdr:cNvSpPr/>
      </xdr:nvSpPr>
      <xdr:spPr>
        <a:xfrm>
          <a:off x="2385060" y="6050280"/>
          <a:ext cx="1844040" cy="3048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6</xdr:col>
      <xdr:colOff>251460</xdr:colOff>
      <xdr:row>12</xdr:row>
      <xdr:rowOff>38100</xdr:rowOff>
    </xdr:from>
    <xdr:to>
      <xdr:col>7</xdr:col>
      <xdr:colOff>535940</xdr:colOff>
      <xdr:row>15</xdr:row>
      <xdr:rowOff>137160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C951FC-2272-D6F0-FC1A-59F4C6716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0320" y="223266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83820</xdr:colOff>
      <xdr:row>0</xdr:row>
      <xdr:rowOff>0</xdr:rowOff>
    </xdr:from>
    <xdr:to>
      <xdr:col>11</xdr:col>
      <xdr:colOff>656452</xdr:colOff>
      <xdr:row>15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810E8-7FBC-79E3-73EE-17EB2B22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5700" y="0"/>
          <a:ext cx="1814692" cy="282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237902D-D5FF-484C-A0CF-16EE6517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C32656EF-BD42-4415-9019-D09CD2A1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</xdr:row>
      <xdr:rowOff>0</xdr:rowOff>
    </xdr:from>
    <xdr:to>
      <xdr:col>4</xdr:col>
      <xdr:colOff>365760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0E860-416D-4DBD-8A4C-6E791E50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" y="18288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877-B3EA-4412-B568-060A61DBC08B}">
  <sheetPr codeName="Sheet1"/>
  <dimension ref="A5:Q79"/>
  <sheetViews>
    <sheetView tabSelected="1" topLeftCell="E15" workbookViewId="0">
      <selection activeCell="G17" sqref="G17"/>
    </sheetView>
  </sheetViews>
  <sheetFormatPr defaultRowHeight="15"/>
  <cols>
    <col min="1" max="1" width="9.7109375" customWidth="1"/>
    <col min="2" max="2" width="15.28515625" bestFit="1" customWidth="1"/>
    <col min="3" max="3" width="14.85546875" customWidth="1"/>
    <col min="4" max="4" width="16" customWidth="1"/>
    <col min="5" max="5" width="14" customWidth="1"/>
    <col min="6" max="6" width="19.28515625" customWidth="1"/>
    <col min="7" max="7" width="17.85546875" customWidth="1"/>
    <col min="8" max="8" width="16.28515625" customWidth="1"/>
    <col min="9" max="9" width="21.28515625" customWidth="1"/>
    <col min="10" max="10" width="19.140625" customWidth="1"/>
    <col min="11" max="11" width="18.140625" customWidth="1"/>
    <col min="12" max="12" width="17.7109375" customWidth="1"/>
    <col min="13" max="13" width="21.7109375" customWidth="1"/>
    <col min="14" max="14" width="18" customWidth="1"/>
    <col min="15" max="15" width="13.42578125" customWidth="1"/>
  </cols>
  <sheetData>
    <row r="5" spans="16:17">
      <c r="P5" s="11"/>
      <c r="Q5" s="11"/>
    </row>
    <row r="6" spans="16:17">
      <c r="P6" s="11"/>
      <c r="Q6" s="11"/>
    </row>
    <row r="7" spans="16:17">
      <c r="P7" s="11"/>
      <c r="Q7" s="11"/>
    </row>
    <row r="8" spans="16:17">
      <c r="P8" s="11"/>
      <c r="Q8" s="11"/>
    </row>
    <row r="9" spans="16:17">
      <c r="P9" s="11"/>
      <c r="Q9" s="11"/>
    </row>
    <row r="10" spans="16:17">
      <c r="P10" s="11"/>
      <c r="Q10" s="11"/>
    </row>
    <row r="11" spans="16:17">
      <c r="P11" s="11"/>
      <c r="Q11" s="11"/>
    </row>
    <row r="17" spans="1:13" ht="23.25">
      <c r="A17" s="90" t="s">
        <v>1</v>
      </c>
      <c r="B17" s="90"/>
      <c r="C17" s="76" t="s">
        <v>97</v>
      </c>
      <c r="E17" s="90" t="s">
        <v>2</v>
      </c>
      <c r="F17" s="90"/>
      <c r="G17" s="45" t="str">
        <f ca="1">kode_jawaban</f>
        <v>MO1|39-165D;2E-17D4;47-1980;10-178E;5B-18B4;11-17C1;3C-176F</v>
      </c>
      <c r="H17" s="39"/>
      <c r="I17" s="39"/>
      <c r="J17" s="39"/>
      <c r="K17" s="39"/>
      <c r="L17" s="39"/>
      <c r="M17" s="39"/>
    </row>
    <row r="18" spans="1:13" ht="15" customHeight="1"/>
    <row r="19" spans="1:13" ht="23.25">
      <c r="A19" s="86" t="s">
        <v>26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</row>
    <row r="20" spans="1:13" ht="14.4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</row>
    <row r="21" spans="1:13" ht="14.45" customHeight="1">
      <c r="A21" s="16"/>
      <c r="B21" s="47" t="s">
        <v>129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</row>
    <row r="22" spans="1:13" ht="15.75">
      <c r="A22" s="22"/>
      <c r="B22" s="21" t="s">
        <v>3</v>
      </c>
      <c r="C22" s="57" t="s">
        <v>120</v>
      </c>
      <c r="D22" s="16"/>
      <c r="E22" s="16"/>
      <c r="F22" s="22"/>
      <c r="G22" s="22"/>
      <c r="H22" s="16"/>
      <c r="I22" s="16"/>
      <c r="J22" s="58" t="s">
        <v>82</v>
      </c>
      <c r="K22" s="58" t="s">
        <v>102</v>
      </c>
      <c r="L22" s="81" t="s">
        <v>84</v>
      </c>
      <c r="M22" s="17"/>
    </row>
    <row r="23" spans="1:13" ht="15.75">
      <c r="A23" s="22"/>
      <c r="B23" s="21"/>
      <c r="C23" s="57" t="s">
        <v>118</v>
      </c>
      <c r="D23" s="16"/>
      <c r="E23" s="16"/>
      <c r="F23" s="22"/>
      <c r="G23" s="22"/>
      <c r="H23" s="16"/>
      <c r="I23" s="16"/>
      <c r="J23" s="59" t="s">
        <v>90</v>
      </c>
      <c r="K23" s="59">
        <v>7</v>
      </c>
      <c r="L23" s="82">
        <f ca="1">jmlIF</f>
        <v>7</v>
      </c>
      <c r="M23" s="17"/>
    </row>
    <row r="24" spans="1:13" ht="15.75">
      <c r="A24" s="22"/>
      <c r="B24" s="21"/>
      <c r="C24" s="77" t="s">
        <v>119</v>
      </c>
      <c r="D24" s="16"/>
      <c r="E24" s="16"/>
      <c r="F24" s="22"/>
      <c r="G24" s="22"/>
      <c r="H24" s="16"/>
      <c r="I24" s="16"/>
      <c r="J24" s="59" t="s">
        <v>71</v>
      </c>
      <c r="K24" s="59">
        <v>5</v>
      </c>
      <c r="L24" s="82">
        <f ca="1">jmlAND</f>
        <v>5</v>
      </c>
      <c r="M24" s="17"/>
    </row>
    <row r="25" spans="1:13" ht="16.5">
      <c r="A25" s="22"/>
      <c r="B25" s="21"/>
      <c r="C25" s="77" t="s">
        <v>127</v>
      </c>
      <c r="D25" s="16"/>
      <c r="E25" s="16"/>
      <c r="F25" s="22"/>
      <c r="G25" s="22"/>
      <c r="H25" s="16"/>
      <c r="I25" s="16"/>
      <c r="J25" s="59" t="s">
        <v>72</v>
      </c>
      <c r="K25" s="59">
        <v>1</v>
      </c>
      <c r="L25" s="82">
        <f ca="1">jmlOR</f>
        <v>1</v>
      </c>
      <c r="M25" s="17"/>
    </row>
    <row r="26" spans="1:13" ht="15.75">
      <c r="A26" s="22"/>
      <c r="B26" s="21"/>
      <c r="C26" s="77"/>
      <c r="D26" s="16"/>
      <c r="E26" s="16"/>
      <c r="F26" s="22"/>
      <c r="G26" s="22"/>
      <c r="H26" s="16"/>
      <c r="I26" s="16"/>
      <c r="J26" s="59" t="s">
        <v>73</v>
      </c>
      <c r="K26" s="59">
        <v>1</v>
      </c>
      <c r="L26" s="82">
        <f ca="1">jmlNOT</f>
        <v>1</v>
      </c>
      <c r="M26" s="17"/>
    </row>
    <row r="27" spans="1:13" ht="14.45" customHeight="1">
      <c r="A27" s="22"/>
      <c r="B27" s="79" t="s">
        <v>122</v>
      </c>
      <c r="C27" s="22" t="s">
        <v>89</v>
      </c>
      <c r="D27" s="16"/>
      <c r="E27" s="16"/>
      <c r="F27" s="22"/>
      <c r="G27" s="22"/>
      <c r="H27" s="16"/>
      <c r="I27" s="16"/>
      <c r="J27" s="16"/>
      <c r="K27" s="16"/>
      <c r="L27" s="16"/>
      <c r="M27" s="17"/>
    </row>
    <row r="28" spans="1:13" ht="14.45" customHeight="1">
      <c r="A28" s="22"/>
      <c r="B28" s="23"/>
      <c r="C28" s="22" t="s">
        <v>111</v>
      </c>
      <c r="D28" s="16"/>
      <c r="E28" s="16"/>
      <c r="F28" s="22"/>
      <c r="G28" s="22"/>
      <c r="H28" s="16"/>
      <c r="I28" s="16"/>
      <c r="J28" s="16"/>
      <c r="K28" s="16"/>
      <c r="L28" s="16"/>
      <c r="M28" s="17"/>
    </row>
    <row r="29" spans="1:13" ht="14.45" customHeight="1">
      <c r="A29" s="22"/>
      <c r="B29" s="79" t="s">
        <v>123</v>
      </c>
      <c r="C29" s="22" t="s">
        <v>109</v>
      </c>
      <c r="D29" s="16"/>
      <c r="E29" s="16"/>
      <c r="F29" s="22"/>
      <c r="G29" s="22"/>
      <c r="H29" s="16"/>
      <c r="I29" s="16"/>
      <c r="J29" s="16"/>
      <c r="K29" s="16"/>
      <c r="L29" s="16"/>
      <c r="M29" s="17"/>
    </row>
    <row r="30" spans="1:13" ht="14.45" customHeight="1">
      <c r="A30" s="22"/>
      <c r="B30" s="23"/>
      <c r="C30" s="22" t="s">
        <v>112</v>
      </c>
      <c r="D30" s="16"/>
      <c r="E30" s="16"/>
      <c r="F30" s="22"/>
      <c r="G30" s="22"/>
      <c r="H30" s="16"/>
      <c r="I30" s="16"/>
      <c r="J30" s="16"/>
      <c r="K30" s="16"/>
      <c r="L30" s="16"/>
      <c r="M30" s="17"/>
    </row>
    <row r="31" spans="1:13" ht="14.45" customHeight="1">
      <c r="A31" s="22"/>
      <c r="B31" s="79" t="s">
        <v>124</v>
      </c>
      <c r="C31" s="22" t="s">
        <v>88</v>
      </c>
      <c r="D31" s="16"/>
      <c r="E31" s="16"/>
      <c r="F31" s="22"/>
      <c r="G31" s="22"/>
      <c r="H31" s="16"/>
      <c r="I31" s="16"/>
      <c r="J31" s="16"/>
      <c r="K31" s="16"/>
      <c r="L31" s="16"/>
      <c r="M31" s="17"/>
    </row>
    <row r="32" spans="1:13" ht="14.45" customHeight="1">
      <c r="A32" s="22"/>
      <c r="B32" s="23"/>
      <c r="C32" s="22" t="s">
        <v>113</v>
      </c>
      <c r="D32" s="16"/>
      <c r="E32" s="16"/>
      <c r="F32" s="22"/>
      <c r="G32" s="22"/>
      <c r="H32" s="16"/>
      <c r="I32" s="16"/>
      <c r="J32" s="16"/>
      <c r="K32" s="16"/>
      <c r="L32" s="16"/>
      <c r="M32" s="17"/>
    </row>
    <row r="33" spans="1:14" ht="14.45" customHeight="1">
      <c r="A33" s="22"/>
      <c r="B33" s="79" t="s">
        <v>125</v>
      </c>
      <c r="C33" s="22" t="s">
        <v>110</v>
      </c>
      <c r="D33" s="16"/>
      <c r="E33" s="16"/>
      <c r="F33" s="22"/>
      <c r="G33" s="22"/>
      <c r="H33" s="16"/>
      <c r="I33" s="16"/>
      <c r="J33" s="16"/>
      <c r="K33" s="16"/>
      <c r="L33" s="16"/>
      <c r="M33" s="17"/>
    </row>
    <row r="34" spans="1:14" ht="14.45" customHeight="1">
      <c r="A34" s="22"/>
      <c r="B34" s="23"/>
      <c r="C34" s="22" t="s">
        <v>114</v>
      </c>
      <c r="D34" s="16"/>
      <c r="E34" s="16"/>
      <c r="F34" s="22"/>
      <c r="G34" s="22"/>
      <c r="H34" s="16"/>
      <c r="I34" s="16"/>
      <c r="J34" s="16"/>
      <c r="K34" s="16"/>
      <c r="L34" s="16"/>
      <c r="M34" s="17"/>
    </row>
    <row r="35" spans="1:14" ht="14.45" customHeight="1">
      <c r="A35" s="22"/>
      <c r="B35" s="80">
        <v>5</v>
      </c>
      <c r="C35" s="22" t="s">
        <v>92</v>
      </c>
      <c r="D35" s="16"/>
      <c r="E35" s="16"/>
      <c r="F35" s="22"/>
      <c r="G35" s="22"/>
      <c r="H35" s="16"/>
      <c r="I35" s="16"/>
      <c r="J35" s="16"/>
      <c r="K35" s="16"/>
      <c r="L35" s="16"/>
      <c r="M35" s="17"/>
    </row>
    <row r="36" spans="1:14" ht="14.45" customHeight="1">
      <c r="A36" s="22"/>
      <c r="B36" s="23"/>
      <c r="C36" s="22" t="s">
        <v>115</v>
      </c>
      <c r="D36" s="16"/>
      <c r="E36" s="16"/>
      <c r="F36" s="22"/>
      <c r="G36" s="22"/>
      <c r="H36" s="16"/>
      <c r="I36" s="16"/>
      <c r="J36" s="16"/>
      <c r="K36" s="16"/>
      <c r="L36" s="16"/>
      <c r="M36" s="17"/>
    </row>
    <row r="37" spans="1:14" ht="14.45" customHeight="1">
      <c r="A37" s="22"/>
      <c r="B37" s="80">
        <v>6</v>
      </c>
      <c r="C37" s="22" t="s">
        <v>96</v>
      </c>
      <c r="D37" s="16"/>
      <c r="E37" s="16"/>
      <c r="F37" s="22"/>
      <c r="G37" s="22"/>
      <c r="H37" s="16"/>
      <c r="I37" s="16"/>
      <c r="J37" s="16"/>
      <c r="K37" s="16"/>
      <c r="L37" s="16"/>
      <c r="M37" s="17"/>
    </row>
    <row r="38" spans="1:14" ht="14.45" customHeight="1">
      <c r="A38" s="22"/>
      <c r="B38" s="23"/>
      <c r="C38" s="22" t="s">
        <v>116</v>
      </c>
      <c r="D38" s="16"/>
      <c r="E38" s="16"/>
      <c r="F38" s="22"/>
      <c r="G38" s="22"/>
      <c r="H38" s="16"/>
      <c r="I38" s="16"/>
      <c r="J38" s="16"/>
      <c r="K38" s="16"/>
      <c r="L38" s="16"/>
      <c r="M38" s="17"/>
    </row>
    <row r="39" spans="1:14" ht="14.45" customHeight="1">
      <c r="A39" s="22"/>
      <c r="B39" s="79" t="s">
        <v>126</v>
      </c>
      <c r="C39" s="22" t="s">
        <v>87</v>
      </c>
      <c r="D39" s="16"/>
      <c r="E39" s="16"/>
      <c r="F39" s="22"/>
      <c r="G39" s="22"/>
      <c r="H39" s="16"/>
      <c r="I39" s="16"/>
      <c r="J39" s="16"/>
      <c r="K39" s="16"/>
      <c r="L39" s="16"/>
      <c r="M39" s="17"/>
    </row>
    <row r="40" spans="1:14" ht="14.45" customHeight="1">
      <c r="A40" s="22"/>
      <c r="B40" s="23"/>
      <c r="C40" s="22" t="s">
        <v>117</v>
      </c>
      <c r="D40" s="16"/>
      <c r="E40" s="16"/>
      <c r="F40" s="22"/>
      <c r="G40" s="22"/>
      <c r="H40" s="16"/>
      <c r="I40" s="16"/>
      <c r="J40" s="16"/>
      <c r="K40" s="16"/>
      <c r="L40" s="16"/>
      <c r="M40" s="17"/>
    </row>
    <row r="41" spans="1:14" ht="15.75">
      <c r="A41" s="22"/>
      <c r="B41" s="23"/>
      <c r="C41" s="22"/>
      <c r="D41" s="16"/>
      <c r="E41" s="16"/>
      <c r="F41" s="22"/>
      <c r="G41" s="22"/>
      <c r="H41" s="16"/>
      <c r="I41" s="16"/>
      <c r="J41" s="16"/>
      <c r="K41" s="16"/>
      <c r="L41" s="16"/>
      <c r="M41" s="17"/>
    </row>
    <row r="42" spans="1:14" ht="14.45" customHeight="1">
      <c r="A42" s="22"/>
      <c r="B42" s="24" t="s">
        <v>43</v>
      </c>
      <c r="C42" s="22"/>
      <c r="D42" s="16"/>
      <c r="E42" s="16"/>
      <c r="F42" s="22"/>
      <c r="G42" s="22"/>
      <c r="H42" s="16"/>
      <c r="I42" s="16"/>
      <c r="J42" s="16"/>
      <c r="K42" s="16"/>
      <c r="L42" s="16"/>
      <c r="M42" s="17"/>
    </row>
    <row r="43" spans="1:14" ht="15.75">
      <c r="A43" s="22"/>
      <c r="B43" s="24" t="s">
        <v>44</v>
      </c>
      <c r="C43" s="22"/>
      <c r="D43" s="16"/>
      <c r="E43" s="16"/>
      <c r="F43" s="22"/>
      <c r="G43" s="22"/>
      <c r="H43" s="16"/>
      <c r="I43" s="16"/>
      <c r="J43" s="16"/>
      <c r="K43" s="16"/>
      <c r="L43" s="16"/>
      <c r="M43" s="17"/>
    </row>
    <row r="44" spans="1:14" ht="14.45" customHeight="1">
      <c r="A44" s="15"/>
      <c r="B44" s="22"/>
      <c r="C44" s="16"/>
      <c r="D44" s="16"/>
      <c r="E44" s="16"/>
      <c r="F44" s="22"/>
      <c r="G44" s="22"/>
      <c r="H44" s="16"/>
      <c r="I44" s="16"/>
      <c r="J44" s="16"/>
      <c r="K44" s="16"/>
      <c r="L44" s="16"/>
      <c r="M44" s="17"/>
    </row>
    <row r="45" spans="1:14" ht="14.45" customHeight="1">
      <c r="A45" s="18"/>
      <c r="B45" s="2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</row>
    <row r="46" spans="1:14" ht="23.25">
      <c r="A46" s="88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</row>
    <row r="47" spans="1:14" ht="14.45" customHeight="1"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4" ht="15.75">
      <c r="C48" s="26"/>
      <c r="D48" s="26"/>
      <c r="E48" s="26"/>
      <c r="F48" s="26"/>
      <c r="H48" s="78" t="s">
        <v>121</v>
      </c>
      <c r="I48" s="78" t="s">
        <v>121</v>
      </c>
      <c r="J48" s="78" t="s">
        <v>121</v>
      </c>
      <c r="K48" s="78" t="s">
        <v>121</v>
      </c>
      <c r="L48" s="66"/>
      <c r="M48" s="66"/>
      <c r="N48" s="78" t="s">
        <v>121</v>
      </c>
    </row>
    <row r="49" spans="1:14" ht="15.6" customHeight="1">
      <c r="G49" s="75" t="s">
        <v>128</v>
      </c>
      <c r="H49" s="66">
        <f ca="1">DF!O34</f>
        <v>1</v>
      </c>
      <c r="I49" s="66">
        <f ca="1">DF!P34</f>
        <v>1</v>
      </c>
      <c r="J49" s="66">
        <f ca="1">DF!Q34</f>
        <v>1</v>
      </c>
      <c r="K49" s="66">
        <f ca="1">DF!R34</f>
        <v>1</v>
      </c>
      <c r="L49" s="66">
        <f ca="1">DF!S34</f>
        <v>1</v>
      </c>
      <c r="M49" s="66">
        <f ca="1">DF!T34</f>
        <v>1</v>
      </c>
      <c r="N49" s="66">
        <f ca="1">DF!U34</f>
        <v>1</v>
      </c>
    </row>
    <row r="50" spans="1:14" ht="8.4499999999999993" customHeight="1" thickBot="1">
      <c r="C50" s="26"/>
      <c r="D50" s="26"/>
      <c r="E50" s="26"/>
      <c r="F50" s="26"/>
    </row>
    <row r="51" spans="1:14" ht="16.5" thickBot="1">
      <c r="G51" s="84"/>
      <c r="H51" s="29">
        <v>1</v>
      </c>
      <c r="I51" s="29">
        <v>2</v>
      </c>
      <c r="J51" s="29">
        <v>3</v>
      </c>
      <c r="K51" s="29">
        <v>4</v>
      </c>
      <c r="L51" s="29">
        <v>5</v>
      </c>
      <c r="M51" s="29">
        <v>6</v>
      </c>
      <c r="N51" s="29">
        <v>7</v>
      </c>
    </row>
    <row r="52" spans="1:14" ht="34.9" customHeight="1" thickBot="1">
      <c r="A52" s="27" t="s">
        <v>42</v>
      </c>
      <c r="B52" s="27" t="s">
        <v>55</v>
      </c>
      <c r="C52" s="27" t="s">
        <v>74</v>
      </c>
      <c r="D52" s="27" t="s">
        <v>81</v>
      </c>
      <c r="E52" s="27" t="s">
        <v>78</v>
      </c>
      <c r="F52" s="27" t="s">
        <v>79</v>
      </c>
      <c r="G52" s="83" t="s">
        <v>56</v>
      </c>
      <c r="H52" s="27" t="s">
        <v>80</v>
      </c>
      <c r="I52" s="27" t="s">
        <v>83</v>
      </c>
      <c r="J52" s="27" t="s">
        <v>86</v>
      </c>
      <c r="K52" s="27" t="s">
        <v>91</v>
      </c>
      <c r="L52" s="27" t="s">
        <v>93</v>
      </c>
      <c r="M52" s="27" t="s">
        <v>95</v>
      </c>
      <c r="N52" s="28" t="s">
        <v>85</v>
      </c>
    </row>
    <row r="53" spans="1:14" ht="19.149999999999999" customHeight="1">
      <c r="A53" s="67" t="s">
        <v>27</v>
      </c>
      <c r="B53" s="68" t="s">
        <v>57</v>
      </c>
      <c r="C53" s="68" t="s">
        <v>75</v>
      </c>
      <c r="D53" s="68">
        <v>95</v>
      </c>
      <c r="E53" s="68">
        <v>81</v>
      </c>
      <c r="F53" s="68">
        <v>82</v>
      </c>
      <c r="G53" s="69">
        <v>0.8</v>
      </c>
      <c r="H53" s="70" t="s">
        <v>103</v>
      </c>
      <c r="I53" s="70" t="s">
        <v>104</v>
      </c>
      <c r="J53" s="71" t="s">
        <v>105</v>
      </c>
      <c r="K53" s="72" t="s">
        <v>106</v>
      </c>
      <c r="L53" s="71" t="s">
        <v>107</v>
      </c>
      <c r="M53" s="73" t="s">
        <v>108</v>
      </c>
      <c r="N53" s="74" t="s">
        <v>94</v>
      </c>
    </row>
    <row r="54" spans="1:14" ht="6.6" customHeight="1">
      <c r="A54" s="46"/>
      <c r="B54" s="46"/>
      <c r="C54" s="46"/>
      <c r="D54" s="46"/>
      <c r="E54" s="46"/>
      <c r="F54" s="46"/>
      <c r="G54" s="46"/>
      <c r="H54" s="60"/>
      <c r="I54" s="60"/>
      <c r="J54" s="60"/>
      <c r="K54" s="60"/>
      <c r="L54" s="60"/>
      <c r="M54" s="60"/>
      <c r="N54" s="46"/>
    </row>
    <row r="55" spans="1:14" ht="19.149999999999999" customHeight="1">
      <c r="A55" s="40" t="s">
        <v>28</v>
      </c>
      <c r="B55" s="41" t="s">
        <v>58</v>
      </c>
      <c r="C55" s="41" t="s">
        <v>76</v>
      </c>
      <c r="D55" s="41">
        <v>75</v>
      </c>
      <c r="E55" s="41">
        <v>82</v>
      </c>
      <c r="F55" s="41">
        <v>84</v>
      </c>
      <c r="G55" s="56">
        <v>0.88</v>
      </c>
      <c r="H55" s="61" t="str">
        <f>IF(AND(D55&gt;=50,E55&gt;=50,F55&gt;=50),"Baik","Kurang Baik")</f>
        <v>Baik</v>
      </c>
      <c r="I55" s="61" t="str">
        <f>IF(OR(D55&lt;70,E55&lt;70),"Tambahan","Tidak Perlu")</f>
        <v>Tidak Perlu</v>
      </c>
      <c r="J55" s="62" t="str">
        <f>IF(AND(D55&gt;=75,E55&gt;=75,F55&gt;=75),"Lulus","Tidak Lulus")</f>
        <v>Lulus</v>
      </c>
      <c r="K55" s="63" t="str">
        <f>IF(NOT(AND(E55&lt;=80, F55&lt;=80)), "Nilai Istimewa", "Nilai Asli")</f>
        <v>Nilai Istimewa</v>
      </c>
      <c r="L55" s="62" t="str">
        <f>IF((E55&lt;75)+(F55&lt;70)&gt;=1,"Perbaikan","Sudah Bagus")</f>
        <v>Sudah Bagus</v>
      </c>
      <c r="M55" s="64" t="str">
        <f>IF((F55&gt;=80)*(G55&gt;=80%)&gt;0,"Rajin","Kurang")</f>
        <v>Rajin</v>
      </c>
      <c r="N55" s="65" t="str">
        <f>IF(AND(C55="Perempuan",E55&gt;75,F55&gt;78)+AND(C55="Laki-laki",E55&gt;68,F55&gt;70)&gt;0,"Beasiswa","Umum")</f>
        <v>Beasiswa</v>
      </c>
    </row>
    <row r="56" spans="1:14" ht="19.149999999999999" customHeight="1">
      <c r="A56" s="42" t="s">
        <v>29</v>
      </c>
      <c r="B56" s="1" t="s">
        <v>59</v>
      </c>
      <c r="C56" s="1" t="s">
        <v>75</v>
      </c>
      <c r="D56" s="1">
        <v>57</v>
      </c>
      <c r="E56" s="1">
        <v>43</v>
      </c>
      <c r="F56" s="1">
        <v>48</v>
      </c>
      <c r="G56" s="56">
        <v>0.89</v>
      </c>
      <c r="H56" s="61" t="str">
        <f t="shared" ref="H56:H68" si="0">IF(AND(D56&gt;=50,E56&gt;=50,F56&gt;=50),"Baik","Kurang Baik")</f>
        <v>Kurang Baik</v>
      </c>
      <c r="I56" s="61" t="str">
        <f t="shared" ref="I56:I68" si="1">IF(OR(D56&lt;70,E56&lt;70),"Tambahan","Tidak Perlu")</f>
        <v>Tambahan</v>
      </c>
      <c r="J56" s="62" t="str">
        <f t="shared" ref="J56:J68" si="2">IF(AND(D56&gt;=75,E56&gt;=75,F56&gt;=75),"Lulus","Tidak Lulus")</f>
        <v>Tidak Lulus</v>
      </c>
      <c r="K56" s="63" t="str">
        <f t="shared" ref="K56:K68" si="3">IF(NOT(AND(E56&lt;=80, F56&lt;=80)), "Nilai Istimewa", "Nilai Asli")</f>
        <v>Nilai Asli</v>
      </c>
      <c r="L56" s="62" t="str">
        <f t="shared" ref="L56:L68" si="4">IF((E56&lt;75)+(F56&lt;70)&gt;=1,"Perbaikan","Sudah Bagus")</f>
        <v>Perbaikan</v>
      </c>
      <c r="M56" s="64" t="str">
        <f t="shared" ref="M56:M68" si="5">IF((F56&gt;=80)*(G56&gt;=80%)&gt;0,"Rajin","Kurang")</f>
        <v>Kurang</v>
      </c>
      <c r="N56" s="65" t="str">
        <f t="shared" ref="N56:N68" si="6">IF(AND(C56="Perempuan",E56&gt;75,F56&gt;78)+AND(C56="Laki-laki",E56&gt;68,F56&gt;70)&gt;0,"Beasiswa","Umum")</f>
        <v>Umum</v>
      </c>
    </row>
    <row r="57" spans="1:14" ht="19.149999999999999" customHeight="1">
      <c r="A57" s="42" t="s">
        <v>30</v>
      </c>
      <c r="B57" s="1" t="s">
        <v>60</v>
      </c>
      <c r="C57" s="1" t="s">
        <v>76</v>
      </c>
      <c r="D57" s="1">
        <v>51</v>
      </c>
      <c r="E57" s="1">
        <v>76</v>
      </c>
      <c r="F57" s="1">
        <v>51</v>
      </c>
      <c r="G57" s="56">
        <v>0.76</v>
      </c>
      <c r="H57" s="61" t="str">
        <f t="shared" si="0"/>
        <v>Baik</v>
      </c>
      <c r="I57" s="61" t="str">
        <f t="shared" si="1"/>
        <v>Tambahan</v>
      </c>
      <c r="J57" s="62" t="str">
        <f t="shared" si="2"/>
        <v>Tidak Lulus</v>
      </c>
      <c r="K57" s="63" t="str">
        <f t="shared" si="3"/>
        <v>Nilai Asli</v>
      </c>
      <c r="L57" s="62" t="str">
        <f t="shared" si="4"/>
        <v>Perbaikan</v>
      </c>
      <c r="M57" s="64" t="str">
        <f t="shared" si="5"/>
        <v>Kurang</v>
      </c>
      <c r="N57" s="65" t="str">
        <f t="shared" si="6"/>
        <v>Umum</v>
      </c>
    </row>
    <row r="58" spans="1:14" ht="19.149999999999999" customHeight="1">
      <c r="A58" s="42" t="s">
        <v>31</v>
      </c>
      <c r="B58" s="1" t="s">
        <v>61</v>
      </c>
      <c r="C58" s="1" t="s">
        <v>75</v>
      </c>
      <c r="D58" s="1">
        <v>80</v>
      </c>
      <c r="E58" s="1">
        <v>75</v>
      </c>
      <c r="F58" s="1">
        <v>83</v>
      </c>
      <c r="G58" s="56">
        <v>0.96</v>
      </c>
      <c r="H58" s="61" t="str">
        <f t="shared" si="0"/>
        <v>Baik</v>
      </c>
      <c r="I58" s="61" t="str">
        <f t="shared" si="1"/>
        <v>Tidak Perlu</v>
      </c>
      <c r="J58" s="62" t="str">
        <f t="shared" si="2"/>
        <v>Lulus</v>
      </c>
      <c r="K58" s="63" t="str">
        <f t="shared" si="3"/>
        <v>Nilai Istimewa</v>
      </c>
      <c r="L58" s="62" t="str">
        <f t="shared" si="4"/>
        <v>Sudah Bagus</v>
      </c>
      <c r="M58" s="64" t="str">
        <f t="shared" si="5"/>
        <v>Rajin</v>
      </c>
      <c r="N58" s="65" t="str">
        <f t="shared" si="6"/>
        <v>Beasiswa</v>
      </c>
    </row>
    <row r="59" spans="1:14" ht="19.149999999999999" customHeight="1">
      <c r="A59" s="42" t="s">
        <v>32</v>
      </c>
      <c r="B59" s="1" t="s">
        <v>62</v>
      </c>
      <c r="C59" s="1" t="s">
        <v>75</v>
      </c>
      <c r="D59" s="1">
        <v>95</v>
      </c>
      <c r="E59" s="1">
        <v>73</v>
      </c>
      <c r="F59" s="1">
        <v>78</v>
      </c>
      <c r="G59" s="56">
        <v>0.88</v>
      </c>
      <c r="H59" s="61" t="str">
        <f t="shared" si="0"/>
        <v>Baik</v>
      </c>
      <c r="I59" s="61" t="str">
        <f t="shared" si="1"/>
        <v>Tidak Perlu</v>
      </c>
      <c r="J59" s="62" t="str">
        <f t="shared" si="2"/>
        <v>Tidak Lulus</v>
      </c>
      <c r="K59" s="63" t="str">
        <f t="shared" si="3"/>
        <v>Nilai Asli</v>
      </c>
      <c r="L59" s="62" t="str">
        <f t="shared" si="4"/>
        <v>Perbaikan</v>
      </c>
      <c r="M59" s="64" t="str">
        <f t="shared" si="5"/>
        <v>Kurang</v>
      </c>
      <c r="N59" s="65" t="str">
        <f t="shared" si="6"/>
        <v>Beasiswa</v>
      </c>
    </row>
    <row r="60" spans="1:14" ht="19.149999999999999" customHeight="1">
      <c r="A60" s="42" t="s">
        <v>33</v>
      </c>
      <c r="B60" s="1" t="s">
        <v>63</v>
      </c>
      <c r="C60" s="1" t="s">
        <v>76</v>
      </c>
      <c r="D60" s="1">
        <v>42</v>
      </c>
      <c r="E60" s="1">
        <v>73</v>
      </c>
      <c r="F60" s="1">
        <v>54</v>
      </c>
      <c r="G60" s="56">
        <v>0.91</v>
      </c>
      <c r="H60" s="61" t="str">
        <f t="shared" si="0"/>
        <v>Kurang Baik</v>
      </c>
      <c r="I60" s="61" t="str">
        <f t="shared" si="1"/>
        <v>Tambahan</v>
      </c>
      <c r="J60" s="62" t="str">
        <f t="shared" si="2"/>
        <v>Tidak Lulus</v>
      </c>
      <c r="K60" s="63" t="str">
        <f t="shared" si="3"/>
        <v>Nilai Asli</v>
      </c>
      <c r="L60" s="62" t="str">
        <f t="shared" si="4"/>
        <v>Perbaikan</v>
      </c>
      <c r="M60" s="64" t="str">
        <f t="shared" si="5"/>
        <v>Kurang</v>
      </c>
      <c r="N60" s="65" t="str">
        <f t="shared" si="6"/>
        <v>Umum</v>
      </c>
    </row>
    <row r="61" spans="1:14" ht="19.149999999999999" customHeight="1">
      <c r="A61" s="42" t="s">
        <v>34</v>
      </c>
      <c r="B61" s="1" t="s">
        <v>64</v>
      </c>
      <c r="C61" s="1" t="s">
        <v>76</v>
      </c>
      <c r="D61" s="1">
        <v>94</v>
      </c>
      <c r="E61" s="1">
        <v>79</v>
      </c>
      <c r="F61" s="1">
        <v>79</v>
      </c>
      <c r="G61" s="56">
        <v>0.9</v>
      </c>
      <c r="H61" s="61" t="str">
        <f t="shared" si="0"/>
        <v>Baik</v>
      </c>
      <c r="I61" s="61" t="str">
        <f t="shared" si="1"/>
        <v>Tidak Perlu</v>
      </c>
      <c r="J61" s="62" t="str">
        <f t="shared" si="2"/>
        <v>Lulus</v>
      </c>
      <c r="K61" s="63" t="str">
        <f t="shared" si="3"/>
        <v>Nilai Asli</v>
      </c>
      <c r="L61" s="62" t="str">
        <f t="shared" si="4"/>
        <v>Sudah Bagus</v>
      </c>
      <c r="M61" s="64" t="str">
        <f t="shared" si="5"/>
        <v>Kurang</v>
      </c>
      <c r="N61" s="65" t="str">
        <f t="shared" si="6"/>
        <v>Beasiswa</v>
      </c>
    </row>
    <row r="62" spans="1:14" ht="19.149999999999999" customHeight="1">
      <c r="A62" s="42" t="s">
        <v>35</v>
      </c>
      <c r="B62" s="1" t="s">
        <v>65</v>
      </c>
      <c r="C62" s="1" t="s">
        <v>75</v>
      </c>
      <c r="D62" s="1">
        <v>44</v>
      </c>
      <c r="E62" s="1">
        <v>70</v>
      </c>
      <c r="F62" s="1">
        <v>81</v>
      </c>
      <c r="G62" s="56">
        <v>0.89</v>
      </c>
      <c r="H62" s="61" t="str">
        <f t="shared" si="0"/>
        <v>Kurang Baik</v>
      </c>
      <c r="I62" s="61" t="str">
        <f t="shared" si="1"/>
        <v>Tambahan</v>
      </c>
      <c r="J62" s="62" t="str">
        <f t="shared" si="2"/>
        <v>Tidak Lulus</v>
      </c>
      <c r="K62" s="63" t="str">
        <f t="shared" si="3"/>
        <v>Nilai Istimewa</v>
      </c>
      <c r="L62" s="62" t="str">
        <f t="shared" si="4"/>
        <v>Perbaikan</v>
      </c>
      <c r="M62" s="64" t="str">
        <f t="shared" si="5"/>
        <v>Rajin</v>
      </c>
      <c r="N62" s="65" t="str">
        <f t="shared" si="6"/>
        <v>Beasiswa</v>
      </c>
    </row>
    <row r="63" spans="1:14" ht="19.149999999999999" customHeight="1">
      <c r="A63" s="42" t="s">
        <v>36</v>
      </c>
      <c r="B63" s="1" t="s">
        <v>66</v>
      </c>
      <c r="C63" s="1" t="s">
        <v>75</v>
      </c>
      <c r="D63" s="1">
        <v>93</v>
      </c>
      <c r="E63" s="1">
        <v>85</v>
      </c>
      <c r="F63" s="1">
        <v>82</v>
      </c>
      <c r="G63" s="56">
        <v>0.85</v>
      </c>
      <c r="H63" s="61" t="str">
        <f t="shared" si="0"/>
        <v>Baik</v>
      </c>
      <c r="I63" s="61" t="str">
        <f t="shared" si="1"/>
        <v>Tidak Perlu</v>
      </c>
      <c r="J63" s="62" t="str">
        <f t="shared" si="2"/>
        <v>Lulus</v>
      </c>
      <c r="K63" s="63" t="str">
        <f t="shared" si="3"/>
        <v>Nilai Istimewa</v>
      </c>
      <c r="L63" s="62" t="str">
        <f t="shared" si="4"/>
        <v>Sudah Bagus</v>
      </c>
      <c r="M63" s="64" t="str">
        <f t="shared" si="5"/>
        <v>Rajin</v>
      </c>
      <c r="N63" s="65" t="str">
        <f t="shared" si="6"/>
        <v>Beasiswa</v>
      </c>
    </row>
    <row r="64" spans="1:14" ht="19.149999999999999" customHeight="1">
      <c r="A64" s="42" t="s">
        <v>37</v>
      </c>
      <c r="B64" s="1" t="s">
        <v>67</v>
      </c>
      <c r="C64" s="1" t="s">
        <v>75</v>
      </c>
      <c r="D64" s="1">
        <v>69</v>
      </c>
      <c r="E64" s="1">
        <v>56</v>
      </c>
      <c r="F64" s="1">
        <v>96</v>
      </c>
      <c r="G64" s="56">
        <v>0.92</v>
      </c>
      <c r="H64" s="61" t="str">
        <f t="shared" si="0"/>
        <v>Baik</v>
      </c>
      <c r="I64" s="61" t="str">
        <f t="shared" si="1"/>
        <v>Tambahan</v>
      </c>
      <c r="J64" s="62" t="str">
        <f t="shared" si="2"/>
        <v>Tidak Lulus</v>
      </c>
      <c r="K64" s="63" t="str">
        <f t="shared" si="3"/>
        <v>Nilai Istimewa</v>
      </c>
      <c r="L64" s="62" t="str">
        <f t="shared" si="4"/>
        <v>Perbaikan</v>
      </c>
      <c r="M64" s="64" t="str">
        <f t="shared" si="5"/>
        <v>Rajin</v>
      </c>
      <c r="N64" s="65" t="str">
        <f t="shared" si="6"/>
        <v>Umum</v>
      </c>
    </row>
    <row r="65" spans="1:14" ht="19.149999999999999" customHeight="1">
      <c r="A65" s="42" t="s">
        <v>38</v>
      </c>
      <c r="B65" s="1" t="s">
        <v>68</v>
      </c>
      <c r="C65" s="1" t="s">
        <v>75</v>
      </c>
      <c r="D65" s="1">
        <v>51</v>
      </c>
      <c r="E65" s="1">
        <v>92</v>
      </c>
      <c r="F65" s="1">
        <v>74</v>
      </c>
      <c r="G65" s="56">
        <v>0.85</v>
      </c>
      <c r="H65" s="61" t="str">
        <f t="shared" si="0"/>
        <v>Baik</v>
      </c>
      <c r="I65" s="61" t="str">
        <f t="shared" si="1"/>
        <v>Tambahan</v>
      </c>
      <c r="J65" s="62" t="str">
        <f t="shared" si="2"/>
        <v>Tidak Lulus</v>
      </c>
      <c r="K65" s="63" t="str">
        <f t="shared" si="3"/>
        <v>Nilai Istimewa</v>
      </c>
      <c r="L65" s="62" t="str">
        <f t="shared" si="4"/>
        <v>Sudah Bagus</v>
      </c>
      <c r="M65" s="64" t="str">
        <f t="shared" si="5"/>
        <v>Kurang</v>
      </c>
      <c r="N65" s="65" t="str">
        <f t="shared" si="6"/>
        <v>Beasiswa</v>
      </c>
    </row>
    <row r="66" spans="1:14" ht="19.149999999999999" customHeight="1">
      <c r="A66" s="42" t="s">
        <v>39</v>
      </c>
      <c r="B66" s="1" t="s">
        <v>69</v>
      </c>
      <c r="C66" s="1" t="s">
        <v>76</v>
      </c>
      <c r="D66" s="1">
        <v>43</v>
      </c>
      <c r="E66" s="1">
        <v>70</v>
      </c>
      <c r="F66" s="1">
        <v>74</v>
      </c>
      <c r="G66" s="56">
        <v>0.82</v>
      </c>
      <c r="H66" s="61" t="str">
        <f t="shared" si="0"/>
        <v>Kurang Baik</v>
      </c>
      <c r="I66" s="61" t="str">
        <f t="shared" si="1"/>
        <v>Tambahan</v>
      </c>
      <c r="J66" s="62" t="str">
        <f t="shared" si="2"/>
        <v>Tidak Lulus</v>
      </c>
      <c r="K66" s="63" t="str">
        <f t="shared" si="3"/>
        <v>Nilai Asli</v>
      </c>
      <c r="L66" s="62" t="str">
        <f t="shared" si="4"/>
        <v>Perbaikan</v>
      </c>
      <c r="M66" s="64" t="str">
        <f t="shared" si="5"/>
        <v>Kurang</v>
      </c>
      <c r="N66" s="65" t="str">
        <f t="shared" si="6"/>
        <v>Umum</v>
      </c>
    </row>
    <row r="67" spans="1:14" ht="19.149999999999999" customHeight="1">
      <c r="A67" s="42" t="s">
        <v>40</v>
      </c>
      <c r="B67" s="1" t="s">
        <v>77</v>
      </c>
      <c r="C67" s="1" t="s">
        <v>75</v>
      </c>
      <c r="D67" s="1">
        <v>72</v>
      </c>
      <c r="E67" s="1">
        <v>76</v>
      </c>
      <c r="F67" s="1">
        <v>80</v>
      </c>
      <c r="G67" s="56">
        <v>0.81</v>
      </c>
      <c r="H67" s="61" t="str">
        <f t="shared" si="0"/>
        <v>Baik</v>
      </c>
      <c r="I67" s="61" t="str">
        <f t="shared" si="1"/>
        <v>Tidak Perlu</v>
      </c>
      <c r="J67" s="62" t="str">
        <f t="shared" si="2"/>
        <v>Tidak Lulus</v>
      </c>
      <c r="K67" s="63" t="str">
        <f t="shared" si="3"/>
        <v>Nilai Asli</v>
      </c>
      <c r="L67" s="62" t="str">
        <f t="shared" si="4"/>
        <v>Sudah Bagus</v>
      </c>
      <c r="M67" s="64" t="str">
        <f t="shared" si="5"/>
        <v>Rajin</v>
      </c>
      <c r="N67" s="65" t="str">
        <f t="shared" si="6"/>
        <v>Beasiswa</v>
      </c>
    </row>
    <row r="68" spans="1:14" ht="19.149999999999999" customHeight="1">
      <c r="A68" s="43" t="s">
        <v>41</v>
      </c>
      <c r="B68" s="44" t="s">
        <v>70</v>
      </c>
      <c r="C68" s="44" t="s">
        <v>75</v>
      </c>
      <c r="D68" s="44">
        <v>79</v>
      </c>
      <c r="E68" s="44">
        <v>82</v>
      </c>
      <c r="F68" s="44">
        <v>75</v>
      </c>
      <c r="G68" s="56">
        <v>0.82</v>
      </c>
      <c r="H68" s="61" t="str">
        <f t="shared" si="0"/>
        <v>Baik</v>
      </c>
      <c r="I68" s="61" t="str">
        <f t="shared" si="1"/>
        <v>Tidak Perlu</v>
      </c>
      <c r="J68" s="62" t="str">
        <f t="shared" si="2"/>
        <v>Lulus</v>
      </c>
      <c r="K68" s="63" t="str">
        <f t="shared" si="3"/>
        <v>Nilai Istimewa</v>
      </c>
      <c r="L68" s="62" t="str">
        <f t="shared" si="4"/>
        <v>Sudah Bagus</v>
      </c>
      <c r="M68" s="64" t="str">
        <f t="shared" si="5"/>
        <v>Kurang</v>
      </c>
      <c r="N68" s="65" t="str">
        <f t="shared" si="6"/>
        <v>Beasiswa</v>
      </c>
    </row>
    <row r="71" spans="1:14">
      <c r="B71" s="8"/>
    </row>
    <row r="72" spans="1:14">
      <c r="B72" s="7"/>
    </row>
    <row r="73" spans="1:14">
      <c r="A73" s="85" t="s">
        <v>130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</row>
    <row r="74" spans="1:14">
      <c r="B74" s="7"/>
      <c r="K74" s="2"/>
    </row>
    <row r="75" spans="1:14">
      <c r="B75" s="7"/>
    </row>
    <row r="76" spans="1:14">
      <c r="B76" s="7"/>
    </row>
    <row r="77" spans="1:14">
      <c r="B77" s="7"/>
      <c r="K77" s="3"/>
    </row>
    <row r="78" spans="1:14">
      <c r="B78" s="7"/>
      <c r="K78" s="4"/>
    </row>
    <row r="79" spans="1:14">
      <c r="B79" s="7"/>
      <c r="K79" s="5"/>
    </row>
  </sheetData>
  <mergeCells count="5">
    <mergeCell ref="A73:N73"/>
    <mergeCell ref="A19:M19"/>
    <mergeCell ref="A46:M46"/>
    <mergeCell ref="A17:B17"/>
    <mergeCell ref="E17:F17"/>
  </mergeCells>
  <phoneticPr fontId="19" type="noConversion"/>
  <conditionalFormatting sqref="A53:N53 A55:N68">
    <cfRule type="expression" dxfId="1" priority="10">
      <formula>$A53="#14"</formula>
    </cfRule>
  </conditionalFormatting>
  <conditionalFormatting sqref="H49:N49">
    <cfRule type="iconSet" priority="6">
      <iconSet iconSet="3Symbols" showValue="0">
        <cfvo type="percent" val="0"/>
        <cfvo type="num" val="0" gte="0"/>
        <cfvo type="num" val="1"/>
      </iconSet>
    </cfRule>
  </conditionalFormatting>
  <conditionalFormatting sqref="J23:L26">
    <cfRule type="expression" dxfId="0" priority="1">
      <formula>$L23&gt;$K23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5D2D-0DB9-4F0A-9E3C-8232C9CC97F7}">
  <sheetPr codeName="Sheet3"/>
  <dimension ref="B1:P32"/>
  <sheetViews>
    <sheetView showGridLines="0" workbookViewId="0">
      <selection activeCell="L12" sqref="L12:M12"/>
    </sheetView>
  </sheetViews>
  <sheetFormatPr defaultColWidth="8.85546875" defaultRowHeight="15"/>
  <cols>
    <col min="1" max="1" width="5.7109375" style="10" customWidth="1"/>
    <col min="2" max="2" width="10" style="10" customWidth="1"/>
    <col min="3" max="6" width="8.85546875" style="10"/>
    <col min="7" max="8" width="4.28515625" style="10" customWidth="1"/>
    <col min="9" max="9" width="8.85546875" style="10"/>
    <col min="10" max="10" width="10.42578125" style="10" customWidth="1"/>
    <col min="11" max="11" width="9.28515625" style="10" customWidth="1"/>
    <col min="12" max="13" width="8.85546875" style="10"/>
    <col min="14" max="14" width="26.42578125" style="10" customWidth="1"/>
    <col min="15" max="16384" width="8.85546875" style="10"/>
  </cols>
  <sheetData>
    <row r="1" spans="7:16">
      <c r="H1" s="9"/>
      <c r="I1" s="9"/>
      <c r="J1" s="9"/>
      <c r="K1" s="9"/>
      <c r="L1" s="9"/>
      <c r="M1" s="9"/>
      <c r="N1" s="9"/>
      <c r="O1" s="9"/>
      <c r="P1" s="9"/>
    </row>
    <row r="2" spans="7:16">
      <c r="H2" s="9"/>
      <c r="I2" s="9"/>
      <c r="J2" s="9"/>
      <c r="K2" s="9"/>
      <c r="L2" s="9"/>
      <c r="M2" s="9"/>
      <c r="N2" s="9"/>
      <c r="O2" s="9"/>
      <c r="P2" s="9"/>
    </row>
    <row r="3" spans="7:16">
      <c r="G3" s="31"/>
      <c r="H3" s="32"/>
      <c r="I3" s="9"/>
      <c r="J3" s="9"/>
      <c r="K3" s="9"/>
      <c r="L3" s="9"/>
      <c r="M3" s="9"/>
      <c r="N3" s="9"/>
      <c r="O3" s="9"/>
      <c r="P3" s="9"/>
    </row>
    <row r="4" spans="7:16">
      <c r="G4" s="31"/>
      <c r="H4" s="32"/>
      <c r="I4" s="9"/>
      <c r="J4" s="9"/>
      <c r="K4" s="9"/>
      <c r="L4" s="9"/>
      <c r="M4" s="9"/>
      <c r="N4" s="9"/>
      <c r="O4" s="9"/>
      <c r="P4" s="9"/>
    </row>
    <row r="5" spans="7:16">
      <c r="G5" s="31"/>
      <c r="H5" s="32"/>
      <c r="I5" s="9"/>
      <c r="J5" s="9"/>
      <c r="K5" s="9"/>
      <c r="L5" s="9"/>
      <c r="M5" s="9"/>
      <c r="N5" s="9"/>
      <c r="O5" s="9"/>
      <c r="P5" s="9"/>
    </row>
    <row r="6" spans="7:16">
      <c r="G6" s="31"/>
      <c r="H6" s="32"/>
      <c r="I6" s="9" t="s">
        <v>11</v>
      </c>
      <c r="J6" s="9"/>
      <c r="K6" s="9"/>
      <c r="L6" s="9"/>
      <c r="M6" s="9"/>
      <c r="N6" s="9"/>
      <c r="O6" s="9"/>
      <c r="P6" s="9"/>
    </row>
    <row r="7" spans="7:16">
      <c r="G7" s="31"/>
      <c r="H7" s="32"/>
      <c r="I7" s="9" t="s">
        <v>12</v>
      </c>
      <c r="J7" s="9"/>
      <c r="K7" s="9"/>
      <c r="L7" s="9"/>
      <c r="M7" s="9"/>
      <c r="N7" s="9"/>
      <c r="O7" s="9"/>
      <c r="P7" s="9"/>
    </row>
    <row r="8" spans="7:16">
      <c r="G8" s="31"/>
      <c r="H8" s="32"/>
      <c r="I8" s="9"/>
      <c r="J8" s="9"/>
      <c r="K8" s="9"/>
      <c r="L8" s="9"/>
      <c r="M8" s="9"/>
      <c r="N8" s="9"/>
      <c r="O8" s="9"/>
      <c r="P8" s="9"/>
    </row>
    <row r="9" spans="7:16">
      <c r="G9" s="31"/>
      <c r="H9" s="32"/>
      <c r="I9" s="9"/>
      <c r="J9" s="9"/>
      <c r="K9" s="9"/>
      <c r="L9" s="9"/>
      <c r="M9" s="9"/>
      <c r="N9" s="9"/>
      <c r="O9" s="9"/>
      <c r="P9" s="9"/>
    </row>
    <row r="10" spans="7:16">
      <c r="G10" s="31"/>
      <c r="H10" s="32"/>
      <c r="I10" s="9" t="s">
        <v>13</v>
      </c>
      <c r="J10" s="9"/>
      <c r="K10" s="9"/>
      <c r="L10" s="9"/>
      <c r="M10" s="9"/>
      <c r="N10" s="9"/>
      <c r="O10" s="9"/>
      <c r="P10" s="9"/>
    </row>
    <row r="11" spans="7:16">
      <c r="G11" s="31"/>
      <c r="H11" s="32"/>
      <c r="I11" s="9"/>
      <c r="J11" s="9"/>
      <c r="K11" s="9"/>
      <c r="L11" s="9"/>
      <c r="M11" s="9"/>
      <c r="N11" s="9"/>
      <c r="O11" s="9"/>
      <c r="P11" s="9"/>
    </row>
    <row r="12" spans="7:16">
      <c r="G12" s="31"/>
      <c r="H12" s="32"/>
      <c r="I12" s="48"/>
      <c r="J12" s="92" t="s">
        <v>14</v>
      </c>
      <c r="K12" s="92"/>
      <c r="L12" s="91" t="s">
        <v>15</v>
      </c>
      <c r="M12" s="91"/>
      <c r="N12" s="9"/>
      <c r="O12" s="9"/>
      <c r="P12" s="9"/>
    </row>
    <row r="13" spans="7:16">
      <c r="G13" s="31"/>
      <c r="H13" s="32"/>
      <c r="I13" s="48"/>
      <c r="J13" s="92" t="s">
        <v>16</v>
      </c>
      <c r="K13" s="92"/>
      <c r="L13" s="49" t="s">
        <v>17</v>
      </c>
      <c r="M13" s="49"/>
      <c r="N13" s="9"/>
      <c r="O13" s="9"/>
      <c r="P13" s="9"/>
    </row>
    <row r="14" spans="7:16">
      <c r="G14" s="31"/>
      <c r="H14" s="32"/>
      <c r="I14" s="48"/>
      <c r="J14" s="92" t="s">
        <v>18</v>
      </c>
      <c r="K14" s="92"/>
      <c r="L14" s="49" t="s">
        <v>19</v>
      </c>
      <c r="M14" s="50"/>
      <c r="N14" s="9"/>
      <c r="O14" s="9"/>
      <c r="P14" s="9"/>
    </row>
    <row r="15" spans="7:16">
      <c r="G15" s="31"/>
      <c r="H15" s="32"/>
      <c r="I15" s="48"/>
      <c r="J15" s="92" t="s">
        <v>20</v>
      </c>
      <c r="K15" s="92"/>
      <c r="L15" s="49" t="s">
        <v>21</v>
      </c>
      <c r="M15" s="50"/>
      <c r="N15" s="9"/>
      <c r="O15" s="9"/>
      <c r="P15" s="9"/>
    </row>
    <row r="16" spans="7:16">
      <c r="G16" s="31"/>
      <c r="H16" s="32"/>
      <c r="I16" s="48"/>
      <c r="J16" s="92" t="s">
        <v>22</v>
      </c>
      <c r="K16" s="92"/>
      <c r="L16" s="49" t="s">
        <v>23</v>
      </c>
      <c r="M16" s="50"/>
      <c r="N16" s="9"/>
      <c r="O16" s="9"/>
      <c r="P16" s="9"/>
    </row>
    <row r="17" spans="2:16" ht="54.6" customHeight="1">
      <c r="B17" s="93" t="s">
        <v>45</v>
      </c>
      <c r="C17" s="93"/>
      <c r="D17" s="93"/>
      <c r="E17" s="93"/>
      <c r="F17" s="94"/>
      <c r="G17" s="33"/>
      <c r="H17" s="32"/>
      <c r="I17" s="9" t="s">
        <v>24</v>
      </c>
      <c r="J17" s="9"/>
      <c r="K17" s="9"/>
      <c r="L17" s="9"/>
      <c r="M17" s="9"/>
      <c r="N17" s="9"/>
      <c r="O17" s="9"/>
      <c r="P17" s="9"/>
    </row>
    <row r="18" spans="2:16" ht="54.6" customHeight="1">
      <c r="B18" s="95" t="s">
        <v>51</v>
      </c>
      <c r="C18" s="95"/>
      <c r="D18" s="95"/>
      <c r="E18" s="95"/>
      <c r="F18" s="96"/>
      <c r="G18" s="34"/>
      <c r="H18" s="32"/>
      <c r="I18" s="30" t="s">
        <v>25</v>
      </c>
      <c r="J18" s="9"/>
      <c r="K18" s="9"/>
      <c r="L18" s="9"/>
      <c r="M18" s="9"/>
      <c r="N18" s="9"/>
      <c r="O18" s="9"/>
      <c r="P18" s="9"/>
    </row>
    <row r="19" spans="2:16">
      <c r="B19" s="35" t="s">
        <v>46</v>
      </c>
      <c r="H19" s="9"/>
      <c r="J19" s="9"/>
      <c r="K19" s="9"/>
      <c r="L19" s="9"/>
      <c r="M19" s="9"/>
      <c r="N19" s="9"/>
      <c r="O19" s="9"/>
      <c r="P19" s="9"/>
    </row>
    <row r="20" spans="2:16">
      <c r="B20" s="36" t="s">
        <v>47</v>
      </c>
      <c r="C20" s="38" t="s">
        <v>50</v>
      </c>
      <c r="H20" s="9"/>
      <c r="J20" s="9"/>
      <c r="K20" s="9"/>
      <c r="L20" s="9"/>
      <c r="M20" s="9"/>
      <c r="N20" s="9"/>
      <c r="O20" s="9"/>
      <c r="P20" s="9"/>
    </row>
    <row r="21" spans="2:16">
      <c r="B21" s="37" t="s">
        <v>49</v>
      </c>
      <c r="C21" s="38" t="s">
        <v>48</v>
      </c>
      <c r="H21" s="9"/>
      <c r="I21" s="9"/>
      <c r="J21" s="9"/>
      <c r="K21" s="9"/>
      <c r="L21" s="9"/>
      <c r="M21" s="9"/>
      <c r="N21" s="9"/>
      <c r="O21" s="9"/>
      <c r="P21" s="9"/>
    </row>
    <row r="22" spans="2:16">
      <c r="H22" s="9"/>
      <c r="I22" s="9"/>
      <c r="J22" s="9"/>
      <c r="K22" s="9"/>
      <c r="L22" s="9"/>
      <c r="M22" s="9"/>
      <c r="N22" s="9"/>
      <c r="O22" s="9"/>
      <c r="P22" s="9"/>
    </row>
    <row r="23" spans="2:16">
      <c r="N23" s="9"/>
      <c r="O23" s="9"/>
      <c r="P23" s="9"/>
    </row>
    <row r="24" spans="2:16">
      <c r="N24" s="9"/>
      <c r="O24" s="9"/>
      <c r="P24" s="9"/>
    </row>
    <row r="25" spans="2:16">
      <c r="B25" s="97"/>
      <c r="C25" s="85"/>
      <c r="D25" s="85"/>
      <c r="E25" s="85"/>
      <c r="F25" s="85"/>
      <c r="G25" s="85"/>
      <c r="H25" s="85"/>
      <c r="I25" s="85"/>
      <c r="N25" s="9"/>
      <c r="O25" s="9"/>
      <c r="P25" s="9"/>
    </row>
    <row r="26" spans="2:16">
      <c r="B26" s="51"/>
      <c r="C26" s="52"/>
      <c r="D26" s="51"/>
      <c r="E26" s="51"/>
      <c r="F26" s="51"/>
      <c r="G26" s="51"/>
      <c r="H26" s="51"/>
      <c r="I26" s="51"/>
    </row>
    <row r="27" spans="2:16">
      <c r="B27" s="51"/>
      <c r="C27" s="51"/>
      <c r="D27" s="53" t="s">
        <v>52</v>
      </c>
      <c r="E27" s="51"/>
      <c r="F27" s="51"/>
      <c r="G27" s="51"/>
      <c r="H27" s="51"/>
      <c r="I27" s="51"/>
    </row>
    <row r="28" spans="2:16">
      <c r="B28" s="51"/>
      <c r="C28" s="51"/>
      <c r="D28" s="54" t="s">
        <v>53</v>
      </c>
      <c r="E28" s="51"/>
      <c r="F28" s="51"/>
      <c r="G28" s="51"/>
      <c r="H28" s="51"/>
      <c r="I28" s="51"/>
    </row>
    <row r="29" spans="2:16">
      <c r="B29" s="51"/>
      <c r="C29" s="51"/>
      <c r="D29" s="55" t="s">
        <v>54</v>
      </c>
      <c r="E29" s="51"/>
      <c r="F29" s="51"/>
      <c r="G29" s="51"/>
      <c r="H29" s="51"/>
      <c r="I29" s="51"/>
    </row>
    <row r="30" spans="2:16">
      <c r="B30" s="51"/>
      <c r="C30" s="51"/>
      <c r="D30" s="51"/>
      <c r="E30" s="51"/>
      <c r="F30" s="51"/>
      <c r="G30" s="51"/>
      <c r="H30" s="51"/>
      <c r="I30" s="51"/>
    </row>
    <row r="31" spans="2:16">
      <c r="B31" s="51"/>
      <c r="C31" s="51"/>
      <c r="D31" s="51"/>
      <c r="E31" s="51"/>
      <c r="F31" s="51"/>
      <c r="G31" s="51"/>
      <c r="H31" s="51"/>
      <c r="I31" s="51"/>
    </row>
    <row r="32" spans="2:16">
      <c r="B32" s="97"/>
      <c r="C32" s="85"/>
      <c r="D32" s="85"/>
      <c r="E32" s="85"/>
      <c r="F32" s="85"/>
      <c r="G32" s="85"/>
      <c r="H32" s="85"/>
      <c r="I32" s="85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9DD3164A-2250-48C9-9F1F-A2B8BD2FC281}"/>
    <hyperlink ref="C21" r:id="rId2" xr:uid="{A1A91605-EAAE-4EDF-B466-CC4634390D3C}"/>
    <hyperlink ref="C20" r:id="rId3" xr:uid="{35079AD7-5828-4138-8854-5011EF331AFD}"/>
    <hyperlink ref="D29" r:id="rId4" xr:uid="{5B5FA9D6-D926-4EBE-9A11-71DA6B17BA1F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C52-449A-4C54-8FAA-0387C21C6742}">
  <sheetPr codeName="Sheet2"/>
  <dimension ref="A1:X74"/>
  <sheetViews>
    <sheetView workbookViewId="0">
      <selection activeCell="M35" sqref="M35"/>
    </sheetView>
  </sheetViews>
  <sheetFormatPr defaultRowHeight="15"/>
  <cols>
    <col min="2" max="2" width="11.7109375" customWidth="1"/>
    <col min="3" max="3" width="10.7109375" customWidth="1"/>
    <col min="4" max="4" width="7.5703125" customWidth="1"/>
    <col min="5" max="5" width="10.28515625" customWidth="1"/>
    <col min="6" max="6" width="9.28515625" customWidth="1"/>
    <col min="7" max="7" width="7.7109375" customWidth="1"/>
    <col min="8" max="8" width="12.42578125" customWidth="1"/>
    <col min="9" max="9" width="13.42578125" customWidth="1"/>
    <col min="10" max="10" width="10.140625" customWidth="1"/>
    <col min="11" max="11" width="9" bestFit="1" customWidth="1"/>
    <col min="15" max="15" width="23.7109375" customWidth="1"/>
    <col min="16" max="16" width="12.5703125" customWidth="1"/>
  </cols>
  <sheetData>
    <row r="1" spans="1:24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L1">
        <v>169</v>
      </c>
      <c r="M1">
        <f>SUM(L4:L8)</f>
        <v>32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</row>
    <row r="2" spans="1:24">
      <c r="A2" t="s">
        <v>4</v>
      </c>
      <c r="B2">
        <v>1</v>
      </c>
      <c r="C2" s="6" t="str">
        <f>UPPER('XL-Test'!H55)</f>
        <v>BAIK</v>
      </c>
      <c r="D2" s="6" t="str">
        <f>UPPER('XL-Test'!I55)</f>
        <v>TIDAK PERLU</v>
      </c>
      <c r="E2" s="6" t="str">
        <f>UPPER('XL-Test'!J55)</f>
        <v>LULUS</v>
      </c>
      <c r="F2" s="6" t="str">
        <f>UPPER('XL-Test'!K55)</f>
        <v>NILAI ISTIMEWA</v>
      </c>
      <c r="G2" s="6" t="str">
        <f>UPPER('XL-Test'!L55)</f>
        <v>SUDAH BAGUS</v>
      </c>
      <c r="H2" s="6" t="str">
        <f>UPPER('XL-Test'!M55)</f>
        <v>RAJIN</v>
      </c>
      <c r="I2" s="6" t="str">
        <f>UPPER('XL-Test'!N55)</f>
        <v>BEASISWA</v>
      </c>
      <c r="J2" s="6">
        <f>'XL-Test'!O55</f>
        <v>0</v>
      </c>
      <c r="N2">
        <v>1</v>
      </c>
      <c r="O2" t="str">
        <f ca="1">_xlfn.FORMULATEXT('XL-Test'!H55)</f>
        <v>=IF(AND(D55&gt;=50;E55&gt;=50;F55&gt;=50);"Baik";"Kurang Baik")</v>
      </c>
      <c r="P2" t="str">
        <f ca="1">_xlfn.FORMULATEXT('XL-Test'!I55)</f>
        <v>=IF(OR(D55&lt;70;E55&lt;70);"Tambahan";"Tidak Perlu")</v>
      </c>
      <c r="Q2" t="str">
        <f ca="1">_xlfn.FORMULATEXT('XL-Test'!J55)</f>
        <v>=IF(AND(D55&gt;=75;E55&gt;=75;F55&gt;=75);"Lulus";"Tidak Lulus")</v>
      </c>
      <c r="R2" t="str">
        <f ca="1">_xlfn.FORMULATEXT('XL-Test'!K55)</f>
        <v>=IF(NOT(AND(E55&lt;=80; F55&lt;=80)); "Nilai Istimewa"; "Nilai Asli")</v>
      </c>
      <c r="S2" t="str">
        <f ca="1">_xlfn.FORMULATEXT('XL-Test'!L55)</f>
        <v>=IF((E55&lt;75)+(F55&lt;70)&gt;=1;"Perbaikan";"Sudah Bagus")</v>
      </c>
      <c r="T2" t="str">
        <f ca="1">_xlfn.FORMULATEXT('XL-Test'!M55)</f>
        <v>=IF((F55&gt;=80)*(G55&gt;=80%)&gt;0;"Rajin";"Kurang")</v>
      </c>
      <c r="U2" t="str">
        <f ca="1">_xlfn.FORMULATEXT('XL-Test'!N55)</f>
        <v>=IF(AND(C55="Perempuan";E55&gt;75;F55&gt;78)+AND(C55="Laki-laki";E55&gt;68;F55&gt;70)&gt;0;"Beasiswa";"Umum")</v>
      </c>
    </row>
    <row r="3" spans="1:24">
      <c r="A3" t="s">
        <v>98</v>
      </c>
      <c r="B3">
        <v>2</v>
      </c>
      <c r="C3" s="6" t="str">
        <f>UPPER('XL-Test'!H56)</f>
        <v>KURANG BAIK</v>
      </c>
      <c r="D3" s="6" t="str">
        <f>UPPER('XL-Test'!I56)</f>
        <v>TAMBAHAN</v>
      </c>
      <c r="E3" s="6" t="str">
        <f>UPPER('XL-Test'!J56)</f>
        <v>TIDAK LULUS</v>
      </c>
      <c r="F3" s="6" t="str">
        <f>UPPER('XL-Test'!K56)</f>
        <v>NILAI ASLI</v>
      </c>
      <c r="G3" s="6" t="str">
        <f>UPPER('XL-Test'!L56)</f>
        <v>PERBAIKAN</v>
      </c>
      <c r="H3" s="6" t="str">
        <f>UPPER('XL-Test'!M56)</f>
        <v>KURANG</v>
      </c>
      <c r="I3" s="6" t="str">
        <f>UPPER('XL-Test'!N56)</f>
        <v>UMUM</v>
      </c>
      <c r="J3" s="6">
        <f>'XL-Test'!O56</f>
        <v>0</v>
      </c>
      <c r="N3">
        <v>2</v>
      </c>
      <c r="O3" t="str">
        <f ca="1">P2</f>
        <v>=IF(OR(D55&lt;70;E55&lt;70);"Tambahan";"Tidak Perlu")</v>
      </c>
    </row>
    <row r="4" spans="1:24">
      <c r="B4">
        <v>3</v>
      </c>
      <c r="C4" s="6" t="str">
        <f>UPPER('XL-Test'!H57)</f>
        <v>BAIK</v>
      </c>
      <c r="D4" s="6" t="str">
        <f>UPPER('XL-Test'!I57)</f>
        <v>TAMBAHAN</v>
      </c>
      <c r="E4" s="6" t="str">
        <f>UPPER('XL-Test'!J57)</f>
        <v>TIDAK LULUS</v>
      </c>
      <c r="F4" s="6" t="str">
        <f>UPPER('XL-Test'!K57)</f>
        <v>NILAI ASLI</v>
      </c>
      <c r="G4" s="6" t="str">
        <f>UPPER('XL-Test'!L57)</f>
        <v>PERBAIKAN</v>
      </c>
      <c r="H4" s="6" t="str">
        <f>UPPER('XL-Test'!M57)</f>
        <v>KURANG</v>
      </c>
      <c r="I4" s="6" t="str">
        <f>UPPER('XL-Test'!N57)</f>
        <v>UMUM</v>
      </c>
      <c r="J4" s="6">
        <f>'XL-Test'!O57</f>
        <v>0</v>
      </c>
      <c r="L4">
        <v>1</v>
      </c>
      <c r="N4">
        <v>3</v>
      </c>
      <c r="O4" t="str">
        <f ca="1">Q2</f>
        <v>=IF(AND(D55&gt;=75;E55&gt;=75;F55&gt;=75);"Lulus";"Tidak Lulus")</v>
      </c>
    </row>
    <row r="5" spans="1:24">
      <c r="B5">
        <v>4</v>
      </c>
      <c r="C5" s="6" t="str">
        <f>UPPER('XL-Test'!H58)</f>
        <v>BAIK</v>
      </c>
      <c r="D5" s="6" t="str">
        <f>UPPER('XL-Test'!I58)</f>
        <v>TIDAK PERLU</v>
      </c>
      <c r="E5" s="6" t="str">
        <f>UPPER('XL-Test'!J58)</f>
        <v>LULUS</v>
      </c>
      <c r="F5" s="6" t="str">
        <f>UPPER('XL-Test'!K58)</f>
        <v>NILAI ISTIMEWA</v>
      </c>
      <c r="G5" s="6" t="str">
        <f>UPPER('XL-Test'!L58)</f>
        <v>SUDAH BAGUS</v>
      </c>
      <c r="H5" s="6" t="str">
        <f>UPPER('XL-Test'!M58)</f>
        <v>RAJIN</v>
      </c>
      <c r="I5" s="6" t="str">
        <f>UPPER('XL-Test'!N58)</f>
        <v>BEASISWA</v>
      </c>
      <c r="J5" s="6">
        <f>'XL-Test'!O58</f>
        <v>0</v>
      </c>
      <c r="L5">
        <v>2</v>
      </c>
      <c r="N5">
        <v>4</v>
      </c>
      <c r="O5" t="str">
        <f ca="1">R2</f>
        <v>=IF(NOT(AND(E55&lt;=80; F55&lt;=80)); "Nilai Istimewa"; "Nilai Asli")</v>
      </c>
    </row>
    <row r="6" spans="1:24">
      <c r="B6">
        <v>5</v>
      </c>
      <c r="C6" s="6" t="str">
        <f>UPPER('XL-Test'!H59)</f>
        <v>BAIK</v>
      </c>
      <c r="D6" s="6" t="str">
        <f>UPPER('XL-Test'!I59)</f>
        <v>TIDAK PERLU</v>
      </c>
      <c r="E6" s="6" t="str">
        <f>UPPER('XL-Test'!J59)</f>
        <v>TIDAK LULUS</v>
      </c>
      <c r="F6" s="6" t="str">
        <f>UPPER('XL-Test'!K59)</f>
        <v>NILAI ASLI</v>
      </c>
      <c r="G6" s="6" t="str">
        <f>UPPER('XL-Test'!L59)</f>
        <v>PERBAIKAN</v>
      </c>
      <c r="H6" s="6" t="str">
        <f>UPPER('XL-Test'!M59)</f>
        <v>KURANG</v>
      </c>
      <c r="I6" s="6" t="str">
        <f>UPPER('XL-Test'!N59)</f>
        <v>BEASISWA</v>
      </c>
      <c r="J6" s="6">
        <f>'XL-Test'!O59</f>
        <v>0</v>
      </c>
      <c r="L6">
        <v>3</v>
      </c>
      <c r="N6">
        <v>5</v>
      </c>
      <c r="O6" t="str">
        <f ca="1">S2</f>
        <v>=IF((E55&lt;75)+(F55&lt;70)&gt;=1;"Perbaikan";"Sudah Bagus")</v>
      </c>
    </row>
    <row r="7" spans="1:24">
      <c r="B7">
        <v>6</v>
      </c>
      <c r="C7" s="6" t="str">
        <f>UPPER('XL-Test'!H60)</f>
        <v>KURANG BAIK</v>
      </c>
      <c r="D7" s="6" t="str">
        <f>UPPER('XL-Test'!I60)</f>
        <v>TAMBAHAN</v>
      </c>
      <c r="E7" s="6" t="str">
        <f>UPPER('XL-Test'!J60)</f>
        <v>TIDAK LULUS</v>
      </c>
      <c r="F7" s="6" t="str">
        <f>UPPER('XL-Test'!K60)</f>
        <v>NILAI ASLI</v>
      </c>
      <c r="G7" s="6" t="str">
        <f>UPPER('XL-Test'!L60)</f>
        <v>PERBAIKAN</v>
      </c>
      <c r="H7" s="6" t="str">
        <f>UPPER('XL-Test'!M60)</f>
        <v>KURANG</v>
      </c>
      <c r="I7" s="6" t="str">
        <f>UPPER('XL-Test'!N60)</f>
        <v>UMUM</v>
      </c>
      <c r="J7" s="6">
        <f>'XL-Test'!O60</f>
        <v>0</v>
      </c>
      <c r="L7">
        <v>29</v>
      </c>
      <c r="N7">
        <v>6</v>
      </c>
      <c r="O7" t="str">
        <f ca="1">T2</f>
        <v>=IF((F55&gt;=80)*(G55&gt;=80%)&gt;0;"Rajin";"Kurang")</v>
      </c>
    </row>
    <row r="8" spans="1:24">
      <c r="B8">
        <v>7</v>
      </c>
      <c r="C8" s="6" t="str">
        <f>UPPER('XL-Test'!H61)</f>
        <v>BAIK</v>
      </c>
      <c r="D8" s="6" t="str">
        <f>UPPER('XL-Test'!I61)</f>
        <v>TIDAK PERLU</v>
      </c>
      <c r="E8" s="6" t="str">
        <f>UPPER('XL-Test'!J61)</f>
        <v>LULUS</v>
      </c>
      <c r="F8" s="6" t="str">
        <f>UPPER('XL-Test'!K61)</f>
        <v>NILAI ASLI</v>
      </c>
      <c r="G8" s="6" t="str">
        <f>UPPER('XL-Test'!L61)</f>
        <v>SUDAH BAGUS</v>
      </c>
      <c r="H8" s="6" t="str">
        <f>UPPER('XL-Test'!M61)</f>
        <v>KURANG</v>
      </c>
      <c r="I8" s="6" t="str">
        <f>UPPER('XL-Test'!N61)</f>
        <v>BEASISWA</v>
      </c>
      <c r="J8" s="6">
        <f>'XL-Test'!O61</f>
        <v>0</v>
      </c>
      <c r="L8">
        <v>-3</v>
      </c>
      <c r="N8">
        <v>7</v>
      </c>
      <c r="O8" t="str">
        <f ca="1">U2</f>
        <v>=IF(AND(C55="Perempuan";E55&gt;75;F55&gt;78)+AND(C55="Laki-laki";E55&gt;68;F55&gt;70)&gt;0;"Beasiswa";"Umum")</v>
      </c>
    </row>
    <row r="9" spans="1:24">
      <c r="B9">
        <v>8</v>
      </c>
      <c r="C9" s="6" t="str">
        <f>UPPER('XL-Test'!H62)</f>
        <v>KURANG BAIK</v>
      </c>
      <c r="D9" s="6" t="str">
        <f>UPPER('XL-Test'!I62)</f>
        <v>TAMBAHAN</v>
      </c>
      <c r="E9" s="6" t="str">
        <f>UPPER('XL-Test'!J62)</f>
        <v>TIDAK LULUS</v>
      </c>
      <c r="F9" s="6" t="str">
        <f>UPPER('XL-Test'!K62)</f>
        <v>NILAI ISTIMEWA</v>
      </c>
      <c r="G9" s="6" t="str">
        <f>UPPER('XL-Test'!L62)</f>
        <v>PERBAIKAN</v>
      </c>
      <c r="H9" s="6" t="str">
        <f>UPPER('XL-Test'!M62)</f>
        <v>RAJIN</v>
      </c>
      <c r="I9" s="6" t="str">
        <f>UPPER('XL-Test'!N62)</f>
        <v>BEASISWA</v>
      </c>
      <c r="J9" s="6">
        <f>'XL-Test'!O62</f>
        <v>0</v>
      </c>
    </row>
    <row r="10" spans="1:24">
      <c r="B10">
        <v>9</v>
      </c>
      <c r="C10" s="6" t="str">
        <f>UPPER('XL-Test'!H63)</f>
        <v>BAIK</v>
      </c>
      <c r="D10" s="6" t="str">
        <f>UPPER('XL-Test'!I63)</f>
        <v>TIDAK PERLU</v>
      </c>
      <c r="E10" s="6" t="str">
        <f>UPPER('XL-Test'!J63)</f>
        <v>LULUS</v>
      </c>
      <c r="F10" s="6" t="str">
        <f>UPPER('XL-Test'!K63)</f>
        <v>NILAI ISTIMEWA</v>
      </c>
      <c r="G10" s="6" t="str">
        <f>UPPER('XL-Test'!L63)</f>
        <v>SUDAH BAGUS</v>
      </c>
      <c r="H10" s="6" t="str">
        <f>UPPER('XL-Test'!M63)</f>
        <v>RAJIN</v>
      </c>
      <c r="I10" s="6" t="str">
        <f>UPPER('XL-Test'!N63)</f>
        <v>BEASISWA</v>
      </c>
      <c r="J10" s="6">
        <f>'XL-Test'!O63</f>
        <v>0</v>
      </c>
    </row>
    <row r="11" spans="1:24">
      <c r="B11">
        <v>10</v>
      </c>
      <c r="C11" s="6" t="str">
        <f>UPPER('XL-Test'!H64)</f>
        <v>BAIK</v>
      </c>
      <c r="D11" s="6" t="str">
        <f>UPPER('XL-Test'!I64)</f>
        <v>TAMBAHAN</v>
      </c>
      <c r="E11" s="6" t="str">
        <f>UPPER('XL-Test'!J64)</f>
        <v>TIDAK LULUS</v>
      </c>
      <c r="F11" s="6" t="str">
        <f>UPPER('XL-Test'!K64)</f>
        <v>NILAI ISTIMEWA</v>
      </c>
      <c r="G11" s="6" t="str">
        <f>UPPER('XL-Test'!L64)</f>
        <v>PERBAIKAN</v>
      </c>
      <c r="H11" s="6" t="str">
        <f>UPPER('XL-Test'!M64)</f>
        <v>RAJIN</v>
      </c>
      <c r="I11" s="6" t="str">
        <f>UPPER('XL-Test'!N64)</f>
        <v>UMUM</v>
      </c>
      <c r="J11" s="6">
        <f>'XL-Test'!O64</f>
        <v>0</v>
      </c>
    </row>
    <row r="12" spans="1:24">
      <c r="B12">
        <v>11</v>
      </c>
      <c r="C12" s="6" t="str">
        <f>UPPER('XL-Test'!H65)</f>
        <v>BAIK</v>
      </c>
      <c r="D12" s="6" t="str">
        <f>UPPER('XL-Test'!I65)</f>
        <v>TAMBAHAN</v>
      </c>
      <c r="E12" s="6" t="str">
        <f>UPPER('XL-Test'!J65)</f>
        <v>TIDAK LULUS</v>
      </c>
      <c r="F12" s="6" t="str">
        <f>UPPER('XL-Test'!K65)</f>
        <v>NILAI ISTIMEWA</v>
      </c>
      <c r="G12" s="6" t="str">
        <f>UPPER('XL-Test'!L65)</f>
        <v>SUDAH BAGUS</v>
      </c>
      <c r="H12" s="6" t="str">
        <f>UPPER('XL-Test'!M65)</f>
        <v>KURANG</v>
      </c>
      <c r="I12" s="6" t="str">
        <f>UPPER('XL-Test'!N65)</f>
        <v>BEASISWA</v>
      </c>
      <c r="J12" s="6">
        <f>'XL-Test'!O65</f>
        <v>0</v>
      </c>
      <c r="N12" t="s">
        <v>90</v>
      </c>
      <c r="O12">
        <f ca="1">IFERROR((LEN(O2)-LEN(SUBSTITUTE(O2,"IF(","")))/3,0)</f>
        <v>1</v>
      </c>
      <c r="P12">
        <f t="shared" ref="P12:U12" ca="1" si="0">IFERROR((LEN(P2)-LEN(SUBSTITUTE(P2,"IF(","")))/3,0)</f>
        <v>1</v>
      </c>
      <c r="Q12">
        <f t="shared" ca="1" si="0"/>
        <v>1</v>
      </c>
      <c r="R12">
        <f t="shared" ca="1" si="0"/>
        <v>1</v>
      </c>
      <c r="S12">
        <f t="shared" ca="1" si="0"/>
        <v>1</v>
      </c>
      <c r="T12">
        <f t="shared" ca="1" si="0"/>
        <v>1</v>
      </c>
      <c r="U12">
        <f t="shared" ca="1" si="0"/>
        <v>1</v>
      </c>
      <c r="X12">
        <f ca="1">SUM(O12:V12)</f>
        <v>7</v>
      </c>
    </row>
    <row r="13" spans="1:24">
      <c r="B13">
        <v>12</v>
      </c>
      <c r="C13" s="6" t="str">
        <f>UPPER('XL-Test'!H66)</f>
        <v>KURANG BAIK</v>
      </c>
      <c r="D13" s="6" t="str">
        <f>UPPER('XL-Test'!I66)</f>
        <v>TAMBAHAN</v>
      </c>
      <c r="E13" s="6" t="str">
        <f>UPPER('XL-Test'!J66)</f>
        <v>TIDAK LULUS</v>
      </c>
      <c r="F13" s="6" t="str">
        <f>UPPER('XL-Test'!K66)</f>
        <v>NILAI ASLI</v>
      </c>
      <c r="G13" s="6" t="str">
        <f>UPPER('XL-Test'!L66)</f>
        <v>PERBAIKAN</v>
      </c>
      <c r="H13" s="6" t="str">
        <f>UPPER('XL-Test'!M66)</f>
        <v>KURANG</v>
      </c>
      <c r="I13" s="6" t="str">
        <f>UPPER('XL-Test'!N66)</f>
        <v>UMUM</v>
      </c>
      <c r="J13" s="6">
        <f>'XL-Test'!O66</f>
        <v>0</v>
      </c>
      <c r="N13" t="s">
        <v>71</v>
      </c>
      <c r="O13">
        <f ca="1">IFERROR((LEN(O2)-LEN(SUBSTITUTE(O2,"AND(","")))/4,0)</f>
        <v>1</v>
      </c>
      <c r="P13">
        <f t="shared" ref="P13:U13" ca="1" si="1">IFERROR((LEN(P2)-LEN(SUBSTITUTE(P2,"AND(","")))/4,0)</f>
        <v>0</v>
      </c>
      <c r="Q13">
        <f t="shared" ca="1" si="1"/>
        <v>1</v>
      </c>
      <c r="R13">
        <f t="shared" ca="1" si="1"/>
        <v>1</v>
      </c>
      <c r="S13">
        <f t="shared" ca="1" si="1"/>
        <v>0</v>
      </c>
      <c r="T13">
        <f t="shared" ca="1" si="1"/>
        <v>0</v>
      </c>
      <c r="U13">
        <f t="shared" ca="1" si="1"/>
        <v>2</v>
      </c>
      <c r="X13">
        <f ca="1">SUM(O13:V13)</f>
        <v>5</v>
      </c>
    </row>
    <row r="14" spans="1:24">
      <c r="B14">
        <v>13</v>
      </c>
      <c r="C14" s="6" t="str">
        <f>UPPER('XL-Test'!H67)</f>
        <v>BAIK</v>
      </c>
      <c r="D14" s="6" t="str">
        <f>UPPER('XL-Test'!I67)</f>
        <v>TIDAK PERLU</v>
      </c>
      <c r="E14" s="6" t="str">
        <f>UPPER('XL-Test'!J67)</f>
        <v>TIDAK LULUS</v>
      </c>
      <c r="F14" s="6" t="str">
        <f>UPPER('XL-Test'!K67)</f>
        <v>NILAI ASLI</v>
      </c>
      <c r="G14" s="6" t="str">
        <f>UPPER('XL-Test'!L67)</f>
        <v>SUDAH BAGUS</v>
      </c>
      <c r="H14" s="6" t="str">
        <f>UPPER('XL-Test'!M67)</f>
        <v>RAJIN</v>
      </c>
      <c r="I14" s="6" t="str">
        <f>UPPER('XL-Test'!N67)</f>
        <v>BEASISWA</v>
      </c>
      <c r="J14" s="6">
        <f>'XL-Test'!O67</f>
        <v>0</v>
      </c>
      <c r="N14" t="s">
        <v>72</v>
      </c>
      <c r="O14">
        <f ca="1">IFERROR((LEN(O2)-LEN(SUBSTITUTE(O2,"OR(","")))/3,0)</f>
        <v>0</v>
      </c>
      <c r="P14">
        <f t="shared" ref="P14:U14" ca="1" si="2">IFERROR((LEN(P2)-LEN(SUBSTITUTE(P2,"OR(","")))/3,0)</f>
        <v>1</v>
      </c>
      <c r="Q14">
        <f t="shared" ca="1" si="2"/>
        <v>0</v>
      </c>
      <c r="R14">
        <f t="shared" ca="1" si="2"/>
        <v>0</v>
      </c>
      <c r="S14">
        <f t="shared" ca="1" si="2"/>
        <v>0</v>
      </c>
      <c r="T14">
        <f t="shared" ca="1" si="2"/>
        <v>0</v>
      </c>
      <c r="U14">
        <f t="shared" ca="1" si="2"/>
        <v>0</v>
      </c>
      <c r="X14">
        <f ca="1">SUM(O14:V14)</f>
        <v>1</v>
      </c>
    </row>
    <row r="15" spans="1:24">
      <c r="B15">
        <v>14</v>
      </c>
      <c r="C15" s="6" t="str">
        <f>UPPER('XL-Test'!H68)</f>
        <v>BAIK</v>
      </c>
      <c r="D15" s="6" t="str">
        <f>UPPER('XL-Test'!I68)</f>
        <v>TIDAK PERLU</v>
      </c>
      <c r="E15" s="6" t="str">
        <f>UPPER('XL-Test'!J68)</f>
        <v>LULUS</v>
      </c>
      <c r="F15" s="6" t="str">
        <f>UPPER('XL-Test'!K68)</f>
        <v>NILAI ISTIMEWA</v>
      </c>
      <c r="G15" s="6" t="str">
        <f>UPPER('XL-Test'!L68)</f>
        <v>SUDAH BAGUS</v>
      </c>
      <c r="H15" s="6" t="str">
        <f>UPPER('XL-Test'!M68)</f>
        <v>KURANG</v>
      </c>
      <c r="I15" s="6" t="str">
        <f>UPPER('XL-Test'!N68)</f>
        <v>BEASISWA</v>
      </c>
      <c r="J15" s="6">
        <f>'XL-Test'!O68</f>
        <v>0</v>
      </c>
      <c r="N15" t="s">
        <v>73</v>
      </c>
      <c r="O15">
        <f ca="1">IFERROR((LEN(O2)-LEN(SUBSTITUTE(O2,"NOT(","")))/4,0)</f>
        <v>0</v>
      </c>
      <c r="P15">
        <f t="shared" ref="P15:U15" ca="1" si="3">IFERROR((LEN(P2)-LEN(SUBSTITUTE(P2,"NOT(","")))/4,0)</f>
        <v>0</v>
      </c>
      <c r="Q15">
        <f t="shared" ca="1" si="3"/>
        <v>0</v>
      </c>
      <c r="R15">
        <f t="shared" ca="1" si="3"/>
        <v>1</v>
      </c>
      <c r="S15">
        <f t="shared" ca="1" si="3"/>
        <v>0</v>
      </c>
      <c r="T15">
        <f t="shared" ca="1" si="3"/>
        <v>0</v>
      </c>
      <c r="U15">
        <f t="shared" ca="1" si="3"/>
        <v>0</v>
      </c>
      <c r="X15">
        <f ca="1">SUM(O15:V15)</f>
        <v>1</v>
      </c>
    </row>
    <row r="16" spans="1:24">
      <c r="C16" s="6"/>
      <c r="D16" s="6"/>
      <c r="E16" s="6"/>
      <c r="F16" s="6"/>
      <c r="G16" s="6"/>
      <c r="H16" s="6"/>
      <c r="I16" s="6"/>
      <c r="J16" s="6"/>
    </row>
    <row r="17" spans="2:24">
      <c r="C17" s="6">
        <f>(SUM(C58:C71)+C60+C63+C66+C68+C70+C58)</f>
        <v>5725</v>
      </c>
      <c r="D17" s="6">
        <f t="shared" ref="D17:I17" si="4">(SUM(D58:D71)+D60+D63+D66+D68+D70+D58)</f>
        <v>6100</v>
      </c>
      <c r="E17" s="6">
        <f t="shared" si="4"/>
        <v>6528</v>
      </c>
      <c r="F17" s="6">
        <f t="shared" si="4"/>
        <v>6030</v>
      </c>
      <c r="G17" s="6">
        <f t="shared" si="4"/>
        <v>6324</v>
      </c>
      <c r="H17" s="6">
        <f t="shared" si="4"/>
        <v>6081</v>
      </c>
      <c r="I17" s="6">
        <f t="shared" si="4"/>
        <v>5999</v>
      </c>
      <c r="J17" s="6"/>
    </row>
    <row r="18" spans="2:24">
      <c r="C18" t="str">
        <f>DEC2HEX(C17)</f>
        <v>165D</v>
      </c>
      <c r="D18" t="str">
        <f t="shared" ref="D18:I18" si="5">DEC2HEX(D17)</f>
        <v>17D4</v>
      </c>
      <c r="E18" t="str">
        <f t="shared" si="5"/>
        <v>1980</v>
      </c>
      <c r="F18" t="str">
        <f t="shared" si="5"/>
        <v>178E</v>
      </c>
      <c r="G18" t="str">
        <f t="shared" si="5"/>
        <v>18B4</v>
      </c>
      <c r="H18" t="str">
        <f t="shared" si="5"/>
        <v>17C1</v>
      </c>
      <c r="I18" t="str">
        <f t="shared" si="5"/>
        <v>176F</v>
      </c>
    </row>
    <row r="19" spans="2:24">
      <c r="B19" t="s">
        <v>5</v>
      </c>
      <c r="C19">
        <v>5054</v>
      </c>
      <c r="D19">
        <v>1542</v>
      </c>
      <c r="E19">
        <v>8966</v>
      </c>
      <c r="F19">
        <v>1610</v>
      </c>
      <c r="G19">
        <v>6984</v>
      </c>
      <c r="H19">
        <v>2809</v>
      </c>
      <c r="I19">
        <v>3651</v>
      </c>
      <c r="O19">
        <v>125</v>
      </c>
      <c r="P19" t="s">
        <v>8</v>
      </c>
    </row>
    <row r="20" spans="2:24">
      <c r="C20" t="str">
        <f ca="1">IFERROR(DEC2HEX(IF(AND(NOT(OR(C2=0,C2="")),C74),C17,C19)),"EEE")</f>
        <v>165D</v>
      </c>
      <c r="D20" t="str">
        <f t="shared" ref="D20:I20" ca="1" si="6">IFERROR(DEC2HEX(IF(AND(NOT(OR(D2=0,D2="")),D74),D17,D19)),"EEE")</f>
        <v>17D4</v>
      </c>
      <c r="E20" t="str">
        <f t="shared" ca="1" si="6"/>
        <v>1980</v>
      </c>
      <c r="F20" t="str">
        <f t="shared" ca="1" si="6"/>
        <v>178E</v>
      </c>
      <c r="G20" t="str">
        <f t="shared" ca="1" si="6"/>
        <v>18B4</v>
      </c>
      <c r="H20" t="str">
        <f t="shared" ca="1" si="6"/>
        <v>17C1</v>
      </c>
      <c r="I20" t="str">
        <f t="shared" ca="1" si="6"/>
        <v>176F</v>
      </c>
      <c r="O20">
        <v>146</v>
      </c>
      <c r="P20" t="s">
        <v>9</v>
      </c>
    </row>
    <row r="21" spans="2:24">
      <c r="O21">
        <v>169</v>
      </c>
      <c r="P21" t="s">
        <v>0</v>
      </c>
    </row>
    <row r="22" spans="2:24">
      <c r="B22" t="b">
        <v>1</v>
      </c>
      <c r="C22" t="str">
        <f>DEC2HEX(RIGHT(C19,2)+COLUMN())</f>
        <v>39</v>
      </c>
      <c r="D22" t="str">
        <f t="shared" ref="D22:I22" si="7">DEC2HEX(RIGHT(D19,2)+COLUMN())</f>
        <v>2E</v>
      </c>
      <c r="E22" t="str">
        <f t="shared" si="7"/>
        <v>47</v>
      </c>
      <c r="F22" t="str">
        <f t="shared" si="7"/>
        <v>10</v>
      </c>
      <c r="G22" t="str">
        <f t="shared" si="7"/>
        <v>5B</v>
      </c>
      <c r="H22" t="str">
        <f t="shared" si="7"/>
        <v>11</v>
      </c>
      <c r="I22" t="str">
        <f t="shared" si="7"/>
        <v>3C</v>
      </c>
      <c r="O22">
        <v>148</v>
      </c>
      <c r="P22" t="s">
        <v>10</v>
      </c>
    </row>
    <row r="23" spans="2:24">
      <c r="B23" t="b">
        <v>0</v>
      </c>
      <c r="C23" t="str">
        <f>DEC2HEX(LEFT(C19,2)+COLUMN())</f>
        <v>35</v>
      </c>
      <c r="D23" t="str">
        <f t="shared" ref="D23:I23" si="8">DEC2HEX(LEFT(D19,2)+COLUMN())</f>
        <v>13</v>
      </c>
      <c r="E23" t="str">
        <f t="shared" si="8"/>
        <v>5E</v>
      </c>
      <c r="F23" t="str">
        <f t="shared" si="8"/>
        <v>16</v>
      </c>
      <c r="G23" t="str">
        <f t="shared" si="8"/>
        <v>4C</v>
      </c>
      <c r="H23" t="str">
        <f t="shared" si="8"/>
        <v>24</v>
      </c>
      <c r="I23" t="str">
        <f t="shared" si="8"/>
        <v>2D</v>
      </c>
    </row>
    <row r="24" spans="2:24">
      <c r="N24" t="s">
        <v>90</v>
      </c>
      <c r="O24">
        <f ca="1">SUM($O12:O12)</f>
        <v>1</v>
      </c>
      <c r="P24">
        <f ca="1">SUM($O12:P12)</f>
        <v>2</v>
      </c>
      <c r="Q24">
        <f ca="1">SUM($O12:Q12)</f>
        <v>3</v>
      </c>
      <c r="R24">
        <f ca="1">SUM($O12:R12)</f>
        <v>4</v>
      </c>
      <c r="S24">
        <f ca="1">SUM($O12:S12)</f>
        <v>5</v>
      </c>
      <c r="T24">
        <f ca="1">SUM($O12:T12)</f>
        <v>6</v>
      </c>
      <c r="U24">
        <f ca="1">SUM($O12:U12)</f>
        <v>7</v>
      </c>
      <c r="X24">
        <v>7</v>
      </c>
    </row>
    <row r="25" spans="2:24">
      <c r="B25" t="s">
        <v>6</v>
      </c>
      <c r="C25" t="b">
        <f t="shared" ref="C25:I25" ca="1" si="9">AND(ISNUMBER(FIND("=",O2)),ISNUMBER(FIND("IF(",O2)))</f>
        <v>1</v>
      </c>
      <c r="D25" t="b">
        <f t="shared" ca="1" si="9"/>
        <v>1</v>
      </c>
      <c r="E25" t="b">
        <f t="shared" ca="1" si="9"/>
        <v>1</v>
      </c>
      <c r="F25" t="b">
        <f t="shared" ca="1" si="9"/>
        <v>1</v>
      </c>
      <c r="G25" t="b">
        <f t="shared" ca="1" si="9"/>
        <v>1</v>
      </c>
      <c r="H25" t="b">
        <f t="shared" ca="1" si="9"/>
        <v>1</v>
      </c>
      <c r="I25" t="b">
        <f t="shared" ca="1" si="9"/>
        <v>1</v>
      </c>
      <c r="N25" t="s">
        <v>71</v>
      </c>
      <c r="O25">
        <f ca="1">SUM($O13:O13)</f>
        <v>1</v>
      </c>
      <c r="P25">
        <f ca="1">SUM($O13:P13)</f>
        <v>1</v>
      </c>
      <c r="Q25">
        <f ca="1">SUM($O13:Q13)</f>
        <v>2</v>
      </c>
      <c r="R25">
        <f ca="1">SUM($O13:R13)</f>
        <v>3</v>
      </c>
      <c r="S25">
        <f ca="1">SUM($O13:S13)</f>
        <v>3</v>
      </c>
      <c r="T25">
        <f ca="1">SUM($O13:T13)</f>
        <v>3</v>
      </c>
      <c r="U25">
        <f ca="1">SUM($O13:U13)</f>
        <v>5</v>
      </c>
      <c r="X25">
        <v>5</v>
      </c>
    </row>
    <row r="26" spans="2:24">
      <c r="B26" t="s">
        <v>7</v>
      </c>
      <c r="C26" t="b">
        <f ca="1">ISNUMBER(FIND("IF(",SUBSTITUTE(O2,"$","")))</f>
        <v>1</v>
      </c>
      <c r="D26" t="b">
        <f t="shared" ref="D26:I26" ca="1" si="10">ISNUMBER(FIND("IF(",SUBSTITUTE(P2,"$","")))</f>
        <v>1</v>
      </c>
      <c r="E26" t="b">
        <f t="shared" ca="1" si="10"/>
        <v>1</v>
      </c>
      <c r="F26" t="b">
        <f t="shared" ca="1" si="10"/>
        <v>1</v>
      </c>
      <c r="G26" t="b">
        <f t="shared" ca="1" si="10"/>
        <v>1</v>
      </c>
      <c r="H26" t="b">
        <f t="shared" ca="1" si="10"/>
        <v>1</v>
      </c>
      <c r="I26" t="b">
        <f t="shared" ca="1" si="10"/>
        <v>1</v>
      </c>
      <c r="N26" t="s">
        <v>72</v>
      </c>
      <c r="O26">
        <f ca="1">SUM($O14:O14)</f>
        <v>0</v>
      </c>
      <c r="P26">
        <f ca="1">SUM($O14:P14)</f>
        <v>1</v>
      </c>
      <c r="Q26">
        <f ca="1">SUM($O14:Q14)</f>
        <v>1</v>
      </c>
      <c r="R26">
        <f ca="1">SUM($O14:R14)</f>
        <v>1</v>
      </c>
      <c r="S26">
        <f ca="1">SUM($O14:S14)</f>
        <v>1</v>
      </c>
      <c r="T26">
        <f ca="1">SUM($O14:T14)</f>
        <v>1</v>
      </c>
      <c r="U26">
        <f ca="1">SUM($O14:U14)</f>
        <v>1</v>
      </c>
      <c r="X26">
        <v>1</v>
      </c>
    </row>
    <row r="27" spans="2:24">
      <c r="N27" t="s">
        <v>73</v>
      </c>
      <c r="O27">
        <f ca="1">SUM($O15:O15)</f>
        <v>0</v>
      </c>
      <c r="P27">
        <f ca="1">SUM($O15:P15)</f>
        <v>0</v>
      </c>
      <c r="Q27">
        <f ca="1">SUM($O15:Q15)</f>
        <v>0</v>
      </c>
      <c r="R27">
        <f ca="1">SUM($O15:R15)</f>
        <v>1</v>
      </c>
      <c r="S27">
        <f ca="1">SUM($O15:S15)</f>
        <v>1</v>
      </c>
      <c r="T27">
        <f ca="1">SUM($O15:T15)</f>
        <v>1</v>
      </c>
      <c r="U27">
        <f ca="1">SUM($O15:U15)</f>
        <v>1</v>
      </c>
      <c r="X27">
        <v>1</v>
      </c>
    </row>
    <row r="28" spans="2:24">
      <c r="C28" t="str">
        <f ca="1">IF(C26,C22,C23)&amp;"-"&amp;C20&amp;";"</f>
        <v>39-165D;</v>
      </c>
      <c r="D28" t="str">
        <f t="shared" ref="D28:H28" ca="1" si="11">IF(D26,D22,D23)&amp;"-"&amp;D20&amp;";"</f>
        <v>2E-17D4;</v>
      </c>
      <c r="E28" t="str">
        <f t="shared" ca="1" si="11"/>
        <v>47-1980;</v>
      </c>
      <c r="F28" t="str">
        <f t="shared" ca="1" si="11"/>
        <v>10-178E;</v>
      </c>
      <c r="G28" t="str">
        <f t="shared" ca="1" si="11"/>
        <v>5B-18B4;</v>
      </c>
      <c r="H28" t="str">
        <f t="shared" ca="1" si="11"/>
        <v>11-17C1;</v>
      </c>
      <c r="I28" t="str">
        <f ca="1">IF(I26,I22,I23)&amp;"-"&amp;I20</f>
        <v>3C-176F</v>
      </c>
      <c r="O28" t="b">
        <f ca="1">O24&lt;=$X24</f>
        <v>1</v>
      </c>
      <c r="P28" t="b">
        <f t="shared" ref="P28:U28" ca="1" si="12">P24&lt;=$X24</f>
        <v>1</v>
      </c>
      <c r="Q28" t="b">
        <f t="shared" ca="1" si="12"/>
        <v>1</v>
      </c>
      <c r="R28" t="b">
        <f t="shared" ca="1" si="12"/>
        <v>1</v>
      </c>
      <c r="S28" t="b">
        <f t="shared" ca="1" si="12"/>
        <v>1</v>
      </c>
      <c r="T28" t="b">
        <f t="shared" ca="1" si="12"/>
        <v>1</v>
      </c>
      <c r="U28" t="b">
        <f t="shared" ca="1" si="12"/>
        <v>1</v>
      </c>
    </row>
    <row r="29" spans="2:24">
      <c r="O29" t="b">
        <f t="shared" ref="O29:U29" ca="1" si="13">O25&lt;=$X25</f>
        <v>1</v>
      </c>
      <c r="P29" t="b">
        <f t="shared" ca="1" si="13"/>
        <v>1</v>
      </c>
      <c r="Q29" t="b">
        <f t="shared" ca="1" si="13"/>
        <v>1</v>
      </c>
      <c r="R29" t="b">
        <f t="shared" ca="1" si="13"/>
        <v>1</v>
      </c>
      <c r="S29" t="b">
        <f t="shared" ca="1" si="13"/>
        <v>1</v>
      </c>
      <c r="T29" t="b">
        <f t="shared" ca="1" si="13"/>
        <v>1</v>
      </c>
      <c r="U29" t="b">
        <f t="shared" ca="1" si="13"/>
        <v>1</v>
      </c>
    </row>
    <row r="30" spans="2:24">
      <c r="C30" t="str">
        <f ca="1">A3&amp;"|"&amp;C28&amp;D28&amp;E28&amp;F28&amp;G28&amp;H28&amp;I28&amp;J28</f>
        <v>MO1|39-165D;2E-17D4;47-1980;10-178E;5B-18B4;11-17C1;3C-176F</v>
      </c>
      <c r="O30" t="b">
        <f t="shared" ref="O30:U30" ca="1" si="14">O26&lt;=$X26</f>
        <v>1</v>
      </c>
      <c r="P30" t="b">
        <f t="shared" ca="1" si="14"/>
        <v>1</v>
      </c>
      <c r="Q30" t="b">
        <f t="shared" ca="1" si="14"/>
        <v>1</v>
      </c>
      <c r="R30" t="b">
        <f t="shared" ca="1" si="14"/>
        <v>1</v>
      </c>
      <c r="S30" t="b">
        <f t="shared" ca="1" si="14"/>
        <v>1</v>
      </c>
      <c r="T30" t="b">
        <f t="shared" ca="1" si="14"/>
        <v>1</v>
      </c>
      <c r="U30" t="b">
        <f t="shared" ca="1" si="14"/>
        <v>1</v>
      </c>
    </row>
    <row r="31" spans="2:24">
      <c r="O31" t="b">
        <f t="shared" ref="O31:U31" ca="1" si="15">O27&lt;=$X27</f>
        <v>1</v>
      </c>
      <c r="P31" t="b">
        <f t="shared" ca="1" si="15"/>
        <v>1</v>
      </c>
      <c r="Q31" t="b">
        <f t="shared" ca="1" si="15"/>
        <v>1</v>
      </c>
      <c r="R31" t="b">
        <f t="shared" ca="1" si="15"/>
        <v>1</v>
      </c>
      <c r="S31" t="b">
        <f t="shared" ca="1" si="15"/>
        <v>1</v>
      </c>
      <c r="T31" t="b">
        <f t="shared" ca="1" si="15"/>
        <v>1</v>
      </c>
      <c r="U31" t="b">
        <f t="shared" ca="1" si="15"/>
        <v>1</v>
      </c>
    </row>
    <row r="32" spans="2:24">
      <c r="C32" t="str">
        <f ca="1">C30</f>
        <v>MO1|39-165D;2E-17D4;47-1980;10-178E;5B-18B4;11-17C1;3C-176F</v>
      </c>
    </row>
    <row r="33" spans="2:21">
      <c r="O33" t="b">
        <f ca="1">AND(O28:O31,O38)</f>
        <v>1</v>
      </c>
      <c r="P33" t="b">
        <f t="shared" ref="P33:U33" ca="1" si="16">AND(P28:P31,P38)</f>
        <v>1</v>
      </c>
      <c r="Q33" t="b">
        <f t="shared" ca="1" si="16"/>
        <v>1</v>
      </c>
      <c r="R33" t="b">
        <f t="shared" ca="1" si="16"/>
        <v>1</v>
      </c>
      <c r="S33" t="b">
        <f t="shared" ca="1" si="16"/>
        <v>1</v>
      </c>
      <c r="T33" t="b">
        <f t="shared" ca="1" si="16"/>
        <v>1</v>
      </c>
      <c r="U33" t="b">
        <f t="shared" ca="1" si="16"/>
        <v>1</v>
      </c>
    </row>
    <row r="34" spans="2:21">
      <c r="C34" t="str" cm="1">
        <f t="array" aca="1" ref="C34" ca="1">INDIRECT(VLOOKUP(L1,O19:P22,2,0)&amp;Baris)</f>
        <v>MO1|39-165D;2E-17D4;47-1980;10-178E;5B-18B4;11-17C1;3C-176F</v>
      </c>
      <c r="O34">
        <f ca="1">O33+0</f>
        <v>1</v>
      </c>
      <c r="P34">
        <f t="shared" ref="P34:U34" ca="1" si="17">P33+0</f>
        <v>1</v>
      </c>
      <c r="Q34">
        <f t="shared" ca="1" si="17"/>
        <v>1</v>
      </c>
      <c r="R34">
        <f t="shared" ca="1" si="17"/>
        <v>1</v>
      </c>
      <c r="S34">
        <f t="shared" ca="1" si="17"/>
        <v>1</v>
      </c>
      <c r="T34">
        <f t="shared" ca="1" si="17"/>
        <v>1</v>
      </c>
      <c r="U34">
        <f t="shared" ca="1" si="17"/>
        <v>1</v>
      </c>
    </row>
    <row r="36" spans="2:21">
      <c r="O36">
        <f ca="1">SUM(O13:O14)</f>
        <v>1</v>
      </c>
      <c r="P36">
        <f t="shared" ref="P36:U36" ca="1" si="18">SUM(P13:P14)</f>
        <v>1</v>
      </c>
      <c r="Q36">
        <f t="shared" ca="1" si="18"/>
        <v>1</v>
      </c>
      <c r="R36">
        <f t="shared" ca="1" si="18"/>
        <v>1</v>
      </c>
      <c r="S36">
        <f t="shared" ca="1" si="18"/>
        <v>0</v>
      </c>
      <c r="T36">
        <f t="shared" ca="1" si="18"/>
        <v>0</v>
      </c>
      <c r="U36">
        <f t="shared" ca="1" si="18"/>
        <v>2</v>
      </c>
    </row>
    <row r="37" spans="2:21"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1</v>
      </c>
    </row>
    <row r="38" spans="2:21">
      <c r="B38">
        <v>1</v>
      </c>
      <c r="C38">
        <f ca="1">IFERROR(LEN(_xlfn.FORMULATEXT('XL-Test'!H55)),0)</f>
        <v>54</v>
      </c>
      <c r="D38">
        <f ca="1">IFERROR(LEN(_xlfn.FORMULATEXT('XL-Test'!I55)),0)</f>
        <v>47</v>
      </c>
      <c r="E38">
        <f ca="1">IFERROR(LEN(_xlfn.FORMULATEXT('XL-Test'!J55)),0)</f>
        <v>55</v>
      </c>
      <c r="F38">
        <f ca="1">IFERROR(LEN(_xlfn.FORMULATEXT('XL-Test'!K55)),0)</f>
        <v>63</v>
      </c>
      <c r="G38">
        <f ca="1">IFERROR(LEN(_xlfn.FORMULATEXT('XL-Test'!L55)),0)</f>
        <v>51</v>
      </c>
      <c r="H38">
        <f ca="1">IFERROR(LEN(_xlfn.FORMULATEXT('XL-Test'!M55)),0)</f>
        <v>44</v>
      </c>
      <c r="I38">
        <f ca="1">IFERROR(LEN(_xlfn.FORMULATEXT('XL-Test'!N55)),0)</f>
        <v>94</v>
      </c>
      <c r="J38">
        <f ca="1">IFERROR(LEN(_xlfn.FORMULATEXT('XL-Test'!O55)),0)</f>
        <v>0</v>
      </c>
      <c r="O38" t="b">
        <f ca="1">IF(C2="",TRUE,O36&gt;=O37)</f>
        <v>1</v>
      </c>
      <c r="P38" t="b">
        <f t="shared" ref="P38:U38" ca="1" si="19">IF(D2="",TRUE,P36&gt;=P37)</f>
        <v>1</v>
      </c>
      <c r="Q38" t="b">
        <f t="shared" ca="1" si="19"/>
        <v>1</v>
      </c>
      <c r="R38" t="b">
        <f t="shared" ca="1" si="19"/>
        <v>1</v>
      </c>
      <c r="S38" t="b">
        <f t="shared" ca="1" si="19"/>
        <v>1</v>
      </c>
      <c r="T38" t="b">
        <f t="shared" ca="1" si="19"/>
        <v>1</v>
      </c>
      <c r="U38" t="b">
        <f t="shared" ca="1" si="19"/>
        <v>1</v>
      </c>
    </row>
    <row r="39" spans="2:21">
      <c r="B39">
        <v>2</v>
      </c>
      <c r="C39">
        <f ca="1">IFERROR(LEN(_xlfn.FORMULATEXT('XL-Test'!H56)),0)</f>
        <v>54</v>
      </c>
      <c r="D39">
        <f ca="1">IFERROR(LEN(_xlfn.FORMULATEXT('XL-Test'!I56)),0)</f>
        <v>47</v>
      </c>
      <c r="E39">
        <f ca="1">IFERROR(LEN(_xlfn.FORMULATEXT('XL-Test'!J56)),0)</f>
        <v>55</v>
      </c>
      <c r="F39">
        <f ca="1">IFERROR(LEN(_xlfn.FORMULATEXT('XL-Test'!K56)),0)</f>
        <v>63</v>
      </c>
      <c r="G39">
        <f ca="1">IFERROR(LEN(_xlfn.FORMULATEXT('XL-Test'!L56)),0)</f>
        <v>51</v>
      </c>
      <c r="H39">
        <f ca="1">IFERROR(LEN(_xlfn.FORMULATEXT('XL-Test'!M56)),0)</f>
        <v>44</v>
      </c>
      <c r="I39">
        <f ca="1">IFERROR(LEN(_xlfn.FORMULATEXT('XL-Test'!N56)),0)</f>
        <v>94</v>
      </c>
      <c r="J39">
        <f ca="1">IFERROR(LEN(_xlfn.FORMULATEXT('XL-Test'!O56)),0)</f>
        <v>0</v>
      </c>
    </row>
    <row r="40" spans="2:21">
      <c r="B40">
        <v>3</v>
      </c>
      <c r="C40">
        <f ca="1">IFERROR(LEN(_xlfn.FORMULATEXT('XL-Test'!H57)),0)</f>
        <v>54</v>
      </c>
      <c r="D40">
        <f ca="1">IFERROR(LEN(_xlfn.FORMULATEXT('XL-Test'!I57)),0)</f>
        <v>47</v>
      </c>
      <c r="E40">
        <f ca="1">IFERROR(LEN(_xlfn.FORMULATEXT('XL-Test'!J57)),0)</f>
        <v>55</v>
      </c>
      <c r="F40">
        <f ca="1">IFERROR(LEN(_xlfn.FORMULATEXT('XL-Test'!K57)),0)</f>
        <v>63</v>
      </c>
      <c r="G40">
        <f ca="1">IFERROR(LEN(_xlfn.FORMULATEXT('XL-Test'!L57)),0)</f>
        <v>51</v>
      </c>
      <c r="H40">
        <f ca="1">IFERROR(LEN(_xlfn.FORMULATEXT('XL-Test'!M57)),0)</f>
        <v>44</v>
      </c>
      <c r="I40">
        <f ca="1">IFERROR(LEN(_xlfn.FORMULATEXT('XL-Test'!N57)),0)</f>
        <v>94</v>
      </c>
      <c r="J40">
        <f ca="1">IFERROR(LEN(_xlfn.FORMULATEXT('XL-Test'!O57)),0)</f>
        <v>0</v>
      </c>
    </row>
    <row r="41" spans="2:21">
      <c r="B41">
        <v>4</v>
      </c>
      <c r="C41">
        <f ca="1">IFERROR(LEN(_xlfn.FORMULATEXT('XL-Test'!H58)),0)</f>
        <v>54</v>
      </c>
      <c r="D41">
        <f ca="1">IFERROR(LEN(_xlfn.FORMULATEXT('XL-Test'!I58)),0)</f>
        <v>47</v>
      </c>
      <c r="E41">
        <f ca="1">IFERROR(LEN(_xlfn.FORMULATEXT('XL-Test'!J58)),0)</f>
        <v>55</v>
      </c>
      <c r="F41">
        <f ca="1">IFERROR(LEN(_xlfn.FORMULATEXT('XL-Test'!K58)),0)</f>
        <v>63</v>
      </c>
      <c r="G41">
        <f ca="1">IFERROR(LEN(_xlfn.FORMULATEXT('XL-Test'!L58)),0)</f>
        <v>51</v>
      </c>
      <c r="H41">
        <f ca="1">IFERROR(LEN(_xlfn.FORMULATEXT('XL-Test'!M58)),0)</f>
        <v>44</v>
      </c>
      <c r="I41">
        <f ca="1">IFERROR(LEN(_xlfn.FORMULATEXT('XL-Test'!N58)),0)</f>
        <v>94</v>
      </c>
      <c r="J41">
        <f ca="1">IFERROR(LEN(_xlfn.FORMULATEXT('XL-Test'!O58)),0)</f>
        <v>0</v>
      </c>
    </row>
    <row r="42" spans="2:21">
      <c r="B42">
        <v>5</v>
      </c>
      <c r="C42">
        <f ca="1">IFERROR(LEN(_xlfn.FORMULATEXT('XL-Test'!H59)),0)</f>
        <v>54</v>
      </c>
      <c r="D42">
        <f ca="1">IFERROR(LEN(_xlfn.FORMULATEXT('XL-Test'!I59)),0)</f>
        <v>47</v>
      </c>
      <c r="E42">
        <f ca="1">IFERROR(LEN(_xlfn.FORMULATEXT('XL-Test'!J59)),0)</f>
        <v>55</v>
      </c>
      <c r="F42">
        <f ca="1">IFERROR(LEN(_xlfn.FORMULATEXT('XL-Test'!K59)),0)</f>
        <v>63</v>
      </c>
      <c r="G42">
        <f ca="1">IFERROR(LEN(_xlfn.FORMULATEXT('XL-Test'!L59)),0)</f>
        <v>51</v>
      </c>
      <c r="H42">
        <f ca="1">IFERROR(LEN(_xlfn.FORMULATEXT('XL-Test'!M59)),0)</f>
        <v>44</v>
      </c>
      <c r="I42">
        <f ca="1">IFERROR(LEN(_xlfn.FORMULATEXT('XL-Test'!N59)),0)</f>
        <v>94</v>
      </c>
      <c r="J42">
        <f ca="1">IFERROR(LEN(_xlfn.FORMULATEXT('XL-Test'!O59)),0)</f>
        <v>0</v>
      </c>
    </row>
    <row r="43" spans="2:21">
      <c r="B43">
        <v>6</v>
      </c>
      <c r="C43">
        <f ca="1">IFERROR(LEN(_xlfn.FORMULATEXT('XL-Test'!H60)),0)</f>
        <v>54</v>
      </c>
      <c r="D43">
        <f ca="1">IFERROR(LEN(_xlfn.FORMULATEXT('XL-Test'!I60)),0)</f>
        <v>47</v>
      </c>
      <c r="E43">
        <f ca="1">IFERROR(LEN(_xlfn.FORMULATEXT('XL-Test'!J60)),0)</f>
        <v>55</v>
      </c>
      <c r="F43">
        <f ca="1">IFERROR(LEN(_xlfn.FORMULATEXT('XL-Test'!K60)),0)</f>
        <v>63</v>
      </c>
      <c r="G43">
        <f ca="1">IFERROR(LEN(_xlfn.FORMULATEXT('XL-Test'!L60)),0)</f>
        <v>51</v>
      </c>
      <c r="H43">
        <f ca="1">IFERROR(LEN(_xlfn.FORMULATEXT('XL-Test'!M60)),0)</f>
        <v>44</v>
      </c>
      <c r="I43">
        <f ca="1">IFERROR(LEN(_xlfn.FORMULATEXT('XL-Test'!N60)),0)</f>
        <v>94</v>
      </c>
      <c r="J43">
        <f ca="1">IFERROR(LEN(_xlfn.FORMULATEXT('XL-Test'!O60)),0)</f>
        <v>0</v>
      </c>
    </row>
    <row r="44" spans="2:21">
      <c r="B44">
        <v>7</v>
      </c>
      <c r="C44">
        <f ca="1">IFERROR(LEN(_xlfn.FORMULATEXT('XL-Test'!H61)),0)</f>
        <v>54</v>
      </c>
      <c r="D44">
        <f ca="1">IFERROR(LEN(_xlfn.FORMULATEXT('XL-Test'!I61)),0)</f>
        <v>47</v>
      </c>
      <c r="E44">
        <f ca="1">IFERROR(LEN(_xlfn.FORMULATEXT('XL-Test'!J61)),0)</f>
        <v>55</v>
      </c>
      <c r="F44">
        <f ca="1">IFERROR(LEN(_xlfn.FORMULATEXT('XL-Test'!K61)),0)</f>
        <v>63</v>
      </c>
      <c r="G44">
        <f ca="1">IFERROR(LEN(_xlfn.FORMULATEXT('XL-Test'!L61)),0)</f>
        <v>51</v>
      </c>
      <c r="H44">
        <f ca="1">IFERROR(LEN(_xlfn.FORMULATEXT('XL-Test'!M61)),0)</f>
        <v>44</v>
      </c>
      <c r="I44">
        <f ca="1">IFERROR(LEN(_xlfn.FORMULATEXT('XL-Test'!N61)),0)</f>
        <v>94</v>
      </c>
      <c r="J44">
        <f ca="1">IFERROR(LEN(_xlfn.FORMULATEXT('XL-Test'!O61)),0)</f>
        <v>0</v>
      </c>
    </row>
    <row r="45" spans="2:21">
      <c r="B45">
        <v>8</v>
      </c>
      <c r="C45">
        <f ca="1">IFERROR(LEN(_xlfn.FORMULATEXT('XL-Test'!H62)),0)</f>
        <v>54</v>
      </c>
      <c r="D45">
        <f ca="1">IFERROR(LEN(_xlfn.FORMULATEXT('XL-Test'!I62)),0)</f>
        <v>47</v>
      </c>
      <c r="E45">
        <f ca="1">IFERROR(LEN(_xlfn.FORMULATEXT('XL-Test'!J62)),0)</f>
        <v>55</v>
      </c>
      <c r="F45">
        <f ca="1">IFERROR(LEN(_xlfn.FORMULATEXT('XL-Test'!K62)),0)</f>
        <v>63</v>
      </c>
      <c r="G45">
        <f ca="1">IFERROR(LEN(_xlfn.FORMULATEXT('XL-Test'!L62)),0)</f>
        <v>51</v>
      </c>
      <c r="H45">
        <f ca="1">IFERROR(LEN(_xlfn.FORMULATEXT('XL-Test'!M62)),0)</f>
        <v>44</v>
      </c>
      <c r="I45">
        <f ca="1">IFERROR(LEN(_xlfn.FORMULATEXT('XL-Test'!N62)),0)</f>
        <v>94</v>
      </c>
      <c r="J45">
        <f ca="1">IFERROR(LEN(_xlfn.FORMULATEXT('XL-Test'!O62)),0)</f>
        <v>0</v>
      </c>
    </row>
    <row r="46" spans="2:21">
      <c r="B46">
        <v>9</v>
      </c>
      <c r="C46">
        <f ca="1">IFERROR(LEN(_xlfn.FORMULATEXT('XL-Test'!H63)),0)</f>
        <v>54</v>
      </c>
      <c r="D46">
        <f ca="1">IFERROR(LEN(_xlfn.FORMULATEXT('XL-Test'!I63)),0)</f>
        <v>47</v>
      </c>
      <c r="E46">
        <f ca="1">IFERROR(LEN(_xlfn.FORMULATEXT('XL-Test'!J63)),0)</f>
        <v>55</v>
      </c>
      <c r="F46">
        <f ca="1">IFERROR(LEN(_xlfn.FORMULATEXT('XL-Test'!K63)),0)</f>
        <v>63</v>
      </c>
      <c r="G46">
        <f ca="1">IFERROR(LEN(_xlfn.FORMULATEXT('XL-Test'!L63)),0)</f>
        <v>51</v>
      </c>
      <c r="H46">
        <f ca="1">IFERROR(LEN(_xlfn.FORMULATEXT('XL-Test'!M63)),0)</f>
        <v>44</v>
      </c>
      <c r="I46">
        <f ca="1">IFERROR(LEN(_xlfn.FORMULATEXT('XL-Test'!N63)),0)</f>
        <v>94</v>
      </c>
      <c r="J46">
        <f ca="1">IFERROR(LEN(_xlfn.FORMULATEXT('XL-Test'!O63)),0)</f>
        <v>0</v>
      </c>
    </row>
    <row r="47" spans="2:21">
      <c r="B47">
        <v>10</v>
      </c>
      <c r="C47">
        <f ca="1">IFERROR(LEN(_xlfn.FORMULATEXT('XL-Test'!H64)),0)</f>
        <v>54</v>
      </c>
      <c r="D47">
        <f ca="1">IFERROR(LEN(_xlfn.FORMULATEXT('XL-Test'!I64)),0)</f>
        <v>47</v>
      </c>
      <c r="E47">
        <f ca="1">IFERROR(LEN(_xlfn.FORMULATEXT('XL-Test'!J64)),0)</f>
        <v>55</v>
      </c>
      <c r="F47">
        <f ca="1">IFERROR(LEN(_xlfn.FORMULATEXT('XL-Test'!K64)),0)</f>
        <v>63</v>
      </c>
      <c r="G47">
        <f ca="1">IFERROR(LEN(_xlfn.FORMULATEXT('XL-Test'!L64)),0)</f>
        <v>51</v>
      </c>
      <c r="H47">
        <f ca="1">IFERROR(LEN(_xlfn.FORMULATEXT('XL-Test'!M64)),0)</f>
        <v>44</v>
      </c>
      <c r="I47">
        <f ca="1">IFERROR(LEN(_xlfn.FORMULATEXT('XL-Test'!N64)),0)</f>
        <v>94</v>
      </c>
      <c r="J47">
        <f ca="1">IFERROR(LEN(_xlfn.FORMULATEXT('XL-Test'!O64)),0)</f>
        <v>0</v>
      </c>
    </row>
    <row r="48" spans="2:21">
      <c r="B48">
        <v>11</v>
      </c>
      <c r="C48">
        <f ca="1">IFERROR(LEN(_xlfn.FORMULATEXT('XL-Test'!H65)),0)</f>
        <v>54</v>
      </c>
      <c r="D48">
        <f ca="1">IFERROR(LEN(_xlfn.FORMULATEXT('XL-Test'!I65)),0)</f>
        <v>47</v>
      </c>
      <c r="E48">
        <f ca="1">IFERROR(LEN(_xlfn.FORMULATEXT('XL-Test'!J65)),0)</f>
        <v>55</v>
      </c>
      <c r="F48">
        <f ca="1">IFERROR(LEN(_xlfn.FORMULATEXT('XL-Test'!K65)),0)</f>
        <v>63</v>
      </c>
      <c r="G48">
        <f ca="1">IFERROR(LEN(_xlfn.FORMULATEXT('XL-Test'!L65)),0)</f>
        <v>51</v>
      </c>
      <c r="H48">
        <f ca="1">IFERROR(LEN(_xlfn.FORMULATEXT('XL-Test'!M65)),0)</f>
        <v>44</v>
      </c>
      <c r="I48">
        <f ca="1">IFERROR(LEN(_xlfn.FORMULATEXT('XL-Test'!N65)),0)</f>
        <v>94</v>
      </c>
      <c r="J48">
        <f ca="1">IFERROR(LEN(_xlfn.FORMULATEXT('XL-Test'!O65)),0)</f>
        <v>0</v>
      </c>
    </row>
    <row r="49" spans="2:10">
      <c r="B49">
        <v>12</v>
      </c>
      <c r="C49">
        <f ca="1">IFERROR(LEN(_xlfn.FORMULATEXT('XL-Test'!H66)),0)</f>
        <v>54</v>
      </c>
      <c r="D49">
        <f ca="1">IFERROR(LEN(_xlfn.FORMULATEXT('XL-Test'!I66)),0)</f>
        <v>47</v>
      </c>
      <c r="E49">
        <f ca="1">IFERROR(LEN(_xlfn.FORMULATEXT('XL-Test'!J66)),0)</f>
        <v>55</v>
      </c>
      <c r="F49">
        <f ca="1">IFERROR(LEN(_xlfn.FORMULATEXT('XL-Test'!K66)),0)</f>
        <v>63</v>
      </c>
      <c r="G49">
        <f ca="1">IFERROR(LEN(_xlfn.FORMULATEXT('XL-Test'!L66)),0)</f>
        <v>51</v>
      </c>
      <c r="H49">
        <f ca="1">IFERROR(LEN(_xlfn.FORMULATEXT('XL-Test'!M66)),0)</f>
        <v>44</v>
      </c>
      <c r="I49">
        <f ca="1">IFERROR(LEN(_xlfn.FORMULATEXT('XL-Test'!N66)),0)</f>
        <v>94</v>
      </c>
      <c r="J49">
        <f ca="1">IFERROR(LEN(_xlfn.FORMULATEXT('XL-Test'!O66)),0)</f>
        <v>0</v>
      </c>
    </row>
    <row r="50" spans="2:10">
      <c r="B50">
        <v>13</v>
      </c>
      <c r="C50">
        <f ca="1">IFERROR(LEN(_xlfn.FORMULATEXT('XL-Test'!H67)),0)</f>
        <v>54</v>
      </c>
      <c r="D50">
        <f ca="1">IFERROR(LEN(_xlfn.FORMULATEXT('XL-Test'!I67)),0)</f>
        <v>47</v>
      </c>
      <c r="E50">
        <f ca="1">IFERROR(LEN(_xlfn.FORMULATEXT('XL-Test'!J67)),0)</f>
        <v>55</v>
      </c>
      <c r="F50">
        <f ca="1">IFERROR(LEN(_xlfn.FORMULATEXT('XL-Test'!K67)),0)</f>
        <v>63</v>
      </c>
      <c r="G50">
        <f ca="1">IFERROR(LEN(_xlfn.FORMULATEXT('XL-Test'!L67)),0)</f>
        <v>51</v>
      </c>
      <c r="H50">
        <f ca="1">IFERROR(LEN(_xlfn.FORMULATEXT('XL-Test'!M67)),0)</f>
        <v>44</v>
      </c>
      <c r="I50">
        <f ca="1">IFERROR(LEN(_xlfn.FORMULATEXT('XL-Test'!N67)),0)</f>
        <v>94</v>
      </c>
      <c r="J50">
        <f ca="1">IFERROR(LEN(_xlfn.FORMULATEXT('XL-Test'!O67)),0)</f>
        <v>0</v>
      </c>
    </row>
    <row r="51" spans="2:10">
      <c r="B51">
        <v>14</v>
      </c>
      <c r="C51">
        <f ca="1">IFERROR(LEN(_xlfn.FORMULATEXT('XL-Test'!H68)),0)</f>
        <v>54</v>
      </c>
      <c r="D51">
        <f ca="1">IFERROR(LEN(_xlfn.FORMULATEXT('XL-Test'!I68)),0)</f>
        <v>47</v>
      </c>
      <c r="E51">
        <f ca="1">IFERROR(LEN(_xlfn.FORMULATEXT('XL-Test'!J68)),0)</f>
        <v>55</v>
      </c>
      <c r="F51">
        <f ca="1">IFERROR(LEN(_xlfn.FORMULATEXT('XL-Test'!K68)),0)</f>
        <v>63</v>
      </c>
      <c r="G51">
        <f ca="1">IFERROR(LEN(_xlfn.FORMULATEXT('XL-Test'!L68)),0)</f>
        <v>51</v>
      </c>
      <c r="H51">
        <f ca="1">IFERROR(LEN(_xlfn.FORMULATEXT('XL-Test'!M68)),0)</f>
        <v>44</v>
      </c>
      <c r="I51">
        <f ca="1">IFERROR(LEN(_xlfn.FORMULATEXT('XL-Test'!N68)),0)</f>
        <v>94</v>
      </c>
      <c r="J51">
        <f ca="1">IFERROR(LEN(_xlfn.FORMULATEXT('XL-Test'!O68)),0)</f>
        <v>0</v>
      </c>
    </row>
    <row r="53" spans="2:10">
      <c r="B53" t="s">
        <v>99</v>
      </c>
      <c r="C53" t="b">
        <f ca="1">AVERAGE(C38:C51)=C38</f>
        <v>1</v>
      </c>
      <c r="D53" t="b">
        <f t="shared" ref="D53:J53" ca="1" si="20">AVERAGE(D38:D51)=D38</f>
        <v>1</v>
      </c>
      <c r="E53" t="b">
        <f t="shared" ca="1" si="20"/>
        <v>1</v>
      </c>
      <c r="F53" t="b">
        <f t="shared" ca="1" si="20"/>
        <v>1</v>
      </c>
      <c r="G53" t="b">
        <f t="shared" ca="1" si="20"/>
        <v>1</v>
      </c>
      <c r="H53" t="b">
        <f t="shared" ca="1" si="20"/>
        <v>1</v>
      </c>
      <c r="I53" t="b">
        <f t="shared" ca="1" si="20"/>
        <v>1</v>
      </c>
      <c r="J53" t="b">
        <f t="shared" ca="1" si="20"/>
        <v>1</v>
      </c>
    </row>
    <row r="54" spans="2:10">
      <c r="B54" t="s">
        <v>100</v>
      </c>
      <c r="C54" t="b">
        <f ca="1">IF(C38&gt;0,C42=0,C6&gt;0)</f>
        <v>0</v>
      </c>
      <c r="D54" t="b">
        <f t="shared" ref="D54:J54" ca="1" si="21">IF(D38&gt;0,D42=0,D6&gt;0)</f>
        <v>0</v>
      </c>
      <c r="E54" t="b">
        <f t="shared" ca="1" si="21"/>
        <v>0</v>
      </c>
      <c r="F54" t="b">
        <f t="shared" ca="1" si="21"/>
        <v>0</v>
      </c>
      <c r="G54" t="b">
        <f t="shared" ca="1" si="21"/>
        <v>0</v>
      </c>
      <c r="H54" t="b">
        <f t="shared" ca="1" si="21"/>
        <v>0</v>
      </c>
      <c r="I54" t="b">
        <f t="shared" ca="1" si="21"/>
        <v>0</v>
      </c>
      <c r="J54" t="b">
        <f t="shared" ca="1" si="21"/>
        <v>0</v>
      </c>
    </row>
    <row r="56" spans="2:10">
      <c r="C56" t="b">
        <f ca="1">IFERROR(OR(C54,C53),FALSE)</f>
        <v>1</v>
      </c>
      <c r="D56" t="b">
        <f t="shared" ref="D56:J56" ca="1" si="22">IFERROR(OR(D54,D53),FALSE)</f>
        <v>1</v>
      </c>
      <c r="E56" t="b">
        <f t="shared" ca="1" si="22"/>
        <v>1</v>
      </c>
      <c r="F56" t="b">
        <f t="shared" ca="1" si="22"/>
        <v>1</v>
      </c>
      <c r="G56" t="b">
        <f t="shared" ca="1" si="22"/>
        <v>1</v>
      </c>
      <c r="H56" t="b">
        <f t="shared" ca="1" si="22"/>
        <v>1</v>
      </c>
      <c r="I56" t="b">
        <f t="shared" ca="1" si="22"/>
        <v>1</v>
      </c>
      <c r="J56" t="b">
        <f t="shared" ca="1" si="22"/>
        <v>1</v>
      </c>
    </row>
    <row r="58" spans="2:10">
      <c r="B58">
        <v>1</v>
      </c>
      <c r="C58" s="6">
        <f>CODE(LEFT(C2))+CODE(MID(C2,2,1))+CODE(RIGHT(C2))+CODE(LEFT(RIGHT(C2,2)))</f>
        <v>279</v>
      </c>
      <c r="D58" s="6">
        <f t="shared" ref="D58:I58" si="23">CODE(LEFT(D2))+CODE(MID(D2,2,1))+CODE(RIGHT(D2))+CODE(LEFT(RIGHT(D2,2)))</f>
        <v>318</v>
      </c>
      <c r="E58" s="6">
        <f t="shared" si="23"/>
        <v>329</v>
      </c>
      <c r="F58" s="6">
        <f t="shared" si="23"/>
        <v>303</v>
      </c>
      <c r="G58" s="6">
        <f t="shared" si="23"/>
        <v>336</v>
      </c>
      <c r="H58" s="6">
        <f t="shared" si="23"/>
        <v>298</v>
      </c>
      <c r="I58" s="6">
        <f t="shared" si="23"/>
        <v>287</v>
      </c>
    </row>
    <row r="59" spans="2:10">
      <c r="B59">
        <v>2</v>
      </c>
      <c r="C59" s="6">
        <f t="shared" ref="C59:I71" si="24">CODE(LEFT(C3))+CODE(MID(C3,2,1))+CODE(RIGHT(C3))+CODE(LEFT(RIGHT(C3,2)))</f>
        <v>308</v>
      </c>
      <c r="D59" s="6">
        <f t="shared" si="24"/>
        <v>292</v>
      </c>
      <c r="E59" s="6">
        <f t="shared" si="24"/>
        <v>325</v>
      </c>
      <c r="F59" s="6">
        <f t="shared" si="24"/>
        <v>300</v>
      </c>
      <c r="G59" s="6">
        <f t="shared" si="24"/>
        <v>292</v>
      </c>
      <c r="H59" s="6">
        <f t="shared" si="24"/>
        <v>309</v>
      </c>
      <c r="I59" s="6">
        <f t="shared" si="24"/>
        <v>324</v>
      </c>
    </row>
    <row r="60" spans="2:10">
      <c r="B60">
        <v>3</v>
      </c>
      <c r="C60" s="6">
        <f t="shared" si="24"/>
        <v>279</v>
      </c>
      <c r="D60" s="6">
        <f t="shared" si="24"/>
        <v>292</v>
      </c>
      <c r="E60" s="6">
        <f t="shared" si="24"/>
        <v>325</v>
      </c>
      <c r="F60" s="6">
        <f t="shared" si="24"/>
        <v>300</v>
      </c>
      <c r="G60" s="6">
        <f t="shared" si="24"/>
        <v>292</v>
      </c>
      <c r="H60" s="6">
        <f t="shared" si="24"/>
        <v>309</v>
      </c>
      <c r="I60" s="6">
        <f t="shared" si="24"/>
        <v>324</v>
      </c>
    </row>
    <row r="61" spans="2:10">
      <c r="B61">
        <v>4</v>
      </c>
      <c r="C61" s="6">
        <f t="shared" si="24"/>
        <v>279</v>
      </c>
      <c r="D61" s="6">
        <f t="shared" si="24"/>
        <v>318</v>
      </c>
      <c r="E61" s="6">
        <f t="shared" si="24"/>
        <v>329</v>
      </c>
      <c r="F61" s="6">
        <f t="shared" si="24"/>
        <v>303</v>
      </c>
      <c r="G61" s="6">
        <f t="shared" si="24"/>
        <v>336</v>
      </c>
      <c r="H61" s="6">
        <f t="shared" si="24"/>
        <v>298</v>
      </c>
      <c r="I61" s="6">
        <f t="shared" si="24"/>
        <v>287</v>
      </c>
    </row>
    <row r="62" spans="2:10">
      <c r="B62">
        <v>5</v>
      </c>
      <c r="C62" s="6">
        <f t="shared" si="24"/>
        <v>279</v>
      </c>
      <c r="D62" s="6">
        <f t="shared" si="24"/>
        <v>318</v>
      </c>
      <c r="E62" s="6">
        <f t="shared" si="24"/>
        <v>325</v>
      </c>
      <c r="F62" s="6">
        <f t="shared" si="24"/>
        <v>300</v>
      </c>
      <c r="G62" s="6">
        <f t="shared" si="24"/>
        <v>292</v>
      </c>
      <c r="H62" s="6">
        <f t="shared" si="24"/>
        <v>309</v>
      </c>
      <c r="I62" s="6">
        <f t="shared" si="24"/>
        <v>287</v>
      </c>
    </row>
    <row r="63" spans="2:10">
      <c r="B63">
        <v>6</v>
      </c>
      <c r="C63" s="6">
        <f t="shared" si="24"/>
        <v>308</v>
      </c>
      <c r="D63" s="6">
        <f t="shared" si="24"/>
        <v>292</v>
      </c>
      <c r="E63" s="6">
        <f t="shared" si="24"/>
        <v>325</v>
      </c>
      <c r="F63" s="6">
        <f t="shared" si="24"/>
        <v>300</v>
      </c>
      <c r="G63" s="6">
        <f t="shared" si="24"/>
        <v>292</v>
      </c>
      <c r="H63" s="6">
        <f t="shared" si="24"/>
        <v>309</v>
      </c>
      <c r="I63" s="6">
        <f t="shared" si="24"/>
        <v>324</v>
      </c>
    </row>
    <row r="64" spans="2:10">
      <c r="B64">
        <v>7</v>
      </c>
      <c r="C64" s="6">
        <f t="shared" si="24"/>
        <v>279</v>
      </c>
      <c r="D64" s="6">
        <f t="shared" si="24"/>
        <v>318</v>
      </c>
      <c r="E64" s="6">
        <f t="shared" si="24"/>
        <v>329</v>
      </c>
      <c r="F64" s="6">
        <f t="shared" si="24"/>
        <v>300</v>
      </c>
      <c r="G64" s="6">
        <f t="shared" si="24"/>
        <v>336</v>
      </c>
      <c r="H64" s="6">
        <f t="shared" si="24"/>
        <v>309</v>
      </c>
      <c r="I64" s="6">
        <f t="shared" si="24"/>
        <v>287</v>
      </c>
    </row>
    <row r="65" spans="2:9">
      <c r="B65">
        <v>8</v>
      </c>
      <c r="C65" s="6">
        <f t="shared" si="24"/>
        <v>308</v>
      </c>
      <c r="D65" s="6">
        <f t="shared" si="24"/>
        <v>292</v>
      </c>
      <c r="E65" s="6">
        <f t="shared" si="24"/>
        <v>325</v>
      </c>
      <c r="F65" s="6">
        <f t="shared" si="24"/>
        <v>303</v>
      </c>
      <c r="G65" s="6">
        <f t="shared" si="24"/>
        <v>292</v>
      </c>
      <c r="H65" s="6">
        <f t="shared" si="24"/>
        <v>298</v>
      </c>
      <c r="I65" s="6">
        <f t="shared" si="24"/>
        <v>287</v>
      </c>
    </row>
    <row r="66" spans="2:9">
      <c r="B66">
        <v>9</v>
      </c>
      <c r="C66" s="6">
        <f t="shared" si="24"/>
        <v>279</v>
      </c>
      <c r="D66" s="6">
        <f t="shared" si="24"/>
        <v>318</v>
      </c>
      <c r="E66" s="6">
        <f t="shared" si="24"/>
        <v>329</v>
      </c>
      <c r="F66" s="6">
        <f t="shared" si="24"/>
        <v>303</v>
      </c>
      <c r="G66" s="6">
        <f t="shared" si="24"/>
        <v>336</v>
      </c>
      <c r="H66" s="6">
        <f t="shared" si="24"/>
        <v>298</v>
      </c>
      <c r="I66" s="6">
        <f t="shared" si="24"/>
        <v>287</v>
      </c>
    </row>
    <row r="67" spans="2:9">
      <c r="B67">
        <v>10</v>
      </c>
      <c r="C67" s="6">
        <f t="shared" si="24"/>
        <v>279</v>
      </c>
      <c r="D67" s="6">
        <f t="shared" si="24"/>
        <v>292</v>
      </c>
      <c r="E67" s="6">
        <f t="shared" si="24"/>
        <v>325</v>
      </c>
      <c r="F67" s="6">
        <f t="shared" si="24"/>
        <v>303</v>
      </c>
      <c r="G67" s="6">
        <f t="shared" si="24"/>
        <v>292</v>
      </c>
      <c r="H67" s="6">
        <f t="shared" si="24"/>
        <v>298</v>
      </c>
      <c r="I67" s="6">
        <f t="shared" si="24"/>
        <v>324</v>
      </c>
    </row>
    <row r="68" spans="2:9">
      <c r="B68">
        <v>11</v>
      </c>
      <c r="C68" s="6">
        <f t="shared" si="24"/>
        <v>279</v>
      </c>
      <c r="D68" s="6">
        <f t="shared" si="24"/>
        <v>292</v>
      </c>
      <c r="E68" s="6">
        <f t="shared" si="24"/>
        <v>325</v>
      </c>
      <c r="F68" s="6">
        <f t="shared" si="24"/>
        <v>303</v>
      </c>
      <c r="G68" s="6">
        <f t="shared" si="24"/>
        <v>336</v>
      </c>
      <c r="H68" s="6">
        <f t="shared" si="24"/>
        <v>309</v>
      </c>
      <c r="I68" s="6">
        <f t="shared" si="24"/>
        <v>287</v>
      </c>
    </row>
    <row r="69" spans="2:9">
      <c r="B69">
        <v>12</v>
      </c>
      <c r="C69" s="6">
        <f t="shared" si="24"/>
        <v>308</v>
      </c>
      <c r="D69" s="6">
        <f t="shared" si="24"/>
        <v>292</v>
      </c>
      <c r="E69" s="6">
        <f t="shared" si="24"/>
        <v>325</v>
      </c>
      <c r="F69" s="6">
        <f t="shared" si="24"/>
        <v>300</v>
      </c>
      <c r="G69" s="6">
        <f t="shared" si="24"/>
        <v>292</v>
      </c>
      <c r="H69" s="6">
        <f t="shared" si="24"/>
        <v>309</v>
      </c>
      <c r="I69" s="6">
        <f t="shared" si="24"/>
        <v>324</v>
      </c>
    </row>
    <row r="70" spans="2:9">
      <c r="B70">
        <v>13</v>
      </c>
      <c r="C70" s="6">
        <f t="shared" si="24"/>
        <v>279</v>
      </c>
      <c r="D70" s="6">
        <f t="shared" si="24"/>
        <v>318</v>
      </c>
      <c r="E70" s="6">
        <f t="shared" si="24"/>
        <v>325</v>
      </c>
      <c r="F70" s="6">
        <f t="shared" si="24"/>
        <v>300</v>
      </c>
      <c r="G70" s="6">
        <f t="shared" si="24"/>
        <v>336</v>
      </c>
      <c r="H70" s="6">
        <f t="shared" si="24"/>
        <v>298</v>
      </c>
      <c r="I70" s="6">
        <f t="shared" si="24"/>
        <v>287</v>
      </c>
    </row>
    <row r="71" spans="2:9">
      <c r="B71">
        <v>14</v>
      </c>
      <c r="C71" s="6">
        <f t="shared" si="24"/>
        <v>279</v>
      </c>
      <c r="D71" s="6">
        <f t="shared" si="24"/>
        <v>318</v>
      </c>
      <c r="E71" s="6">
        <f t="shared" si="24"/>
        <v>329</v>
      </c>
      <c r="F71" s="6">
        <f t="shared" si="24"/>
        <v>303</v>
      </c>
      <c r="G71" s="6">
        <f t="shared" si="24"/>
        <v>336</v>
      </c>
      <c r="H71" s="6">
        <f t="shared" si="24"/>
        <v>309</v>
      </c>
      <c r="I71" s="6">
        <f t="shared" si="24"/>
        <v>287</v>
      </c>
    </row>
    <row r="74" spans="2:9">
      <c r="B74" t="s">
        <v>101</v>
      </c>
      <c r="C74" t="b">
        <f ca="1">AND(C56,C25,O33)</f>
        <v>1</v>
      </c>
      <c r="D74" t="b">
        <f t="shared" ref="D74:I74" ca="1" si="25">AND(D56,D25,P33)</f>
        <v>1</v>
      </c>
      <c r="E74" t="b">
        <f t="shared" ca="1" si="25"/>
        <v>1</v>
      </c>
      <c r="F74" t="b">
        <f t="shared" ca="1" si="25"/>
        <v>1</v>
      </c>
      <c r="G74" t="b">
        <f t="shared" ca="1" si="25"/>
        <v>1</v>
      </c>
      <c r="H74" t="b">
        <f t="shared" ca="1" si="25"/>
        <v>1</v>
      </c>
      <c r="I74" t="b">
        <f t="shared" ca="1" si="2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XL-Test</vt:lpstr>
      <vt:lpstr>About</vt:lpstr>
      <vt:lpstr>DF!Baris</vt:lpstr>
      <vt:lpstr>jmlAND</vt:lpstr>
      <vt:lpstr>jmlIF</vt:lpstr>
      <vt:lpstr>jmlNOT</vt:lpstr>
      <vt:lpstr>jmlOR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2025-08-21T10:48:53Z</dcterms:created>
  <dcterms:modified xsi:type="dcterms:W3CDTF">2026-06-12T07:11:45Z</dcterms:modified>
</cp:coreProperties>
</file>