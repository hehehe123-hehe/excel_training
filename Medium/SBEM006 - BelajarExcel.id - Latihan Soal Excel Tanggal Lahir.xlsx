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417" documentId="8_{22DEECCE-FBFC-4F45-9D2A-D3CB25FD85C9}" xr6:coauthVersionLast="47" xr6:coauthVersionMax="47" xr10:uidLastSave="{27ECD741-D357-4A00-8871-F2D177B3F71E}"/>
  <workbookProtection workbookAlgorithmName="SHA-512" workbookHashValue="uiV7rhgc+lTiWuAD8HkWScNCAt4fD0xrhoAxrdFQje/kZjNOplDtZOsKfoysWgGWZGH7EXbRkaAF0AkRQFvhJQ==" workbookSaltValue="xzeva4h+Oc0fH4zW6jnxtg==" workbookSpinCount="100000" lockStructure="1"/>
  <bookViews>
    <workbookView xWindow="28692" yWindow="-108" windowWidth="29016" windowHeight="15696" xr2:uid="{BC1E8B3B-AAD9-48FF-95B9-9E28B3E46DA1}"/>
  </bookViews>
  <sheets>
    <sheet name="XL-Test" sheetId="1" r:id="rId1"/>
    <sheet name="DF" sheetId="2" state="veryHidden" r:id="rId2"/>
  </sheets>
  <definedNames>
    <definedName name="kode_jawaban">DF!$D$30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7" i="1"/>
  <c r="J7" i="1"/>
  <c r="H7" i="1"/>
  <c r="G7" i="1"/>
  <c r="F7" i="1"/>
  <c r="E7" i="1"/>
  <c r="D7" i="1"/>
  <c r="E8" i="1"/>
  <c r="E9" i="1"/>
  <c r="E10" i="1"/>
  <c r="E11" i="1"/>
  <c r="E12" i="1"/>
  <c r="E13" i="1"/>
  <c r="E14" i="1"/>
  <c r="E15" i="1"/>
  <c r="E16" i="1"/>
  <c r="G8" i="1"/>
  <c r="G9" i="1"/>
  <c r="G10" i="1"/>
  <c r="G11" i="1"/>
  <c r="G12" i="1"/>
  <c r="G13" i="1"/>
  <c r="G14" i="1"/>
  <c r="G15" i="1"/>
  <c r="G16" i="1"/>
  <c r="G20" i="1"/>
  <c r="J8" i="1"/>
  <c r="J9" i="1"/>
  <c r="J10" i="1"/>
  <c r="J11" i="1"/>
  <c r="J12" i="1"/>
  <c r="J13" i="1"/>
  <c r="J14" i="1"/>
  <c r="J15" i="1"/>
  <c r="J16" i="1"/>
  <c r="H8" i="1"/>
  <c r="H9" i="1"/>
  <c r="H10" i="1"/>
  <c r="H11" i="1"/>
  <c r="H12" i="1"/>
  <c r="H13" i="1"/>
  <c r="H14" i="1"/>
  <c r="H15" i="1"/>
  <c r="H16" i="1"/>
  <c r="F8" i="1"/>
  <c r="F9" i="1"/>
  <c r="F10" i="1"/>
  <c r="F11" i="1"/>
  <c r="F12" i="1"/>
  <c r="F13" i="1"/>
  <c r="F14" i="1"/>
  <c r="F15" i="1"/>
  <c r="F16" i="1"/>
  <c r="D8" i="1"/>
  <c r="D9" i="1"/>
  <c r="D10" i="1"/>
  <c r="D11" i="1"/>
  <c r="D12" i="1"/>
  <c r="D13" i="1"/>
  <c r="D14" i="1"/>
  <c r="D15" i="1"/>
  <c r="D16" i="1"/>
  <c r="R2" i="2"/>
  <c r="E16" i="2" s="1"/>
  <c r="S2" i="2"/>
  <c r="F16" i="2" s="1"/>
  <c r="T2" i="2"/>
  <c r="G16" i="2" s="1"/>
  <c r="U2" i="2"/>
  <c r="H16" i="2" s="1"/>
  <c r="V2" i="2"/>
  <c r="I16" i="2" s="1"/>
  <c r="W2" i="2"/>
  <c r="J16" i="2" s="1"/>
  <c r="E14" i="2"/>
  <c r="F14" i="2"/>
  <c r="G14" i="2"/>
  <c r="H14" i="2"/>
  <c r="I14" i="2"/>
  <c r="J14" i="2"/>
  <c r="D14" i="2"/>
  <c r="E13" i="2"/>
  <c r="F13" i="2"/>
  <c r="G13" i="2"/>
  <c r="H13" i="2"/>
  <c r="I13" i="2"/>
  <c r="J13" i="2"/>
  <c r="D13" i="2"/>
  <c r="F7" i="2"/>
  <c r="G7" i="2"/>
  <c r="H7" i="2"/>
  <c r="F3" i="2"/>
  <c r="G3" i="2"/>
  <c r="H3" i="2"/>
  <c r="F4" i="2"/>
  <c r="G4" i="2"/>
  <c r="H4" i="2"/>
  <c r="F6" i="2"/>
  <c r="G6" i="2"/>
  <c r="H6" i="2"/>
  <c r="F5" i="2"/>
  <c r="G5" i="2"/>
  <c r="H5" i="2"/>
  <c r="H2" i="2"/>
  <c r="G2" i="2"/>
  <c r="E7" i="2"/>
  <c r="E3" i="2"/>
  <c r="E4" i="2"/>
  <c r="E6" i="2"/>
  <c r="E5" i="2"/>
  <c r="E2" i="2"/>
  <c r="D7" i="2"/>
  <c r="D3" i="2"/>
  <c r="D4" i="2"/>
  <c r="D6" i="2"/>
  <c r="D5" i="2"/>
  <c r="D2" i="2"/>
  <c r="Q3" i="2"/>
  <c r="Q4" i="2"/>
  <c r="Q5" i="2"/>
  <c r="Q6" i="2"/>
  <c r="Q7" i="2"/>
  <c r="Q8" i="2"/>
  <c r="Q2" i="2"/>
  <c r="D24" i="2" s="1"/>
  <c r="J7" i="2" l="1"/>
  <c r="I7" i="2"/>
  <c r="J3" i="2"/>
  <c r="I3" i="2"/>
  <c r="J4" i="2"/>
  <c r="I4" i="2"/>
  <c r="J6" i="2"/>
  <c r="I6" i="2"/>
  <c r="J5" i="2"/>
  <c r="I5" i="2"/>
  <c r="F8" i="2"/>
  <c r="F2" i="2"/>
  <c r="E9" i="2"/>
  <c r="E10" i="2" s="1"/>
  <c r="F9" i="2"/>
  <c r="F10" i="2" s="1"/>
  <c r="G9" i="2"/>
  <c r="G10" i="2" s="1"/>
  <c r="H9" i="2"/>
  <c r="H10" i="2" s="1"/>
  <c r="D9" i="2"/>
  <c r="D10" i="2" s="1"/>
  <c r="D27" i="2" s="1"/>
  <c r="D16" i="2"/>
  <c r="J19" i="2"/>
  <c r="J22" i="2" s="1"/>
  <c r="J26" i="2" s="1"/>
  <c r="J24" i="2"/>
  <c r="E19" i="2"/>
  <c r="E22" i="2" s="1"/>
  <c r="E26" i="2" s="1"/>
  <c r="E24" i="2"/>
  <c r="F19" i="2"/>
  <c r="F22" i="2" s="1"/>
  <c r="F26" i="2" s="1"/>
  <c r="F24" i="2"/>
  <c r="G19" i="2"/>
  <c r="G22" i="2" s="1"/>
  <c r="G26" i="2" s="1"/>
  <c r="G24" i="2"/>
  <c r="H19" i="2"/>
  <c r="H22" i="2" s="1"/>
  <c r="H26" i="2" s="1"/>
  <c r="H24" i="2"/>
  <c r="I19" i="2"/>
  <c r="I22" i="2" s="1"/>
  <c r="I26" i="2" s="1"/>
  <c r="I24" i="2"/>
  <c r="D19" i="2"/>
  <c r="D22" i="2" s="1"/>
  <c r="I2" i="2" l="1"/>
  <c r="I8" i="2"/>
  <c r="F27" i="2"/>
  <c r="F28" i="2" s="1"/>
  <c r="E27" i="2"/>
  <c r="E28" i="2" s="1"/>
  <c r="G27" i="2"/>
  <c r="G28" i="2" s="1"/>
  <c r="H27" i="2"/>
  <c r="H28" i="2" s="1"/>
  <c r="D26" i="2"/>
  <c r="D28" i="2" s="1"/>
  <c r="J2" i="2" l="1"/>
  <c r="J8" i="2"/>
  <c r="I9" i="2"/>
  <c r="I10" i="2" s="1"/>
  <c r="I27" i="2" s="1"/>
  <c r="I28" i="2" s="1"/>
  <c r="J9" i="2" l="1"/>
  <c r="J10" i="2" s="1"/>
  <c r="J27" i="2" s="1"/>
  <c r="J28" i="2" s="1"/>
  <c r="D30" i="2"/>
  <c r="F2" i="1" s="1"/>
</calcChain>
</file>

<file path=xl/sharedStrings.xml><?xml version="1.0" encoding="utf-8"?>
<sst xmlns="http://schemas.openxmlformats.org/spreadsheetml/2006/main" count="66" uniqueCount="63">
  <si>
    <r>
      <t xml:space="preserve">Medium Level  </t>
    </r>
    <r>
      <rPr>
        <sz val="9"/>
        <color rgb="FFFFC000"/>
        <rFont val="Aptos Narrow"/>
        <family val="2"/>
        <scheme val="minor"/>
      </rPr>
      <t>(⭐⭐)</t>
    </r>
  </si>
  <si>
    <t>KODE SOAL</t>
  </si>
  <si>
    <t>SBEM006</t>
  </si>
  <si>
    <t>KODE JAWABAN</t>
  </si>
  <si>
    <t>Hari ini</t>
  </si>
  <si>
    <t>Tanggal Lahir</t>
  </si>
  <si>
    <t>Tempat Lahir</t>
  </si>
  <si>
    <t>HARI LAHIR (ID)</t>
  </si>
  <si>
    <t>Zodiak</t>
  </si>
  <si>
    <t>Umur (Tahun)</t>
  </si>
  <si>
    <t>Tempat dan Tanggal Lahir</t>
  </si>
  <si>
    <t>Generasi</t>
  </si>
  <si>
    <t>Next Ultah</t>
  </si>
  <si>
    <t>Hari Menuju Ultah</t>
  </si>
  <si>
    <t>Jakarta</t>
  </si>
  <si>
    <t>Surabaya</t>
  </si>
  <si>
    <t>Bandung</t>
  </si>
  <si>
    <t>Yogyakarta</t>
  </si>
  <si>
    <t>Semarang</t>
  </si>
  <si>
    <t>Medan</t>
  </si>
  <si>
    <t>Denpasar</t>
  </si>
  <si>
    <t>Makassar</t>
  </si>
  <si>
    <t>Palembang</t>
  </si>
  <si>
    <t>Balikpapan</t>
  </si>
  <si>
    <t>Table Zodiak</t>
  </si>
  <si>
    <t>Soal</t>
  </si>
  <si>
    <t>Tanggal</t>
  </si>
  <si>
    <t>Isi hari lahir berdasarkan tanggal lahir. Hari lahir harus berbahasa indonesia</t>
  </si>
  <si>
    <t>Capricorn</t>
  </si>
  <si>
    <t>Isi Zodiak berdasarkan table zodiak dari tanggal lahir</t>
  </si>
  <si>
    <t>Aquarius</t>
  </si>
  <si>
    <t>isi umur dalam tahun berdasarkan tanggal lahir sampai hari ini (C4)</t>
  </si>
  <si>
    <t>Pisces</t>
  </si>
  <si>
    <t xml:space="preserve">Gabungkan Tempat dan tanggal lahir dengan format seperti berikut ini : </t>
  </si>
  <si>
    <t>Aries</t>
  </si>
  <si>
    <r>
      <rPr>
        <sz val="11"/>
        <color rgb="FF000000"/>
        <rFont val="Aptos Narrow"/>
        <scheme val="minor"/>
      </rPr>
      <t xml:space="preserve">contoh : </t>
    </r>
    <r>
      <rPr>
        <b/>
        <sz val="11"/>
        <color rgb="FF000000"/>
        <rFont val="Aptos Narrow"/>
        <scheme val="minor"/>
      </rPr>
      <t>Tasikmalaya, 31 Mar 1995</t>
    </r>
  </si>
  <si>
    <t>Taurus</t>
  </si>
  <si>
    <t>Isi Generasi, berdasarkan ketentuan berikut ini :</t>
  </si>
  <si>
    <t>Gemini</t>
  </si>
  <si>
    <t>Cancer</t>
  </si>
  <si>
    <t>Leo</t>
  </si>
  <si>
    <r>
      <t xml:space="preserve">isi </t>
    </r>
    <r>
      <rPr>
        <b/>
        <sz val="11"/>
        <color theme="1"/>
        <rFont val="Aptos Narrow"/>
        <family val="2"/>
        <scheme val="minor"/>
      </rPr>
      <t>Baby Boomer</t>
    </r>
    <r>
      <rPr>
        <sz val="11"/>
        <color theme="1"/>
        <rFont val="Aptos Narrow"/>
        <family val="2"/>
        <scheme val="minor"/>
      </rPr>
      <t xml:space="preserve"> jika lahir diantara 1946 – 1964</t>
    </r>
  </si>
  <si>
    <t>Virgo</t>
  </si>
  <si>
    <r>
      <t xml:space="preserve">isi </t>
    </r>
    <r>
      <rPr>
        <b/>
        <sz val="11"/>
        <color theme="1"/>
        <rFont val="Aptos Narrow"/>
        <family val="2"/>
        <scheme val="minor"/>
      </rPr>
      <t>Gen X</t>
    </r>
    <r>
      <rPr>
        <sz val="11"/>
        <color theme="1"/>
        <rFont val="Aptos Narrow"/>
        <family val="2"/>
        <scheme val="minor"/>
      </rPr>
      <t xml:space="preserve"> jika lahir diantara 1965 – 1980</t>
    </r>
  </si>
  <si>
    <t>Libra</t>
  </si>
  <si>
    <r>
      <t xml:space="preserve">isi </t>
    </r>
    <r>
      <rPr>
        <b/>
        <sz val="11"/>
        <color theme="1"/>
        <rFont val="Aptos Narrow"/>
        <family val="2"/>
        <scheme val="minor"/>
      </rPr>
      <t>Millennials</t>
    </r>
    <r>
      <rPr>
        <sz val="11"/>
        <color theme="1"/>
        <rFont val="Aptos Narrow"/>
        <family val="2"/>
        <scheme val="minor"/>
      </rPr>
      <t xml:space="preserve"> jika lahir diantara 1981 – 1996</t>
    </r>
  </si>
  <si>
    <t>Scorpio</t>
  </si>
  <si>
    <r>
      <t xml:space="preserve">isi </t>
    </r>
    <r>
      <rPr>
        <b/>
        <sz val="11"/>
        <color theme="1"/>
        <rFont val="Aptos Narrow"/>
        <family val="2"/>
        <scheme val="minor"/>
      </rPr>
      <t>Gen Z</t>
    </r>
    <r>
      <rPr>
        <sz val="11"/>
        <color theme="1"/>
        <rFont val="Aptos Narrow"/>
        <family val="2"/>
        <scheme val="minor"/>
      </rPr>
      <t xml:space="preserve"> jika lahir diantara 1997 – 2012</t>
    </r>
  </si>
  <si>
    <t>Sagitarius</t>
  </si>
  <si>
    <r>
      <t xml:space="preserve">Isi </t>
    </r>
    <r>
      <rPr>
        <b/>
        <sz val="11"/>
        <color theme="1"/>
        <rFont val="Aptos Narrow"/>
        <family val="2"/>
        <scheme val="minor"/>
      </rPr>
      <t>Alpha</t>
    </r>
    <r>
      <rPr>
        <sz val="11"/>
        <color theme="1"/>
        <rFont val="Aptos Narrow"/>
        <family val="2"/>
        <scheme val="minor"/>
      </rPr>
      <t xml:space="preserve"> jika lahir diantara 2013 – sekarang</t>
    </r>
  </si>
  <si>
    <t>isi kapan Tanggal ulang tahun berikutnya jika hari ini adalah 20 Juni 2025</t>
  </si>
  <si>
    <t>berapa hari lagi hingga menuju tanggal ulang tahun berikutnya dari hari ini (C4)</t>
  </si>
  <si>
    <r>
      <t xml:space="preserve">Kirimkan </t>
    </r>
    <r>
      <rPr>
        <b/>
        <i/>
        <sz val="11"/>
        <color theme="4" tint="-0.249977111117893"/>
        <rFont val="Aptos Narrow"/>
        <family val="2"/>
        <scheme val="minor"/>
      </rPr>
      <t>Kode Soal</t>
    </r>
    <r>
      <rPr>
        <i/>
        <sz val="11"/>
        <color theme="4" tint="-0.249977111117893"/>
        <rFont val="Aptos Narrow"/>
        <family val="2"/>
        <scheme val="minor"/>
      </rPr>
      <t xml:space="preserve"> dan </t>
    </r>
    <r>
      <rPr>
        <b/>
        <i/>
        <sz val="11"/>
        <color theme="4" tint="-0.249977111117893"/>
        <rFont val="Aptos Narrow"/>
        <family val="2"/>
        <scheme val="minor"/>
      </rPr>
      <t>Kode Jawaban</t>
    </r>
    <r>
      <rPr>
        <i/>
        <sz val="11"/>
        <color theme="4" tint="-0.249977111117893"/>
        <rFont val="Aptos Narrow"/>
        <family val="2"/>
        <scheme val="minor"/>
      </rPr>
      <t xml:space="preserve"> ke alamat :  </t>
    </r>
    <r>
      <rPr>
        <b/>
        <i/>
        <u/>
        <sz val="11"/>
        <color theme="4" tint="-0.249977111117893"/>
        <rFont val="Aptos Narrow"/>
        <family val="2"/>
        <scheme val="minor"/>
      </rPr>
      <t>https://belajarexcel.id/xl-test/jawaban</t>
    </r>
    <r>
      <rPr>
        <i/>
        <sz val="11"/>
        <color theme="4" tint="-0.249977111117893"/>
        <rFont val="Aptos Narrow"/>
        <family val="2"/>
        <scheme val="minor"/>
      </rPr>
      <t xml:space="preserve">  untuk mengecek hasil benar/salah</t>
    </r>
  </si>
  <si>
    <t>https://belajarexcel.id/xl-test/</t>
  </si>
  <si>
    <t>DEF</t>
  </si>
  <si>
    <t>MF1</t>
  </si>
  <si>
    <t>Random</t>
  </si>
  <si>
    <t>Formula</t>
  </si>
  <si>
    <t>Jml F</t>
  </si>
  <si>
    <t>cek</t>
  </si>
  <si>
    <t>Wajib</t>
  </si>
  <si>
    <t>Hasil F</t>
  </si>
  <si>
    <t>Hasil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</si>
</sst>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[$-409]d\-mmm\-yyyy;@"/>
    <numFmt numFmtId="166" formatCode="[$-421]dd\-mmm"/>
    <numFmt numFmtId="167" formatCode="[$-409]dd\-mmm\-yyyy;@"/>
  </numFmts>
  <fonts count="1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scheme val="minor"/>
    </font>
    <font>
      <i/>
      <sz val="11"/>
      <color theme="4" tint="-0.249977111117893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  <font>
      <b/>
      <i/>
      <u/>
      <sz val="11"/>
      <color theme="4" tint="-0.249977111117893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i/>
      <sz val="9"/>
      <color theme="5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164" fontId="0" fillId="3" borderId="1" xfId="0" applyNumberFormat="1" applyFill="1" applyBorder="1" applyAlignment="1">
      <alignment horizontal="right" vertical="center" indent="1"/>
    </xf>
    <xf numFmtId="0" fontId="0" fillId="4" borderId="1" xfId="0" applyFill="1" applyBorder="1"/>
    <xf numFmtId="0" fontId="3" fillId="5" borderId="0" xfId="0" applyFont="1" applyFill="1" applyAlignment="1">
      <alignment horizontal="right"/>
    </xf>
    <xf numFmtId="165" fontId="0" fillId="5" borderId="0" xfId="0" applyNumberFormat="1" applyFill="1"/>
    <xf numFmtId="0" fontId="0" fillId="4" borderId="1" xfId="0" applyFill="1" applyBorder="1" applyAlignment="1">
      <alignment horizontal="left" indent="1"/>
    </xf>
    <xf numFmtId="166" fontId="0" fillId="3" borderId="1" xfId="0" applyNumberFormat="1" applyFill="1" applyBorder="1" applyAlignment="1">
      <alignment horizontal="left" vertical="center" indent="1"/>
    </xf>
    <xf numFmtId="0" fontId="0" fillId="5" borderId="0" xfId="0" applyFill="1" applyAlignment="1">
      <alignment vertical="center" wrapText="1"/>
    </xf>
    <xf numFmtId="0" fontId="1" fillId="6" borderId="0" xfId="0" applyFont="1" applyFill="1"/>
    <xf numFmtId="0" fontId="0" fillId="4" borderId="1" xfId="0" applyFill="1" applyBorder="1" applyAlignment="1">
      <alignment horizontal="center"/>
    </xf>
    <xf numFmtId="0" fontId="2" fillId="2" borderId="0" xfId="0" applyFont="1" applyFill="1"/>
    <xf numFmtId="0" fontId="0" fillId="0" borderId="0" xfId="0" applyAlignment="1">
      <alignment vertical="center"/>
    </xf>
    <xf numFmtId="0" fontId="5" fillId="0" borderId="0" xfId="2"/>
    <xf numFmtId="0" fontId="6" fillId="0" borderId="0" xfId="0" applyFont="1"/>
    <xf numFmtId="0" fontId="0" fillId="5" borderId="0" xfId="0" applyFill="1" applyAlignment="1">
      <alignment vertical="center"/>
    </xf>
    <xf numFmtId="0" fontId="0" fillId="0" borderId="0" xfId="0" applyNumberFormat="1"/>
    <xf numFmtId="167" fontId="0" fillId="0" borderId="0" xfId="0" applyNumberFormat="1"/>
    <xf numFmtId="0" fontId="9" fillId="7" borderId="0" xfId="0" applyFont="1" applyFill="1" applyAlignment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/>
    <xf numFmtId="164" fontId="0" fillId="8" borderId="0" xfId="0" applyNumberFormat="1" applyFill="1" applyBorder="1" applyAlignment="1">
      <alignment horizontal="right" vertical="center" indent="1"/>
    </xf>
    <xf numFmtId="0" fontId="0" fillId="8" borderId="0" xfId="0" applyFill="1" applyBorder="1" applyAlignment="1">
      <alignment horizontal="left" vertical="center" indent="1"/>
    </xf>
    <xf numFmtId="0" fontId="0" fillId="8" borderId="0" xfId="0" applyFill="1" applyBorder="1" applyAlignment="1">
      <alignment horizontal="left" indent="1"/>
    </xf>
    <xf numFmtId="14" fontId="0" fillId="8" borderId="0" xfId="0" applyNumberFormat="1" applyFill="1" applyBorder="1"/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167" fontId="0" fillId="8" borderId="0" xfId="0" applyNumberFormat="1" applyFill="1" applyBorder="1"/>
    <xf numFmtId="0" fontId="14" fillId="0" borderId="0" xfId="0" applyFont="1"/>
    <xf numFmtId="14" fontId="0" fillId="4" borderId="1" xfId="0" applyNumberFormat="1" applyFill="1" applyBorder="1" applyAlignment="1">
      <alignment wrapText="1"/>
    </xf>
    <xf numFmtId="0" fontId="15" fillId="0" borderId="0" xfId="0" applyFont="1" applyAlignment="1">
      <alignment wrapText="1"/>
    </xf>
    <xf numFmtId="167" fontId="0" fillId="4" borderId="1" xfId="0" applyNumberFormat="1" applyFill="1" applyBorder="1" applyAlignment="1">
      <alignment wrapText="1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Normal 2" xfId="1" xr:uid="{69C2AB04-D031-4A5D-9438-4A63E90AA4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1036320</xdr:colOff>
      <xdr:row>34</xdr:row>
      <xdr:rowOff>121920</xdr:rowOff>
    </xdr:from>
    <xdr:to>
      <xdr:col>9</xdr:col>
      <xdr:colOff>117874</xdr:colOff>
      <xdr:row>37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94066-D84B-49CE-9805-DD850AC99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5600" y="7200900"/>
          <a:ext cx="1504714" cy="533400"/>
        </a:xfrm>
        <a:prstGeom prst="rect">
          <a:avLst/>
        </a:prstGeom>
      </xdr:spPr>
    </xdr:pic>
    <xdr:clientData/>
  </xdr:twoCellAnchor>
  <xdr:twoCellAnchor>
    <xdr:from>
      <xdr:col>2</xdr:col>
      <xdr:colOff>22860</xdr:colOff>
      <xdr:row>38</xdr:row>
      <xdr:rowOff>99060</xdr:rowOff>
    </xdr:from>
    <xdr:to>
      <xdr:col>2</xdr:col>
      <xdr:colOff>1501140</xdr:colOff>
      <xdr:row>39</xdr:row>
      <xdr:rowOff>167640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2F064D-2D58-42FC-AA86-1710B73B3738}"/>
            </a:ext>
          </a:extLst>
        </xdr:cNvPr>
        <xdr:cNvSpPr/>
      </xdr:nvSpPr>
      <xdr:spPr>
        <a:xfrm>
          <a:off x="632460" y="7840980"/>
          <a:ext cx="1478280" cy="25146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1</xdr:col>
      <xdr:colOff>32182</xdr:colOff>
      <xdr:row>18</xdr:row>
      <xdr:rowOff>129541</xdr:rowOff>
    </xdr:from>
    <xdr:to>
      <xdr:col>1</xdr:col>
      <xdr:colOff>1472305</xdr:colOff>
      <xdr:row>21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1AA3CD-E1B0-F0D5-6F3D-AEA061932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782" y="4343401"/>
          <a:ext cx="1440123" cy="541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1A1C-599F-4A92-9196-B3E48C84F0E3}">
  <sheetPr codeName="Sheet1"/>
  <dimension ref="B1:J38"/>
  <sheetViews>
    <sheetView tabSelected="1" topLeftCell="C23" workbookViewId="0">
      <selection activeCell="F2" sqref="F2"/>
    </sheetView>
  </sheetViews>
  <sheetFormatPr defaultRowHeight="14.45"/>
  <cols>
    <col min="2" max="2" width="23.7109375" customWidth="1"/>
    <col min="3" max="3" width="24.5703125" customWidth="1"/>
    <col min="4" max="4" width="21.140625" customWidth="1"/>
    <col min="5" max="5" width="15.5703125" customWidth="1"/>
    <col min="6" max="6" width="14.28515625" customWidth="1"/>
    <col min="7" max="7" width="30.140625" customWidth="1"/>
    <col min="8" max="8" width="16.28515625" customWidth="1"/>
    <col min="9" max="9" width="19.140625" customWidth="1"/>
    <col min="10" max="10" width="21.42578125" customWidth="1"/>
    <col min="11" max="11" width="25.42578125" customWidth="1"/>
    <col min="12" max="12" width="16.7109375" customWidth="1"/>
  </cols>
  <sheetData>
    <row r="1" spans="2:10">
      <c r="B1" s="19" t="s">
        <v>0</v>
      </c>
    </row>
    <row r="2" spans="2:10" ht="23.45" customHeight="1">
      <c r="B2" s="33" t="s">
        <v>1</v>
      </c>
      <c r="C2" s="20" t="s">
        <v>2</v>
      </c>
      <c r="D2" s="34" t="s">
        <v>3</v>
      </c>
      <c r="E2" s="34"/>
      <c r="F2" s="20" t="str">
        <f ca="1">kode_jawaban</f>
        <v>MF1|231-39B1;E11-3731;1C1-1E01;231-37E1;9E1-37B1;931-B3A551;161-A151</v>
      </c>
    </row>
    <row r="4" spans="2:10">
      <c r="B4" s="5" t="s">
        <v>4</v>
      </c>
      <c r="C4" s="6">
        <v>45828</v>
      </c>
    </row>
    <row r="5" spans="2:10">
      <c r="D5" s="21">
        <v>1</v>
      </c>
      <c r="E5" s="21">
        <v>2</v>
      </c>
      <c r="F5" s="21">
        <v>3</v>
      </c>
      <c r="G5" s="21">
        <v>4</v>
      </c>
      <c r="H5" s="21">
        <v>5</v>
      </c>
      <c r="I5" s="21">
        <v>6</v>
      </c>
      <c r="J5" s="21">
        <v>7</v>
      </c>
    </row>
    <row r="6" spans="2:10" ht="33.6" customHeight="1"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 spans="2:10" ht="19.899999999999999" customHeight="1">
      <c r="B7" s="3">
        <v>32885</v>
      </c>
      <c r="C7" s="2" t="s">
        <v>14</v>
      </c>
      <c r="D7" s="7" t="str">
        <f>TEXT(B7,"dddd")</f>
        <v>Jumat</v>
      </c>
      <c r="E7" s="30" t="str">
        <f>LOOKUP(DATE(1900,MONTH(B7),DAY(B7)),$H$21:$H$33,$I$21:$I$33)</f>
        <v>Capricorn</v>
      </c>
      <c r="F7" s="11">
        <f>DATEDIF(B7,$C$4,"Y")</f>
        <v>35</v>
      </c>
      <c r="G7" s="30" t="str">
        <f>C7&amp;", "&amp;TEXT(B7,"dd mmm yyyy")</f>
        <v>Jakarta, 12 Jan 1990</v>
      </c>
      <c r="H7" s="4" t="str">
        <f>IF(YEAR(B7)&gt;2013,"Alpha",IF(YEAR(B7)&gt;1997,"Gen Z",IF(YEAR(B7)&gt;1981,"Millenials",IF(YEAR(B7)&gt;1965,"Gen X","Baby Boomer"))))</f>
        <v>Millenials</v>
      </c>
      <c r="I7" s="32">
        <f>EDATE(B7,DATEDIF(B7,$C$4,"Y")*12+12)</f>
        <v>46034</v>
      </c>
      <c r="J7" s="4">
        <f>DATEDIF($C$4,I7,"D")</f>
        <v>206</v>
      </c>
    </row>
    <row r="8" spans="2:10" ht="19.899999999999999" customHeight="1">
      <c r="B8" s="3">
        <v>41695</v>
      </c>
      <c r="C8" s="2" t="s">
        <v>15</v>
      </c>
      <c r="D8" s="7" t="str">
        <f t="shared" ref="D8:D16" si="0">TEXT(B8,"dddd")</f>
        <v>Selasa</v>
      </c>
      <c r="E8" s="30" t="str">
        <f t="shared" ref="E8:E16" si="1">LOOKUP(DATE(1900,MONTH(B8),DAY(B8)),$H$21:$H$33,$I$21:$I$33)</f>
        <v>Pisces</v>
      </c>
      <c r="F8" s="11">
        <f t="shared" ref="F8:F16" si="2">DATEDIF(B8,$C$4,"Y")</f>
        <v>11</v>
      </c>
      <c r="G8" s="30" t="str">
        <f t="shared" ref="G8:G16" si="3">C8&amp;", "&amp;TEXT(B8,"dd mmm yyyy")</f>
        <v>Surabaya, 25 Feb 2014</v>
      </c>
      <c r="H8" s="4" t="str">
        <f t="shared" ref="H8:H16" si="4">IF(YEAR(B8)&gt;2013,"Alpha",IF(YEAR(B8)&gt;1997,"Gen Z",IF(YEAR(B8)&gt;1981,"Millenials",IF(YEAR(B8)&gt;1965,"Gen X","Baby Boomer"))))</f>
        <v>Alpha</v>
      </c>
      <c r="I8" s="32">
        <f t="shared" ref="I8:I16" si="5">EDATE(B8,DATEDIF(B8,$C$4,"Y")*12+12)</f>
        <v>46078</v>
      </c>
      <c r="J8" s="4">
        <f t="shared" ref="J8:J16" si="6">DATEDIF($C$4,I8,"D")</f>
        <v>250</v>
      </c>
    </row>
    <row r="9" spans="2:10" ht="19.899999999999999" customHeight="1">
      <c r="B9" s="3">
        <v>33678</v>
      </c>
      <c r="C9" s="2" t="s">
        <v>16</v>
      </c>
      <c r="D9" s="7" t="str">
        <f t="shared" si="0"/>
        <v>Minggu</v>
      </c>
      <c r="E9" s="30" t="str">
        <f t="shared" si="1"/>
        <v>Pisces</v>
      </c>
      <c r="F9" s="11">
        <f t="shared" si="2"/>
        <v>33</v>
      </c>
      <c r="G9" s="30" t="str">
        <f t="shared" si="3"/>
        <v>Bandung, 15 Mar 1992</v>
      </c>
      <c r="H9" s="4" t="str">
        <f t="shared" si="4"/>
        <v>Millenials</v>
      </c>
      <c r="I9" s="32">
        <f t="shared" si="5"/>
        <v>46096</v>
      </c>
      <c r="J9" s="4">
        <f t="shared" si="6"/>
        <v>268</v>
      </c>
    </row>
    <row r="10" spans="2:10" ht="19.899999999999999" customHeight="1">
      <c r="B10" s="3">
        <v>36251</v>
      </c>
      <c r="C10" s="2" t="s">
        <v>17</v>
      </c>
      <c r="D10" s="7" t="str">
        <f t="shared" si="0"/>
        <v>Kamis</v>
      </c>
      <c r="E10" s="30" t="str">
        <f t="shared" si="1"/>
        <v>Aries</v>
      </c>
      <c r="F10" s="11">
        <f t="shared" si="2"/>
        <v>26</v>
      </c>
      <c r="G10" s="30" t="str">
        <f t="shared" si="3"/>
        <v>Yogyakarta, 01 Apr 1999</v>
      </c>
      <c r="H10" s="4" t="str">
        <f t="shared" si="4"/>
        <v>Gen Z</v>
      </c>
      <c r="I10" s="32">
        <f t="shared" si="5"/>
        <v>46113</v>
      </c>
      <c r="J10" s="4">
        <f t="shared" si="6"/>
        <v>285</v>
      </c>
    </row>
    <row r="11" spans="2:10" ht="19.899999999999999" customHeight="1">
      <c r="B11" s="3">
        <v>36655</v>
      </c>
      <c r="C11" s="2" t="s">
        <v>18</v>
      </c>
      <c r="D11" s="7" t="str">
        <f t="shared" si="0"/>
        <v>Selasa</v>
      </c>
      <c r="E11" s="30" t="str">
        <f t="shared" si="1"/>
        <v>Taurus</v>
      </c>
      <c r="F11" s="11">
        <f t="shared" si="2"/>
        <v>25</v>
      </c>
      <c r="G11" s="30" t="str">
        <f t="shared" si="3"/>
        <v>Semarang, 09 Mei 2000</v>
      </c>
      <c r="H11" s="4" t="str">
        <f t="shared" si="4"/>
        <v>Gen Z</v>
      </c>
      <c r="I11" s="32">
        <f t="shared" si="5"/>
        <v>46151</v>
      </c>
      <c r="J11" s="4">
        <f t="shared" si="6"/>
        <v>323</v>
      </c>
    </row>
    <row r="12" spans="2:10" ht="19.899999999999999" customHeight="1">
      <c r="B12" s="3">
        <v>34873</v>
      </c>
      <c r="C12" s="2" t="s">
        <v>19</v>
      </c>
      <c r="D12" s="7" t="str">
        <f t="shared" si="0"/>
        <v>Jumat</v>
      </c>
      <c r="E12" s="30" t="str">
        <f t="shared" si="1"/>
        <v>Cancer</v>
      </c>
      <c r="F12" s="11">
        <f t="shared" si="2"/>
        <v>29</v>
      </c>
      <c r="G12" s="30" t="str">
        <f t="shared" si="3"/>
        <v>Medan, 23 Jun 1995</v>
      </c>
      <c r="H12" s="4" t="str">
        <f t="shared" si="4"/>
        <v>Millenials</v>
      </c>
      <c r="I12" s="32">
        <f t="shared" si="5"/>
        <v>45831</v>
      </c>
      <c r="J12" s="4">
        <f t="shared" si="6"/>
        <v>3</v>
      </c>
    </row>
    <row r="13" spans="2:10" ht="19.899999999999999" customHeight="1">
      <c r="B13" s="3">
        <v>32354</v>
      </c>
      <c r="C13" s="2" t="s">
        <v>20</v>
      </c>
      <c r="D13" s="7" t="str">
        <f t="shared" si="0"/>
        <v>Sabtu</v>
      </c>
      <c r="E13" s="30" t="str">
        <f t="shared" si="1"/>
        <v>Leo</v>
      </c>
      <c r="F13" s="11">
        <f t="shared" si="2"/>
        <v>36</v>
      </c>
      <c r="G13" s="30" t="str">
        <f t="shared" si="3"/>
        <v>Denpasar, 30 Jul 1988</v>
      </c>
      <c r="H13" s="4" t="str">
        <f t="shared" si="4"/>
        <v>Millenials</v>
      </c>
      <c r="I13" s="32">
        <f t="shared" si="5"/>
        <v>45868</v>
      </c>
      <c r="J13" s="4">
        <f t="shared" si="6"/>
        <v>40</v>
      </c>
    </row>
    <row r="14" spans="2:10" ht="19.899999999999999" customHeight="1">
      <c r="B14" s="3">
        <v>34195</v>
      </c>
      <c r="C14" s="2" t="s">
        <v>21</v>
      </c>
      <c r="D14" s="7" t="str">
        <f t="shared" si="0"/>
        <v>Sabtu</v>
      </c>
      <c r="E14" s="30" t="str">
        <f t="shared" si="1"/>
        <v>Leo</v>
      </c>
      <c r="F14" s="11">
        <f t="shared" si="2"/>
        <v>31</v>
      </c>
      <c r="G14" s="30" t="str">
        <f t="shared" si="3"/>
        <v>Makassar, 14 Agu 1993</v>
      </c>
      <c r="H14" s="4" t="str">
        <f t="shared" si="4"/>
        <v>Millenials</v>
      </c>
      <c r="I14" s="32">
        <f t="shared" si="5"/>
        <v>45883</v>
      </c>
      <c r="J14" s="4">
        <f t="shared" si="6"/>
        <v>55</v>
      </c>
    </row>
    <row r="15" spans="2:10" ht="19.899999999999999" customHeight="1">
      <c r="B15" s="3">
        <v>35674</v>
      </c>
      <c r="C15" s="2" t="s">
        <v>22</v>
      </c>
      <c r="D15" s="7" t="str">
        <f t="shared" si="0"/>
        <v>Senin</v>
      </c>
      <c r="E15" s="30" t="str">
        <f t="shared" si="1"/>
        <v>Virgo</v>
      </c>
      <c r="F15" s="11">
        <f t="shared" si="2"/>
        <v>27</v>
      </c>
      <c r="G15" s="30" t="str">
        <f t="shared" si="3"/>
        <v>Palembang, 01 Sep 1997</v>
      </c>
      <c r="H15" s="4" t="str">
        <f t="shared" si="4"/>
        <v>Millenials</v>
      </c>
      <c r="I15" s="32">
        <f t="shared" si="5"/>
        <v>45901</v>
      </c>
      <c r="J15" s="4">
        <f t="shared" si="6"/>
        <v>73</v>
      </c>
    </row>
    <row r="16" spans="2:10" ht="19.899999999999999" customHeight="1">
      <c r="B16" s="3">
        <v>29513</v>
      </c>
      <c r="C16" s="2" t="s">
        <v>23</v>
      </c>
      <c r="D16" s="7" t="str">
        <f t="shared" si="0"/>
        <v>Minggu</v>
      </c>
      <c r="E16" s="30" t="str">
        <f t="shared" si="1"/>
        <v>Libra</v>
      </c>
      <c r="F16" s="11">
        <f t="shared" si="2"/>
        <v>44</v>
      </c>
      <c r="G16" s="30" t="str">
        <f t="shared" si="3"/>
        <v>Balikpapan, 19 Okt 1980</v>
      </c>
      <c r="H16" s="4" t="str">
        <f t="shared" si="4"/>
        <v>Gen X</v>
      </c>
      <c r="I16" s="32">
        <f t="shared" si="5"/>
        <v>45949</v>
      </c>
      <c r="J16" s="4">
        <f t="shared" si="6"/>
        <v>121</v>
      </c>
    </row>
    <row r="17" spans="2:10" ht="4.9000000000000004" customHeight="1">
      <c r="B17" s="22"/>
      <c r="C17" s="23"/>
      <c r="D17" s="24"/>
      <c r="E17" s="25"/>
      <c r="F17" s="26"/>
      <c r="G17" s="27"/>
      <c r="H17" s="27"/>
      <c r="I17" s="28"/>
      <c r="J17" s="27"/>
    </row>
    <row r="19" spans="2:10">
      <c r="H19" t="s">
        <v>24</v>
      </c>
    </row>
    <row r="20" spans="2:10">
      <c r="C20" s="12" t="s">
        <v>25</v>
      </c>
      <c r="G20" t="str">
        <f>MID(B7,5,4)</f>
        <v>5</v>
      </c>
      <c r="H20" s="1" t="s">
        <v>26</v>
      </c>
      <c r="I20" s="1" t="s">
        <v>8</v>
      </c>
    </row>
    <row r="21" spans="2:10">
      <c r="B21" s="29">
        <v>1</v>
      </c>
      <c r="C21" t="s">
        <v>27</v>
      </c>
      <c r="H21" s="8">
        <v>1</v>
      </c>
      <c r="I21" s="2" t="s">
        <v>28</v>
      </c>
    </row>
    <row r="22" spans="2:10">
      <c r="B22" s="29">
        <v>2</v>
      </c>
      <c r="C22" t="s">
        <v>29</v>
      </c>
      <c r="H22" s="8">
        <v>20</v>
      </c>
      <c r="I22" s="2" t="s">
        <v>30</v>
      </c>
    </row>
    <row r="23" spans="2:10">
      <c r="B23" s="29">
        <v>3</v>
      </c>
      <c r="C23" t="s">
        <v>31</v>
      </c>
      <c r="H23" s="8">
        <v>50</v>
      </c>
      <c r="I23" s="2" t="s">
        <v>32</v>
      </c>
    </row>
    <row r="24" spans="2:10">
      <c r="B24" s="29">
        <v>4</v>
      </c>
      <c r="C24" t="s">
        <v>33</v>
      </c>
      <c r="H24" s="8">
        <v>81</v>
      </c>
      <c r="I24" s="2" t="s">
        <v>34</v>
      </c>
    </row>
    <row r="25" spans="2:10" ht="29.25">
      <c r="B25" s="29"/>
      <c r="C25" s="31" t="s">
        <v>35</v>
      </c>
      <c r="H25" s="8">
        <v>111</v>
      </c>
      <c r="I25" s="2" t="s">
        <v>36</v>
      </c>
    </row>
    <row r="26" spans="2:10">
      <c r="B26" s="29">
        <v>5</v>
      </c>
      <c r="C26" t="s">
        <v>37</v>
      </c>
      <c r="H26" s="8">
        <v>142</v>
      </c>
      <c r="I26" s="2" t="s">
        <v>38</v>
      </c>
    </row>
    <row r="27" spans="2:10">
      <c r="B27" s="29"/>
      <c r="H27" s="8">
        <v>173</v>
      </c>
      <c r="I27" s="2" t="s">
        <v>39</v>
      </c>
    </row>
    <row r="28" spans="2:10">
      <c r="B28" s="29"/>
      <c r="C28" s="10" t="s">
        <v>11</v>
      </c>
      <c r="D28" s="10"/>
      <c r="H28" s="8">
        <v>205</v>
      </c>
      <c r="I28" s="2" t="s">
        <v>40</v>
      </c>
    </row>
    <row r="29" spans="2:10">
      <c r="B29" s="29"/>
      <c r="C29" s="16" t="s">
        <v>41</v>
      </c>
      <c r="D29" s="9"/>
      <c r="H29" s="8">
        <v>236</v>
      </c>
      <c r="I29" s="2" t="s">
        <v>42</v>
      </c>
    </row>
    <row r="30" spans="2:10">
      <c r="B30" s="29"/>
      <c r="C30" s="16" t="s">
        <v>43</v>
      </c>
      <c r="D30" s="9"/>
      <c r="H30" s="8">
        <v>267</v>
      </c>
      <c r="I30" s="2" t="s">
        <v>44</v>
      </c>
    </row>
    <row r="31" spans="2:10">
      <c r="B31" s="29"/>
      <c r="C31" s="16" t="s">
        <v>45</v>
      </c>
      <c r="D31" s="9"/>
      <c r="H31" s="8">
        <v>297</v>
      </c>
      <c r="I31" s="2" t="s">
        <v>46</v>
      </c>
    </row>
    <row r="32" spans="2:10">
      <c r="B32" s="29"/>
      <c r="C32" s="16" t="s">
        <v>47</v>
      </c>
      <c r="D32" s="9"/>
      <c r="H32" s="8">
        <v>327</v>
      </c>
      <c r="I32" s="2" t="s">
        <v>48</v>
      </c>
    </row>
    <row r="33" spans="2:9">
      <c r="B33" s="29"/>
      <c r="C33" s="16" t="s">
        <v>49</v>
      </c>
      <c r="D33" s="9"/>
      <c r="H33" s="8">
        <v>357</v>
      </c>
      <c r="I33" s="2" t="s">
        <v>28</v>
      </c>
    </row>
    <row r="34" spans="2:9">
      <c r="B34" s="29"/>
    </row>
    <row r="35" spans="2:9">
      <c r="B35" s="29">
        <v>6</v>
      </c>
      <c r="C35" s="13" t="s">
        <v>50</v>
      </c>
    </row>
    <row r="36" spans="2:9">
      <c r="B36" s="29">
        <v>7</v>
      </c>
      <c r="C36" s="13" t="s">
        <v>51</v>
      </c>
    </row>
    <row r="38" spans="2:9">
      <c r="C38" s="15" t="s">
        <v>52</v>
      </c>
      <c r="I38" s="14" t="s">
        <v>53</v>
      </c>
    </row>
  </sheetData>
  <mergeCells count="1">
    <mergeCell ref="D2:E2"/>
  </mergeCells>
  <hyperlinks>
    <hyperlink ref="I38" r:id="rId1" xr:uid="{DCC042CC-7008-4631-B70E-47A5DCF02D42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AB41-E46F-4034-8337-EDC286C4EAE1}">
  <sheetPr codeName="Sheet2"/>
  <dimension ref="A1:W30"/>
  <sheetViews>
    <sheetView workbookViewId="0">
      <selection activeCell="N18" sqref="N18"/>
    </sheetView>
  </sheetViews>
  <sheetFormatPr defaultRowHeight="14.45"/>
  <cols>
    <col min="2" max="2" width="8.28515625" customWidth="1"/>
    <col min="3" max="3" width="7.85546875" customWidth="1"/>
    <col min="4" max="4" width="16.140625" customWidth="1"/>
    <col min="5" max="5" width="21.5703125" customWidth="1"/>
    <col min="6" max="6" width="9.5703125" customWidth="1"/>
    <col min="7" max="7" width="24.42578125" customWidth="1"/>
    <col min="8" max="8" width="16.28515625" customWidth="1"/>
    <col min="9" max="9" width="13" customWidth="1"/>
    <col min="10" max="10" width="12.28515625" customWidth="1"/>
    <col min="14" max="14" width="20.28515625" customWidth="1"/>
    <col min="17" max="17" width="70.5703125" customWidth="1"/>
    <col min="18" max="18" width="48.140625" bestFit="1" customWidth="1"/>
  </cols>
  <sheetData>
    <row r="1" spans="1:23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</row>
    <row r="2" spans="1:23">
      <c r="A2" t="s">
        <v>54</v>
      </c>
      <c r="B2">
        <v>1</v>
      </c>
      <c r="C2">
        <v>1</v>
      </c>
      <c r="D2" s="17" t="str">
        <f>'XL-Test'!D7</f>
        <v>Jumat</v>
      </c>
      <c r="E2" s="17" t="str">
        <f>'XL-Test'!E7</f>
        <v>Capricorn</v>
      </c>
      <c r="F2" s="17">
        <f>'XL-Test'!F7</f>
        <v>35</v>
      </c>
      <c r="G2" s="17" t="str">
        <f>'XL-Test'!G7</f>
        <v>Jakarta, 12 Jan 1990</v>
      </c>
      <c r="H2" s="17" t="str">
        <f>'XL-Test'!H7</f>
        <v>Millenials</v>
      </c>
      <c r="I2" s="18">
        <f>'XL-Test'!I7</f>
        <v>46034</v>
      </c>
      <c r="J2" s="17">
        <f>'XL-Test'!J7</f>
        <v>206</v>
      </c>
      <c r="O2">
        <v>1</v>
      </c>
      <c r="Q2" t="str">
        <f ca="1">_xlfn.FORMULATEXT('XL-Test'!D7)</f>
        <v>=TEXT(B7;"dddd")</v>
      </c>
      <c r="R2" t="str">
        <f ca="1">_xlfn.FORMULATEXT('XL-Test'!E7)</f>
        <v>=LOOKUP(DATE(1900;MONTH(B7);DAY(B7));$H$21:$H$33;$I$21:$I$33)</v>
      </c>
      <c r="S2" t="str">
        <f ca="1">_xlfn.FORMULATEXT('XL-Test'!F7)</f>
        <v>=DATEDIF(B7;$C$4;"Y")</v>
      </c>
      <c r="T2" t="str">
        <f ca="1">_xlfn.FORMULATEXT('XL-Test'!G7)</f>
        <v>=C7&amp;", "&amp;TEXT(B7;"dd mmm yyyy")</v>
      </c>
      <c r="U2" t="str">
        <f ca="1">_xlfn.FORMULATEXT('XL-Test'!H7)</f>
        <v>=IF(YEAR(B7)&gt;2013;"Alpha";IF(YEAR(B7)&gt;1997;"Gen Z";IF(YEAR(B7)&gt;1981;"Millenials";IF(YEAR(B7)&gt;1965;"Gen X";"Baby Boomer"))))</v>
      </c>
      <c r="V2" t="str">
        <f ca="1">_xlfn.FORMULATEXT('XL-Test'!I7)</f>
        <v>=EDATE(B7;DATEDIF(B7;$C$4;"Y")*12+12)</v>
      </c>
      <c r="W2" t="str">
        <f ca="1">_xlfn.FORMULATEXT('XL-Test'!J7)</f>
        <v>=DATEDIF($C$4;I7;"D")</v>
      </c>
    </row>
    <row r="3" spans="1:23">
      <c r="A3" t="s">
        <v>55</v>
      </c>
      <c r="C3" s="17">
        <v>2</v>
      </c>
      <c r="D3" s="17" t="str">
        <f>'XL-Test'!D10</f>
        <v>Kamis</v>
      </c>
      <c r="E3" s="17" t="str">
        <f>'XL-Test'!E10</f>
        <v>Aries</v>
      </c>
      <c r="F3" s="17">
        <f>'XL-Test'!F10</f>
        <v>26</v>
      </c>
      <c r="G3" s="17" t="str">
        <f>'XL-Test'!G10</f>
        <v>Yogyakarta, 01 Apr 1999</v>
      </c>
      <c r="H3" s="17" t="str">
        <f>'XL-Test'!H10</f>
        <v>Gen Z</v>
      </c>
      <c r="I3" s="18">
        <f>'XL-Test'!I10</f>
        <v>46113</v>
      </c>
      <c r="J3" s="17">
        <f>'XL-Test'!J10</f>
        <v>285</v>
      </c>
      <c r="O3">
        <v>2</v>
      </c>
      <c r="Q3" t="str">
        <f ca="1">_xlfn.FORMULATEXT('XL-Test'!E7)</f>
        <v>=LOOKUP(DATE(1900;MONTH(B7);DAY(B7));$H$21:$H$33;$I$21:$I$33)</v>
      </c>
    </row>
    <row r="4" spans="1:23">
      <c r="C4">
        <v>3</v>
      </c>
      <c r="D4" s="17" t="str">
        <f>'XL-Test'!D13</f>
        <v>Sabtu</v>
      </c>
      <c r="E4" s="17" t="str">
        <f>'XL-Test'!E13</f>
        <v>Leo</v>
      </c>
      <c r="F4" s="17">
        <f>'XL-Test'!F13</f>
        <v>36</v>
      </c>
      <c r="G4" s="17" t="str">
        <f>'XL-Test'!G13</f>
        <v>Denpasar, 30 Jul 1988</v>
      </c>
      <c r="H4" s="17" t="str">
        <f>'XL-Test'!H13</f>
        <v>Millenials</v>
      </c>
      <c r="I4" s="18">
        <f>'XL-Test'!I13</f>
        <v>45868</v>
      </c>
      <c r="J4" s="17">
        <f>'XL-Test'!J13</f>
        <v>40</v>
      </c>
      <c r="O4">
        <v>3</v>
      </c>
      <c r="Q4" t="str">
        <f ca="1">_xlfn.FORMULATEXT('XL-Test'!F7)</f>
        <v>=DATEDIF(B7;$C$4;"Y")</v>
      </c>
    </row>
    <row r="5" spans="1:23">
      <c r="C5" s="17">
        <v>4</v>
      </c>
      <c r="D5" s="17" t="str">
        <f>'XL-Test'!D16</f>
        <v>Minggu</v>
      </c>
      <c r="E5" s="17" t="str">
        <f>'XL-Test'!E16</f>
        <v>Libra</v>
      </c>
      <c r="F5" s="17">
        <f>'XL-Test'!F16</f>
        <v>44</v>
      </c>
      <c r="G5" s="17" t="str">
        <f>'XL-Test'!G16</f>
        <v>Balikpapan, 19 Okt 1980</v>
      </c>
      <c r="H5" s="17" t="str">
        <f>'XL-Test'!H16</f>
        <v>Gen X</v>
      </c>
      <c r="I5" s="18">
        <f>'XL-Test'!I16</f>
        <v>45949</v>
      </c>
      <c r="J5" s="17">
        <f>'XL-Test'!J16</f>
        <v>121</v>
      </c>
      <c r="O5">
        <v>4</v>
      </c>
      <c r="Q5" t="str">
        <f ca="1">_xlfn.FORMULATEXT('XL-Test'!G7)</f>
        <v>=C7&amp;", "&amp;TEXT(B7;"dd mmm yyyy")</v>
      </c>
    </row>
    <row r="6" spans="1:23">
      <c r="C6">
        <v>5</v>
      </c>
      <c r="D6" s="17" t="str">
        <f>'XL-Test'!D14</f>
        <v>Sabtu</v>
      </c>
      <c r="E6" s="17" t="str">
        <f>'XL-Test'!E14</f>
        <v>Leo</v>
      </c>
      <c r="F6" s="17">
        <f>'XL-Test'!F14</f>
        <v>31</v>
      </c>
      <c r="G6" s="17" t="str">
        <f>'XL-Test'!G14</f>
        <v>Makassar, 14 Agu 1993</v>
      </c>
      <c r="H6" s="17" t="str">
        <f>'XL-Test'!H14</f>
        <v>Millenials</v>
      </c>
      <c r="I6" s="18">
        <f>'XL-Test'!I14</f>
        <v>45883</v>
      </c>
      <c r="J6" s="17">
        <f>'XL-Test'!J14</f>
        <v>55</v>
      </c>
      <c r="O6">
        <v>5</v>
      </c>
      <c r="Q6" t="str">
        <f ca="1">_xlfn.FORMULATEXT('XL-Test'!H7)</f>
        <v>=IF(YEAR(B7)&gt;2013;"Alpha";IF(YEAR(B7)&gt;1997;"Gen Z";IF(YEAR(B7)&gt;1981;"Millenials";IF(YEAR(B7)&gt;1965;"Gen X";"Baby Boomer"))))</v>
      </c>
    </row>
    <row r="7" spans="1:23">
      <c r="C7" s="17">
        <v>6</v>
      </c>
      <c r="D7" s="17" t="str">
        <f>'XL-Test'!D8</f>
        <v>Selasa</v>
      </c>
      <c r="E7" s="17" t="str">
        <f>'XL-Test'!E8</f>
        <v>Pisces</v>
      </c>
      <c r="F7" s="17">
        <f>'XL-Test'!F8</f>
        <v>11</v>
      </c>
      <c r="G7" s="17" t="str">
        <f>'XL-Test'!G8</f>
        <v>Surabaya, 25 Feb 2014</v>
      </c>
      <c r="H7" s="17" t="str">
        <f>'XL-Test'!H8</f>
        <v>Alpha</v>
      </c>
      <c r="I7" s="18">
        <f>'XL-Test'!I8</f>
        <v>46078</v>
      </c>
      <c r="J7" s="17">
        <f>'XL-Test'!J8</f>
        <v>250</v>
      </c>
      <c r="O7">
        <v>6</v>
      </c>
      <c r="Q7" t="str">
        <f ca="1">_xlfn.FORMULATEXT('XL-Test'!I7)</f>
        <v>=EDATE(B7;DATEDIF(B7;$C$4;"Y")*12+12)</v>
      </c>
    </row>
    <row r="8" spans="1:23">
      <c r="F8">
        <f>SUM('XL-Test'!F7:F16)</f>
        <v>297</v>
      </c>
      <c r="I8">
        <f>SUM('XL-Test'!I7:I16)</f>
        <v>459904</v>
      </c>
      <c r="J8">
        <f>SUM('XL-Test'!J7:J16)</f>
        <v>1624</v>
      </c>
      <c r="O8">
        <v>7</v>
      </c>
      <c r="Q8" t="str">
        <f ca="1">_xlfn.FORMULATEXT('XL-Test'!J7)</f>
        <v>=DATEDIF($C$4;I7;"D")</v>
      </c>
    </row>
    <row r="9" spans="1:23">
      <c r="D9">
        <f>CODE(LEFT(D2))+CODE(LEFT(D3))+CODE(LEFT(D4))+CODE(LEFT(D5))+CODE(LEFT(D6))+CODE(LEFT(D7))+CODE(RIGHT(D2))+CODE(RIGHT(D4))+CODE(RIGHT(D6))+CODE(MID(D4,3,1))</f>
        <v>923</v>
      </c>
      <c r="E9">
        <f>CODE(LEFT(E2))+CODE(LEFT(E3))+CODE(LEFT(E4))+CODE(LEFT(E5))+CODE(LEFT(E6))+CODE(LEFT(E7))+CODE(RIGHT(E2))+CODE(RIGHT(E4))+CODE(RIGHT(E6))+CODE(MID(E4,3,1))</f>
        <v>883</v>
      </c>
      <c r="F9">
        <f>SUM(F2:F8)</f>
        <v>480</v>
      </c>
      <c r="G9">
        <f>CODE(LEFT(G2))+CODE(LEFT(G3))+CODE(LEFT(G4))+CODE(LEFT(G5))+CODE(LEFT(G6))+CODE(LEFT(G7))+CODE(RIGHT(G2))+CODE(RIGHT(G4))+CODE(RIGHT(G6))+CODE(MID(G2,12,1))+CODE(MID(G3,17,1))+CODE(MID(G2,12,1))+CODE(MID(G4,14,1))+CODE(MID(G6,13,1))</f>
        <v>894</v>
      </c>
      <c r="H9">
        <f>CODE(LEFT(H2))+CODE(LEFT(H3))+CODE(LEFT(H4))+CODE(LEFT(H5))+CODE(LEFT(H6))+CODE(LEFT(H7))+CODE(RIGHT(H2))+CODE(RIGHT(H4))+CODE(RIGHT(H6))+CODE(MID(H4,3,1))</f>
        <v>891</v>
      </c>
      <c r="I9">
        <f>SUM(I2:I8)</f>
        <v>735829</v>
      </c>
      <c r="J9">
        <f>SUM(J2:J8)</f>
        <v>2581</v>
      </c>
    </row>
    <row r="10" spans="1:23">
      <c r="D10" t="str">
        <f>IFERROR(DEC2HEX(IF(OR(D2="",D2=0),D11,D9)),"EEEE")</f>
        <v>39B</v>
      </c>
      <c r="E10" t="str">
        <f t="shared" ref="E10:J10" si="0">IFERROR(DEC2HEX(IF(OR(E2="",E2=0),E11,E9)),"EEEE")</f>
        <v>373</v>
      </c>
      <c r="F10" t="str">
        <f t="shared" si="0"/>
        <v>1E0</v>
      </c>
      <c r="G10" t="str">
        <f t="shared" si="0"/>
        <v>37E</v>
      </c>
      <c r="H10" t="str">
        <f t="shared" si="0"/>
        <v>37B</v>
      </c>
      <c r="I10" t="str">
        <f t="shared" si="0"/>
        <v>B3A55</v>
      </c>
      <c r="J10" t="str">
        <f t="shared" si="0"/>
        <v>A15</v>
      </c>
      <c r="Q10">
        <v>1</v>
      </c>
      <c r="R10">
        <v>2</v>
      </c>
      <c r="S10">
        <v>3</v>
      </c>
      <c r="T10">
        <v>4</v>
      </c>
      <c r="U10">
        <v>5</v>
      </c>
      <c r="V10">
        <v>6</v>
      </c>
      <c r="W10">
        <v>7</v>
      </c>
    </row>
    <row r="11" spans="1:23">
      <c r="C11" t="s">
        <v>56</v>
      </c>
      <c r="D11">
        <v>9113</v>
      </c>
      <c r="E11">
        <v>3607</v>
      </c>
      <c r="F11">
        <v>7186</v>
      </c>
      <c r="G11">
        <v>8977</v>
      </c>
      <c r="H11">
        <v>2538</v>
      </c>
      <c r="I11">
        <v>2357</v>
      </c>
      <c r="J11">
        <v>5636</v>
      </c>
    </row>
    <row r="13" spans="1:23">
      <c r="C13" t="b">
        <v>1</v>
      </c>
      <c r="D13" t="str">
        <f>LEFT(DEC2HEX(D11),2)</f>
        <v>23</v>
      </c>
      <c r="E13" t="str">
        <f t="shared" ref="E13:J13" si="1">LEFT(DEC2HEX(E11),2)</f>
        <v>E1</v>
      </c>
      <c r="F13" t="str">
        <f t="shared" si="1"/>
        <v>1C</v>
      </c>
      <c r="G13" t="str">
        <f t="shared" si="1"/>
        <v>23</v>
      </c>
      <c r="H13" t="str">
        <f t="shared" si="1"/>
        <v>9E</v>
      </c>
      <c r="I13" t="str">
        <f t="shared" si="1"/>
        <v>93</v>
      </c>
      <c r="J13" t="str">
        <f t="shared" si="1"/>
        <v>16</v>
      </c>
    </row>
    <row r="14" spans="1:23">
      <c r="C14" t="b">
        <v>0</v>
      </c>
      <c r="D14" t="str">
        <f>RIGHT(DEC2HEX(D11),2)</f>
        <v>99</v>
      </c>
      <c r="E14" t="str">
        <f t="shared" ref="E14:J14" si="2">RIGHT(DEC2HEX(E11),2)</f>
        <v>17</v>
      </c>
      <c r="F14" t="str">
        <f t="shared" si="2"/>
        <v>12</v>
      </c>
      <c r="G14" t="str">
        <f t="shared" si="2"/>
        <v>11</v>
      </c>
      <c r="H14" t="str">
        <f t="shared" si="2"/>
        <v>EA</v>
      </c>
      <c r="I14" t="str">
        <f t="shared" si="2"/>
        <v>35</v>
      </c>
      <c r="J14" t="str">
        <f t="shared" si="2"/>
        <v>04</v>
      </c>
    </row>
    <row r="16" spans="1:23">
      <c r="C16" t="s">
        <v>57</v>
      </c>
      <c r="D16" t="b">
        <f ca="1">ISNUMBER(FIND("EXT",Q2))</f>
        <v>1</v>
      </c>
      <c r="E16" t="b">
        <f ca="1">ISNUMBER(FIND("OKU",R2))</f>
        <v>1</v>
      </c>
      <c r="F16" t="b">
        <f ca="1">ISNUMBER(FIND("ATED",S2))</f>
        <v>1</v>
      </c>
      <c r="G16" t="b">
        <f t="shared" ref="E16:J16" ca="1" si="3">ISNUMBER(FIND("EXT",T2))</f>
        <v>1</v>
      </c>
      <c r="H16" t="b">
        <f ca="1">OR(ISNUMBER(FIND("IF",U2)),ISNUMBER(FIND("OKU",U2)),ISNUMBER(FIND("WI",U2)))</f>
        <v>1</v>
      </c>
      <c r="I16" t="b">
        <f ca="1">ISNUMBER(FIND("EDA",V2))</f>
        <v>1</v>
      </c>
      <c r="J16" t="b">
        <f ca="1">OR(ISNUMBER(FIND("-",W2)),ISNUMBER(FIND("C",W2)))</f>
        <v>1</v>
      </c>
    </row>
    <row r="19" spans="3:10">
      <c r="C19" t="s">
        <v>58</v>
      </c>
      <c r="D19">
        <f ca="1">IFERROR(LEN(Q2)-LEN(SUBSTITUTE(Q2,"(","")),99)</f>
        <v>1</v>
      </c>
      <c r="E19">
        <f t="shared" ref="E19:J19" ca="1" si="4">IFERROR(LEN(R2)-LEN(SUBSTITUTE(R2,"(","")),99)</f>
        <v>4</v>
      </c>
      <c r="F19">
        <f t="shared" ca="1" si="4"/>
        <v>1</v>
      </c>
      <c r="G19">
        <f t="shared" ca="1" si="4"/>
        <v>1</v>
      </c>
      <c r="H19">
        <f t="shared" ca="1" si="4"/>
        <v>8</v>
      </c>
      <c r="I19">
        <f t="shared" ca="1" si="4"/>
        <v>2</v>
      </c>
      <c r="J19">
        <f t="shared" ca="1" si="4"/>
        <v>1</v>
      </c>
    </row>
    <row r="20" spans="3:10">
      <c r="D20">
        <v>1</v>
      </c>
      <c r="E20">
        <v>4</v>
      </c>
      <c r="F20">
        <v>1</v>
      </c>
      <c r="G20">
        <v>1</v>
      </c>
      <c r="H20">
        <v>8</v>
      </c>
      <c r="I20">
        <v>2</v>
      </c>
      <c r="J20">
        <v>1</v>
      </c>
    </row>
    <row r="22" spans="3:10">
      <c r="C22" t="s">
        <v>59</v>
      </c>
      <c r="D22">
        <f ca="1">IF(D19&lt;=D20,1,0)</f>
        <v>1</v>
      </c>
      <c r="E22">
        <f t="shared" ref="E22:J22" ca="1" si="5">IF(E19&lt;=E20,1,0)</f>
        <v>1</v>
      </c>
      <c r="F22">
        <f t="shared" ca="1" si="5"/>
        <v>1</v>
      </c>
      <c r="G22">
        <f t="shared" ca="1" si="5"/>
        <v>1</v>
      </c>
      <c r="H22">
        <f t="shared" ca="1" si="5"/>
        <v>1</v>
      </c>
      <c r="I22">
        <f t="shared" ca="1" si="5"/>
        <v>1</v>
      </c>
      <c r="J22">
        <f t="shared" ca="1" si="5"/>
        <v>1</v>
      </c>
    </row>
    <row r="24" spans="3:10">
      <c r="C24" t="s">
        <v>60</v>
      </c>
      <c r="D24">
        <f ca="1">AND(ISNUMBER(FIND("=",Q2)),ISNUMBER(FIND("(",Q2)))+0</f>
        <v>1</v>
      </c>
      <c r="E24">
        <f t="shared" ref="D24:J24" ca="1" si="6">AND(ISNUMBER(FIND("=",R2)),ISNUMBER(FIND("(",R2)))+0</f>
        <v>1</v>
      </c>
      <c r="F24">
        <f t="shared" ca="1" si="6"/>
        <v>1</v>
      </c>
      <c r="G24">
        <f t="shared" ca="1" si="6"/>
        <v>1</v>
      </c>
      <c r="H24">
        <f t="shared" ca="1" si="6"/>
        <v>1</v>
      </c>
      <c r="I24">
        <f t="shared" ca="1" si="6"/>
        <v>1</v>
      </c>
      <c r="J24">
        <f ca="1">AND(ISNUMBER(FIND("=",W2)),ISNUMBER(FIND("4",W2)))+0</f>
        <v>1</v>
      </c>
    </row>
    <row r="26" spans="3:10">
      <c r="C26" t="s">
        <v>61</v>
      </c>
      <c r="D26" t="str">
        <f ca="1">IF(D16,D13,D14)&amp;D22</f>
        <v>231</v>
      </c>
      <c r="E26" t="str">
        <f t="shared" ref="E26:J26" ca="1" si="7">IF(E16,E13,E14)&amp;E22</f>
        <v>E11</v>
      </c>
      <c r="F26" t="str">
        <f t="shared" ca="1" si="7"/>
        <v>1C1</v>
      </c>
      <c r="G26" t="str">
        <f t="shared" ca="1" si="7"/>
        <v>231</v>
      </c>
      <c r="H26" t="str">
        <f t="shared" ca="1" si="7"/>
        <v>9E1</v>
      </c>
      <c r="I26" t="str">
        <f t="shared" ca="1" si="7"/>
        <v>931</v>
      </c>
      <c r="J26" t="str">
        <f t="shared" ca="1" si="7"/>
        <v>161</v>
      </c>
    </row>
    <row r="27" spans="3:10">
      <c r="C27" t="s">
        <v>62</v>
      </c>
      <c r="D27" t="str">
        <f ca="1">D10&amp;D24</f>
        <v>39B1</v>
      </c>
      <c r="E27" t="str">
        <f t="shared" ref="E27:J27" ca="1" si="8">E10&amp;E24</f>
        <v>3731</v>
      </c>
      <c r="F27" t="str">
        <f t="shared" ca="1" si="8"/>
        <v>1E01</v>
      </c>
      <c r="G27" t="str">
        <f t="shared" ca="1" si="8"/>
        <v>37E1</v>
      </c>
      <c r="H27" t="str">
        <f t="shared" ca="1" si="8"/>
        <v>37B1</v>
      </c>
      <c r="I27" t="str">
        <f t="shared" ca="1" si="8"/>
        <v>B3A551</v>
      </c>
      <c r="J27" t="str">
        <f t="shared" ca="1" si="8"/>
        <v>A151</v>
      </c>
    </row>
    <row r="28" spans="3:10">
      <c r="D28" t="str">
        <f ca="1">D26&amp;"-"&amp;D27&amp;";"</f>
        <v>231-39B1;</v>
      </c>
      <c r="E28" t="str">
        <f t="shared" ref="E28:J28" ca="1" si="9">E26&amp;"-"&amp;E27&amp;";"</f>
        <v>E11-3731;</v>
      </c>
      <c r="F28" t="str">
        <f t="shared" ca="1" si="9"/>
        <v>1C1-1E01;</v>
      </c>
      <c r="G28" t="str">
        <f t="shared" ca="1" si="9"/>
        <v>231-37E1;</v>
      </c>
      <c r="H28" t="str">
        <f t="shared" ca="1" si="9"/>
        <v>9E1-37B1;</v>
      </c>
      <c r="I28" t="str">
        <f t="shared" ca="1" si="9"/>
        <v>931-B3A551;</v>
      </c>
      <c r="J28" t="str">
        <f ca="1">J26&amp;"-"&amp;J27</f>
        <v>161-A151</v>
      </c>
    </row>
    <row r="30" spans="3:10">
      <c r="D30" t="str">
        <f ca="1">A3&amp;"|"&amp;D28&amp;E28&amp;F28&amp;G28&amp;H28&amp;I28&amp;J28</f>
        <v>MF1|231-39B1;E11-3731;1C1-1E01;231-37E1;9E1-37B1;931-B3A551;161-A151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2025-06-23T12:08:16Z</dcterms:created>
  <dcterms:modified xsi:type="dcterms:W3CDTF">2026-03-19T08:53:34Z</dcterms:modified>
  <cp:category/>
  <cp:contentStatus/>
</cp:coreProperties>
</file>