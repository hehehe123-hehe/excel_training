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16" documentId="13_ncr:1_{861312F1-3195-4C1A-B19D-F2F454C4931E}" xr6:coauthVersionLast="47" xr6:coauthVersionMax="47" xr10:uidLastSave="{B7359F40-5776-4FAF-8BDD-F98553E453CB}"/>
  <workbookProtection workbookAlgorithmName="SHA-512" workbookHashValue="QpU6rJzQwiHqmbuAKVK8m8CMq4UWY2kTv0f31AWL4+90dsCxQZhUrNr0oSeMsYiWxXNDHS3Wt09mcmuceq5GEg==" workbookSaltValue="iMhCml90KGFmCqeOb5dXWw==" workbookSpinCount="100000" lockStructure="1"/>
  <bookViews>
    <workbookView xWindow="-120" yWindow="-120" windowWidth="20730" windowHeight="11760" xr2:uid="{8EB26997-FCAF-4140-BA44-FD02AABED811}"/>
  </bookViews>
  <sheets>
    <sheet name="XL-Test" sheetId="1" r:id="rId1"/>
    <sheet name="About" sheetId="4" r:id="rId2"/>
    <sheet name="DF" sheetId="2" state="veryHidden" r:id="rId3"/>
  </sheets>
  <definedNames>
    <definedName name="amb" localSheetId="2">DF!$C$38</definedName>
    <definedName name="Kode_jawaban">DF!$C$39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50" i="1"/>
  <c r="H51" i="1"/>
  <c r="I51" i="1"/>
  <c r="J51" i="1" a="1"/>
  <c r="H52" i="1"/>
  <c r="I52" i="1"/>
  <c r="J52" i="1" a="1"/>
  <c r="J52" i="1"/>
  <c r="H53" i="1"/>
  <c r="I53" i="1"/>
  <c r="J53" i="1" a="1"/>
  <c r="H54" i="1"/>
  <c r="I54" i="1"/>
  <c r="J54" i="1" a="1"/>
  <c r="H55" i="1"/>
  <c r="I55" i="1"/>
  <c r="J55" i="1" a="1"/>
  <c r="L55" i="1"/>
  <c r="M55" i="1"/>
  <c r="N55" i="1"/>
  <c r="H56" i="1"/>
  <c r="I56" i="1"/>
  <c r="J56" i="1" a="1"/>
  <c r="L56" i="1"/>
  <c r="M56" i="1"/>
  <c r="H57" i="1"/>
  <c r="I57" i="1"/>
  <c r="J57" i="1" a="1"/>
  <c r="H58" i="1"/>
  <c r="I58" i="1"/>
  <c r="J58" i="1" a="1"/>
  <c r="H59" i="1"/>
  <c r="I59" i="1"/>
  <c r="J59" i="1" a="1"/>
  <c r="H60" i="1"/>
  <c r="I60" i="1"/>
  <c r="J60" i="1" a="1"/>
  <c r="H61" i="1"/>
  <c r="I61" i="1"/>
  <c r="J61" i="1" a="1"/>
  <c r="H62" i="1"/>
  <c r="I62" i="1"/>
  <c r="J62" i="1" a="1"/>
  <c r="H63" i="1"/>
  <c r="I63" i="1"/>
  <c r="J63" i="1" a="1"/>
  <c r="L63" i="1"/>
  <c r="M63" i="1"/>
  <c r="H64" i="1"/>
  <c r="I64" i="1"/>
  <c r="J64" i="1" a="1"/>
  <c r="J50" i="1" a="1"/>
  <c r="I50" i="1"/>
  <c r="H50" i="1"/>
  <c r="E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I7" i="2"/>
  <c r="G15" i="2"/>
  <c r="G8" i="2"/>
  <c r="G7" i="2"/>
  <c r="F15" i="2"/>
  <c r="F8" i="2"/>
  <c r="F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21" i="2"/>
  <c r="E21" i="2"/>
  <c r="F21" i="2"/>
  <c r="G21" i="2"/>
  <c r="H21" i="2"/>
  <c r="I21" i="2"/>
  <c r="C21" i="2"/>
  <c r="D42" i="2"/>
  <c r="E42" i="2"/>
  <c r="F42" i="2"/>
  <c r="G42" i="2"/>
  <c r="H42" i="2"/>
  <c r="I42" i="2"/>
  <c r="D43" i="2"/>
  <c r="E43" i="2"/>
  <c r="F43" i="2"/>
  <c r="G43" i="2"/>
  <c r="H43" i="2"/>
  <c r="I43" i="2"/>
  <c r="D44" i="2"/>
  <c r="E44" i="2"/>
  <c r="F44" i="2"/>
  <c r="G44" i="2"/>
  <c r="H44" i="2"/>
  <c r="I44" i="2"/>
  <c r="D45" i="2"/>
  <c r="E45" i="2"/>
  <c r="F45" i="2"/>
  <c r="G45" i="2"/>
  <c r="H45" i="2"/>
  <c r="I45" i="2"/>
  <c r="D46" i="2"/>
  <c r="E46" i="2"/>
  <c r="F46" i="2"/>
  <c r="G46" i="2"/>
  <c r="H46" i="2"/>
  <c r="I46" i="2"/>
  <c r="D47" i="2"/>
  <c r="E47" i="2"/>
  <c r="F47" i="2"/>
  <c r="G47" i="2"/>
  <c r="H47" i="2"/>
  <c r="I47" i="2"/>
  <c r="D48" i="2"/>
  <c r="E48" i="2"/>
  <c r="F48" i="2"/>
  <c r="G48" i="2"/>
  <c r="H48" i="2"/>
  <c r="I48" i="2"/>
  <c r="D49" i="2"/>
  <c r="E49" i="2"/>
  <c r="F49" i="2"/>
  <c r="G49" i="2"/>
  <c r="H49" i="2"/>
  <c r="I49" i="2"/>
  <c r="D50" i="2"/>
  <c r="E50" i="2"/>
  <c r="F50" i="2"/>
  <c r="G50" i="2"/>
  <c r="H50" i="2"/>
  <c r="I50" i="2"/>
  <c r="D51" i="2"/>
  <c r="E51" i="2"/>
  <c r="F51" i="2"/>
  <c r="G51" i="2"/>
  <c r="H51" i="2"/>
  <c r="I51" i="2"/>
  <c r="D52" i="2"/>
  <c r="E52" i="2"/>
  <c r="F52" i="2"/>
  <c r="G52" i="2"/>
  <c r="H52" i="2"/>
  <c r="I52" i="2"/>
  <c r="D53" i="2"/>
  <c r="E53" i="2"/>
  <c r="F53" i="2"/>
  <c r="G53" i="2"/>
  <c r="H53" i="2"/>
  <c r="I53" i="2"/>
  <c r="D54" i="2"/>
  <c r="E54" i="2"/>
  <c r="F54" i="2"/>
  <c r="G54" i="2"/>
  <c r="H54" i="2"/>
  <c r="I54" i="2"/>
  <c r="D55" i="2"/>
  <c r="E55" i="2"/>
  <c r="F55" i="2"/>
  <c r="G55" i="2"/>
  <c r="H55" i="2"/>
  <c r="I55" i="2"/>
  <c r="D56" i="2"/>
  <c r="E56" i="2"/>
  <c r="F56" i="2"/>
  <c r="G56" i="2"/>
  <c r="H56" i="2"/>
  <c r="I56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42" i="2"/>
  <c r="O2" i="2"/>
  <c r="P2" i="2"/>
  <c r="Q2" i="2"/>
  <c r="F29" i="2" s="1"/>
  <c r="R2" i="2"/>
  <c r="S2" i="2"/>
  <c r="T2" i="2"/>
  <c r="I30" i="2" s="1"/>
  <c r="I32" i="2" s="1"/>
  <c r="N2" i="2"/>
  <c r="C30" i="2" s="1"/>
  <c r="C32" i="2" s="1"/>
  <c r="H58" i="2" l="1"/>
  <c r="F58" i="2"/>
  <c r="D58" i="2"/>
  <c r="J53" i="1"/>
  <c r="E5" i="2" s="1"/>
  <c r="J54" i="1"/>
  <c r="E6" i="2" s="1"/>
  <c r="J55" i="1"/>
  <c r="E7" i="2" s="1"/>
  <c r="J62" i="1"/>
  <c r="E14" i="2" s="1"/>
  <c r="J64" i="1"/>
  <c r="E16" i="2" s="1"/>
  <c r="H7" i="2"/>
  <c r="H8" i="2"/>
  <c r="H15" i="2"/>
  <c r="J51" i="1"/>
  <c r="E3" i="2" s="1"/>
  <c r="J56" i="1"/>
  <c r="E8" i="2" s="1"/>
  <c r="N56" i="1"/>
  <c r="I8" i="2" s="1"/>
  <c r="J58" i="1"/>
  <c r="E10" i="2" s="1"/>
  <c r="J59" i="1"/>
  <c r="E11" i="2" s="1"/>
  <c r="J60" i="1"/>
  <c r="E12" i="2" s="1"/>
  <c r="J63" i="1"/>
  <c r="E15" i="2" s="1"/>
  <c r="J57" i="1"/>
  <c r="E9" i="2" s="1"/>
  <c r="J61" i="1"/>
  <c r="E13" i="2" s="1"/>
  <c r="N63" i="1"/>
  <c r="I15" i="2" s="1"/>
  <c r="M50" i="1"/>
  <c r="H2" i="2" s="1"/>
  <c r="J50" i="1"/>
  <c r="E2" i="2" s="1"/>
  <c r="D2" i="2"/>
  <c r="C2" i="2"/>
  <c r="C18" i="2"/>
  <c r="D18" i="2"/>
  <c r="D29" i="2"/>
  <c r="D30" i="2"/>
  <c r="D32" i="2" s="1"/>
  <c r="E29" i="2"/>
  <c r="E30" i="2"/>
  <c r="E32" i="2" s="1"/>
  <c r="F30" i="2"/>
  <c r="F32" i="2" s="1"/>
  <c r="G29" i="2"/>
  <c r="G30" i="2"/>
  <c r="G32" i="2" s="1"/>
  <c r="H29" i="2"/>
  <c r="H30" i="2"/>
  <c r="H32" i="2" s="1"/>
  <c r="C29" i="2"/>
  <c r="E24" i="2"/>
  <c r="E18" i="2"/>
  <c r="E59" i="2"/>
  <c r="E58" i="2"/>
  <c r="G59" i="2"/>
  <c r="G58" i="2"/>
  <c r="I58" i="2"/>
  <c r="I59" i="2"/>
  <c r="C59" i="2"/>
  <c r="C58" i="2"/>
  <c r="I25" i="2"/>
  <c r="I29" i="2"/>
  <c r="I22" i="2"/>
  <c r="H22" i="2"/>
  <c r="G22" i="2"/>
  <c r="F22" i="2"/>
  <c r="E22" i="2"/>
  <c r="D22" i="2"/>
  <c r="C22" i="2"/>
  <c r="N8" i="2"/>
  <c r="N7" i="2"/>
  <c r="N6" i="2"/>
  <c r="N5" i="2"/>
  <c r="N4" i="2"/>
  <c r="N3" i="2"/>
  <c r="H59" i="2"/>
  <c r="H61" i="2" s="1"/>
  <c r="D59" i="2"/>
  <c r="D61" i="2" s="1"/>
  <c r="F59" i="2"/>
  <c r="F61" i="2" s="1"/>
  <c r="C24" i="2"/>
  <c r="C25" i="2"/>
  <c r="D25" i="2"/>
  <c r="E25" i="2"/>
  <c r="F25" i="2"/>
  <c r="G25" i="2"/>
  <c r="H25" i="2"/>
  <c r="F4" i="2" l="1"/>
  <c r="L52" i="1"/>
  <c r="M52" i="1"/>
  <c r="H4" i="2" s="1"/>
  <c r="F10" i="2"/>
  <c r="M58" i="1"/>
  <c r="H10" i="2" s="1"/>
  <c r="L58" i="1"/>
  <c r="F12" i="2"/>
  <c r="M60" i="1"/>
  <c r="H12" i="2" s="1"/>
  <c r="L60" i="1"/>
  <c r="M53" i="1"/>
  <c r="H5" i="2" s="1"/>
  <c r="F5" i="2"/>
  <c r="L53" i="1"/>
  <c r="M54" i="1"/>
  <c r="H6" i="2" s="1"/>
  <c r="F6" i="2"/>
  <c r="L54" i="1"/>
  <c r="F13" i="2"/>
  <c r="M61" i="1"/>
  <c r="H13" i="2" s="1"/>
  <c r="L61" i="1"/>
  <c r="F3" i="2"/>
  <c r="M51" i="1"/>
  <c r="H3" i="2" s="1"/>
  <c r="L51" i="1"/>
  <c r="F9" i="2"/>
  <c r="M57" i="1"/>
  <c r="H9" i="2" s="1"/>
  <c r="L57" i="1"/>
  <c r="F11" i="2"/>
  <c r="M59" i="1"/>
  <c r="H11" i="2" s="1"/>
  <c r="L59" i="1"/>
  <c r="F14" i="2"/>
  <c r="M62" i="1"/>
  <c r="H14" i="2" s="1"/>
  <c r="L62" i="1"/>
  <c r="F16" i="2"/>
  <c r="M64" i="1"/>
  <c r="H16" i="2" s="1"/>
  <c r="L64" i="1"/>
  <c r="H18" i="2"/>
  <c r="H24" i="2"/>
  <c r="F2" i="2"/>
  <c r="L50" i="1"/>
  <c r="G61" i="2"/>
  <c r="E61" i="2"/>
  <c r="E27" i="2" s="1"/>
  <c r="E34" i="2" s="1"/>
  <c r="C61" i="2"/>
  <c r="C27" i="2" s="1"/>
  <c r="C34" i="2" s="1"/>
  <c r="I61" i="2"/>
  <c r="D24" i="2"/>
  <c r="G4" i="2" l="1"/>
  <c r="N52" i="1"/>
  <c r="I4" i="2" s="1"/>
  <c r="N58" i="1"/>
  <c r="I10" i="2" s="1"/>
  <c r="G10" i="2"/>
  <c r="G12" i="2"/>
  <c r="N60" i="1"/>
  <c r="I12" i="2" s="1"/>
  <c r="N53" i="1"/>
  <c r="I5" i="2" s="1"/>
  <c r="G5" i="2"/>
  <c r="G6" i="2"/>
  <c r="N54" i="1"/>
  <c r="I6" i="2" s="1"/>
  <c r="G13" i="2"/>
  <c r="N61" i="1"/>
  <c r="I13" i="2" s="1"/>
  <c r="G3" i="2"/>
  <c r="N51" i="1"/>
  <c r="I3" i="2" s="1"/>
  <c r="G9" i="2"/>
  <c r="N57" i="1"/>
  <c r="I9" i="2" s="1"/>
  <c r="G11" i="2"/>
  <c r="N59" i="1"/>
  <c r="I11" i="2" s="1"/>
  <c r="G14" i="2"/>
  <c r="N62" i="1"/>
  <c r="I14" i="2" s="1"/>
  <c r="G16" i="2"/>
  <c r="N64" i="1"/>
  <c r="I16" i="2" s="1"/>
  <c r="H27" i="2"/>
  <c r="H34" i="2" s="1"/>
  <c r="G2" i="2"/>
  <c r="N50" i="1"/>
  <c r="I2" i="2" s="1"/>
  <c r="F18" i="2"/>
  <c r="F24" i="2"/>
  <c r="F27" i="2" s="1"/>
  <c r="F34" i="2" s="1"/>
  <c r="G18" i="2"/>
  <c r="G24" i="2"/>
  <c r="G27" i="2" s="1"/>
  <c r="G34" i="2" s="1"/>
  <c r="D27" i="2"/>
  <c r="D34" i="2" s="1"/>
  <c r="I24" i="2" l="1"/>
  <c r="I18" i="2"/>
  <c r="I27" i="2" l="1"/>
  <c r="I34" i="2" s="1"/>
  <c r="C36" i="2"/>
  <c r="C38" i="2" s="1"/>
  <c r="C39" i="2" s="1" a="1"/>
  <c r="C39" i="2" s="1"/>
  <c r="G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<sst xmlns="http://schemas.openxmlformats.org/spreadsheetml/2006/main" count="126" uniqueCount="93">
  <si>
    <t>KODE SOAL</t>
  </si>
  <si>
    <t>SBEM013</t>
  </si>
  <si>
    <t>KODE JAWABAN</t>
  </si>
  <si>
    <t>Intruksi</t>
  </si>
  <si>
    <r>
      <rPr>
        <b/>
        <sz val="12"/>
        <color rgb="FF00B050"/>
        <rFont val="Aptos Narrow"/>
        <family val="2"/>
        <scheme val="minor"/>
      </rPr>
      <t>Medium Level</t>
    </r>
    <r>
      <rPr>
        <b/>
        <sz val="12"/>
        <color theme="1"/>
        <rFont val="Aptos Narrow"/>
        <family val="2"/>
        <scheme val="minor"/>
      </rPr>
      <t xml:space="preserve"> - Latihan Soal Excel Kiriman Se-Indonesia</t>
    </r>
  </si>
  <si>
    <t>Soal  :</t>
  </si>
  <si>
    <r>
      <t>Gunakan Fungsi Excel (</t>
    </r>
    <r>
      <rPr>
        <i/>
        <sz val="11"/>
        <color rgb="FF0070C0"/>
        <rFont val="Aptos Narrow"/>
        <family val="2"/>
        <scheme val="minor"/>
      </rPr>
      <t>Function</t>
    </r>
    <r>
      <rPr>
        <i/>
        <sz val="11"/>
        <color theme="2" tint="-0.499984740745262"/>
        <rFont val="Aptos Narrow"/>
        <family val="2"/>
        <scheme val="minor"/>
      </rPr>
      <t>) untuk menyelsaikan kasus dibawah ini, tidak disarankan menggunakan cara manual</t>
    </r>
  </si>
  <si>
    <t>Selesaikan kasus tanpa menggunakan kolom bantuan, mengubah Table atau Menambah Table Baru!!, Gunakan Table seperti yang sudah di sediakan soal!!</t>
  </si>
  <si>
    <r>
      <t xml:space="preserve">Isi kolom  </t>
    </r>
    <r>
      <rPr>
        <b/>
        <sz val="11"/>
        <color rgb="FF00B050"/>
        <rFont val="Aptos Narrow"/>
        <family val="2"/>
        <scheme val="minor"/>
      </rPr>
      <t>Berat Expedisi</t>
    </r>
    <r>
      <rPr>
        <b/>
        <sz val="11"/>
        <color theme="6" tint="-0.249977111117893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dari berat asli, jika berat lebih dari 0.3 kg maka dibulatkan menjadi 1 kg dan Minimal Berat Pengiriman adalah 1 Kg</t>
    </r>
  </si>
  <si>
    <t>Contoh : 1.2 kg dihitung 1 kg, 1.6 kg dihitung 2 kg, dan 0.2 kg dihitung 1 kg</t>
  </si>
  <si>
    <r>
      <t>Berapa</t>
    </r>
    <r>
      <rPr>
        <b/>
        <sz val="11"/>
        <color theme="6" tint="0.3999755851924192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Durasi Hari</t>
    </r>
    <r>
      <rPr>
        <sz val="11"/>
        <color theme="1"/>
        <rFont val="Aptos Narrow"/>
        <family val="2"/>
        <scheme val="minor"/>
      </rPr>
      <t xml:space="preserve"> pengiriman, dihitung dari tanggal kirim hingga tanggal sampai (perhatikan Zona Waktunya)</t>
    </r>
  </si>
  <si>
    <r>
      <t xml:space="preserve">Berapa sisa </t>
    </r>
    <r>
      <rPr>
        <b/>
        <sz val="11"/>
        <color rgb="FF00B050"/>
        <rFont val="Aptos Narrow"/>
        <family val="2"/>
        <scheme val="minor"/>
      </rPr>
      <t>Durasi menit</t>
    </r>
    <r>
      <rPr>
        <sz val="11"/>
        <color theme="1"/>
        <rFont val="Aptos Narrow"/>
        <family val="2"/>
        <scheme val="minor"/>
      </rPr>
      <t xml:space="preserve"> pengiriman, dihitung dari tanggal kirim hingga tanggal sampai (perhatikan Zona Waktunya) sisa dari durasi hari</t>
    </r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</si>
  <si>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Jenis Pembayaran</t>
    </r>
    <r>
      <rPr>
        <sz val="11"/>
        <color theme="1"/>
        <rFont val="Aptos Narrow"/>
        <family val="2"/>
        <scheme val="minor"/>
      </rPr>
      <t xml:space="preserve"> yang diambil dari bagian akhir Nomor Resi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</si>
  <si>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Ongkos Kirim</t>
    </r>
    <r>
      <rPr>
        <sz val="11"/>
        <color theme="1"/>
        <rFont val="Aptos Narrow"/>
        <family val="2"/>
        <scheme val="minor"/>
      </rPr>
      <t xml:space="preserve"> dengan ketentuan Table dibawah ini,  untuk memudahkan gunakan Formula </t>
    </r>
    <r>
      <rPr>
        <b/>
        <sz val="11"/>
        <color rgb="FF00B050"/>
        <rFont val="Aptos Narrow"/>
        <family val="2"/>
        <scheme val="minor"/>
      </rPr>
      <t>HLOOKUP/XLOOKUP</t>
    </r>
    <r>
      <rPr>
        <sz val="11"/>
        <color theme="1"/>
        <rFont val="Aptos Narrow"/>
        <family val="2"/>
        <scheme val="minor"/>
      </rPr>
      <t xml:space="preserve"> dari baris 1 agar pada saat table Update Promo ikut berubah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</si>
  <si>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Promo Ongkir</t>
    </r>
    <r>
      <rPr>
        <sz val="11"/>
        <color theme="1"/>
        <rFont val="Aptos Narrow"/>
        <family val="2"/>
        <scheme val="minor"/>
      </rPr>
      <t xml:space="preserve"> dengan ketentuan Table dibawah ini,  untuk memudahkan gunakan Formula </t>
    </r>
    <r>
      <rPr>
        <b/>
        <sz val="11"/>
        <color rgb="FF00B050"/>
        <rFont val="Aptos Narrow"/>
        <family val="2"/>
        <scheme val="minor"/>
      </rPr>
      <t>HLOOKUP/XLOOKUP</t>
    </r>
    <r>
      <rPr>
        <sz val="11"/>
        <color theme="1"/>
        <rFont val="Aptos Narrow"/>
        <family val="2"/>
        <scheme val="minor"/>
      </rPr>
      <t xml:space="preserve"> dari baris 2 agar pada saat table Update Promo ikut berubah</t>
    </r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</si>
  <si>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Total Ongkos kirim</t>
    </r>
    <r>
      <rPr>
        <sz val="11"/>
        <color theme="1"/>
        <rFont val="Aptos Narrow"/>
        <family val="2"/>
        <scheme val="minor"/>
      </rPr>
      <t xml:space="preserve"> yang didapat dari Ongkos Kirim dikali Berat Expedisi (kg) kemudian dikurangi Promo Ongkir</t>
    </r>
  </si>
  <si>
    <t>Jangan diubah</t>
  </si>
  <si>
    <t>COD/CASH</t>
  </si>
  <si>
    <t>TRANSFER/QRIS</t>
  </si>
  <si>
    <t>DANA/OVO</t>
  </si>
  <si>
    <t>Ongkos Kirim</t>
  </si>
  <si>
    <t>Promo Ongkir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</si>
  <si>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</si>
  <si>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</si>
  <si>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No</t>
  </si>
  <si>
    <t>Berat Asli (Kg)</t>
  </si>
  <si>
    <t>Nomor Resi</t>
  </si>
  <si>
    <t>Tanggal Kirim</t>
  </si>
  <si>
    <t>Zona</t>
  </si>
  <si>
    <t>Tanggal Sampai</t>
  </si>
  <si>
    <t>Berat Expedisi (Kg)</t>
  </si>
  <si>
    <t>Durasi Hari</t>
  </si>
  <si>
    <t>Durasi Menit</t>
  </si>
  <si>
    <t>Jenis Pembayaran</t>
  </si>
  <si>
    <t>Total Ongkos Kirim</t>
  </si>
  <si>
    <t>Contoh</t>
  </si>
  <si>
    <t>JT483920175634-QRIS</t>
  </si>
  <si>
    <t>WIB</t>
  </si>
  <si>
    <t>QRIS</t>
  </si>
  <si>
    <t>JT762915034821-COD</t>
  </si>
  <si>
    <t>WIT</t>
  </si>
  <si>
    <t>JT915348672104-TRANSFER</t>
  </si>
  <si>
    <t>WITA</t>
  </si>
  <si>
    <t>JT604829173560-DANA</t>
  </si>
  <si>
    <t>JT738204915672-CASH</t>
  </si>
  <si>
    <t>JT192837465908-OVO</t>
  </si>
  <si>
    <t>JT564738291045-TRANSFER</t>
  </si>
  <si>
    <t>JT820174635920-COD</t>
  </si>
  <si>
    <t>JT309485716203-QRIS</t>
  </si>
  <si>
    <t>JT675920384716-DANA</t>
  </si>
  <si>
    <t>JT483716205948-TRANSFER</t>
  </si>
  <si>
    <t>JT920384756120-QRIS</t>
  </si>
  <si>
    <t>JT561029384756-OVO</t>
  </si>
  <si>
    <t>JT708192635401-TRANSFER</t>
  </si>
  <si>
    <t>JT394857102846-QRIS</t>
  </si>
  <si>
    <t>JT650192837465-CASH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</si>
  <si>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</si>
  <si>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</si>
  <si>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</si>
  <si>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</si>
  <si>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</si>
  <si>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</si>
  <si>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</si>
  <si>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</si>
  <si>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</si>
  <si>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</si>
  <si>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</si>
  <si>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</si>
  <si>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</si>
  <si>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</si>
  <si>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</si>
  <si>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</si>
  <si>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</si>
  <si>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</si>
  <si>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</si>
  <si>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</si>
  <si>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</si>
  <si>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</si>
  <si>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</si>
  <si>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</si>
  <si>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</si>
  <si>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</si>
  <si>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MM2</t>
  </si>
  <si>
    <t>Rand</t>
  </si>
  <si>
    <t>Cek Kosong</t>
  </si>
  <si>
    <t>Cek Fungsi</t>
  </si>
  <si>
    <t>Cek Rumus</t>
  </si>
  <si>
    <t>Cek banyak</t>
  </si>
  <si>
    <t>am</t>
  </si>
  <si>
    <t>b</t>
  </si>
  <si>
    <t>Cek Tarik</t>
  </si>
  <si>
    <t>Normal</t>
  </si>
  <si>
    <t>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</si>
</sst>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-"/>
    <numFmt numFmtId="166" formatCode="dd\ mmm\ yyyy\ hh:mm:ss"/>
    <numFmt numFmtId="167" formatCode="_(* #,##0_);_(* \(#,##0\);_(* &quot;-&quot;??_);_(@_)"/>
    <numFmt numFmtId="168" formatCode="0.0000000000000"/>
  </numFmts>
  <fonts count="3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Roboto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6" tint="-0.249977111117893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0"/>
      <color theme="0"/>
      <name val="ROBOTECH GP"/>
      <family val="2"/>
    </font>
    <font>
      <i/>
      <sz val="11"/>
      <color theme="2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thin">
        <color theme="0"/>
      </left>
      <right style="thin">
        <color theme="0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medium">
        <color theme="8" tint="0.39994506668294322"/>
      </right>
      <top style="medium">
        <color theme="8" tint="0.39994506668294322"/>
      </top>
      <bottom style="thin">
        <color theme="0"/>
      </bottom>
      <diagonal/>
    </border>
    <border>
      <left style="medium">
        <color theme="8" tint="0.399945066682943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0.39994506668294322"/>
      </right>
      <top style="thin">
        <color theme="0"/>
      </top>
      <bottom style="thin">
        <color theme="0"/>
      </bottom>
      <diagonal/>
    </border>
    <border>
      <left style="medium">
        <color theme="8" tint="0.39994506668294322"/>
      </left>
      <right style="thin">
        <color theme="0"/>
      </right>
      <top style="thin">
        <color theme="0"/>
      </top>
      <bottom style="medium">
        <color theme="8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8" tint="0.39994506668294322"/>
      </bottom>
      <diagonal/>
    </border>
    <border>
      <left style="thin">
        <color theme="0"/>
      </left>
      <right style="medium">
        <color theme="8" tint="0.39994506668294322"/>
      </right>
      <top style="thin">
        <color theme="0"/>
      </top>
      <bottom style="medium">
        <color theme="8" tint="0.39994506668294322"/>
      </bottom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0.39994506668294322"/>
      </left>
      <right style="thin">
        <color theme="0"/>
      </right>
      <top style="medium">
        <color theme="8" tint="0.39994506668294322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rgb="FF00B050"/>
      </bottom>
      <diagonal/>
    </border>
  </borders>
  <cellStyleXfs count="5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1"/>
    </xf>
    <xf numFmtId="0" fontId="2" fillId="0" borderId="0" xfId="0" applyFont="1"/>
    <xf numFmtId="0" fontId="0" fillId="4" borderId="1" xfId="0" applyFill="1" applyBorder="1" applyAlignment="1">
      <alignment horizontal="left" indent="1"/>
    </xf>
    <xf numFmtId="0" fontId="5" fillId="0" borderId="1" xfId="1" applyBorder="1"/>
    <xf numFmtId="0" fontId="5" fillId="0" borderId="0" xfId="1"/>
    <xf numFmtId="0" fontId="9" fillId="0" borderId="1" xfId="1" applyFont="1" applyBorder="1" applyAlignment="1">
      <alignment horizontal="left"/>
    </xf>
    <xf numFmtId="0" fontId="9" fillId="0" borderId="1" xfId="1" applyFont="1" applyBorder="1"/>
    <xf numFmtId="0" fontId="12" fillId="0" borderId="0" xfId="0" applyFont="1"/>
    <xf numFmtId="165" fontId="14" fillId="6" borderId="3" xfId="0" applyNumberFormat="1" applyFont="1" applyFill="1" applyBorder="1" applyAlignment="1">
      <alignment horizontal="left" vertical="center"/>
    </xf>
    <xf numFmtId="165" fontId="15" fillId="6" borderId="0" xfId="0" applyNumberFormat="1" applyFont="1" applyFill="1" applyAlignment="1">
      <alignment horizontal="left" vertical="center"/>
    </xf>
    <xf numFmtId="0" fontId="17" fillId="7" borderId="4" xfId="0" applyFont="1" applyFill="1" applyBorder="1" applyAlignment="1">
      <alignment vertical="top" wrapText="1"/>
    </xf>
    <xf numFmtId="0" fontId="17" fillId="7" borderId="0" xfId="0" applyFont="1" applyFill="1" applyAlignment="1">
      <alignment vertical="top" wrapText="1"/>
    </xf>
    <xf numFmtId="0" fontId="0" fillId="7" borderId="0" xfId="0" applyFill="1"/>
    <xf numFmtId="0" fontId="17" fillId="7" borderId="5" xfId="0" applyFont="1" applyFill="1" applyBorder="1" applyAlignment="1">
      <alignment vertical="top" wrapText="1"/>
    </xf>
    <xf numFmtId="0" fontId="3" fillId="7" borderId="0" xfId="0" applyFont="1" applyFill="1"/>
    <xf numFmtId="0" fontId="17" fillId="0" borderId="0" xfId="0" applyFont="1" applyAlignment="1">
      <alignment vertical="top" wrapText="1"/>
    </xf>
    <xf numFmtId="165" fontId="14" fillId="6" borderId="0" xfId="0" applyNumberFormat="1" applyFont="1" applyFill="1" applyAlignment="1">
      <alignment horizontal="center" vertical="center"/>
    </xf>
    <xf numFmtId="0" fontId="18" fillId="7" borderId="0" xfId="0" applyFont="1" applyFill="1" applyAlignment="1">
      <alignment vertical="top"/>
    </xf>
    <xf numFmtId="0" fontId="20" fillId="7" borderId="0" xfId="0" applyFont="1" applyFill="1" applyAlignment="1">
      <alignment horizontal="right"/>
    </xf>
    <xf numFmtId="0" fontId="21" fillId="7" borderId="0" xfId="0" applyFont="1" applyFill="1"/>
    <xf numFmtId="0" fontId="0" fillId="3" borderId="1" xfId="0" applyFill="1" applyBorder="1" applyAlignment="1">
      <alignment horizontal="center" vertical="center"/>
    </xf>
    <xf numFmtId="0" fontId="18" fillId="7" borderId="0" xfId="0" applyFont="1" applyFill="1" applyAlignment="1">
      <alignment horizontal="left" vertical="top"/>
    </xf>
    <xf numFmtId="0" fontId="2" fillId="7" borderId="0" xfId="0" applyFont="1" applyFill="1"/>
    <xf numFmtId="0" fontId="5" fillId="0" borderId="6" xfId="1" applyBorder="1"/>
    <xf numFmtId="0" fontId="5" fillId="0" borderId="7" xfId="1" applyBorder="1"/>
    <xf numFmtId="0" fontId="24" fillId="0" borderId="6" xfId="0" applyFont="1" applyBorder="1" applyAlignment="1">
      <alignment horizontal="left" vertical="top" wrapText="1"/>
    </xf>
    <xf numFmtId="0" fontId="26" fillId="0" borderId="6" xfId="0" applyFont="1" applyBorder="1" applyAlignment="1">
      <alignment horizontal="left" vertical="top" wrapText="1"/>
    </xf>
    <xf numFmtId="0" fontId="6" fillId="0" borderId="1" xfId="2" applyBorder="1" applyAlignment="1">
      <alignment vertical="top"/>
    </xf>
    <xf numFmtId="0" fontId="10" fillId="0" borderId="0" xfId="1" applyFont="1"/>
    <xf numFmtId="0" fontId="27" fillId="0" borderId="0" xfId="1" applyFont="1"/>
    <xf numFmtId="0" fontId="6" fillId="0" borderId="0" xfId="3"/>
    <xf numFmtId="0" fontId="27" fillId="0" borderId="0" xfId="1" quotePrefix="1" applyFont="1"/>
    <xf numFmtId="0" fontId="10" fillId="3" borderId="1" xfId="0" applyFont="1" applyFill="1" applyBorder="1" applyAlignment="1">
      <alignment horizontal="left" vertical="center" indent="1"/>
    </xf>
    <xf numFmtId="0" fontId="0" fillId="8" borderId="0" xfId="0" applyFill="1"/>
    <xf numFmtId="0" fontId="0" fillId="6" borderId="0" xfId="0" applyFill="1"/>
    <xf numFmtId="0" fontId="21" fillId="6" borderId="0" xfId="0" applyFont="1" applyFill="1"/>
    <xf numFmtId="0" fontId="11" fillId="6" borderId="0" xfId="0" applyFont="1" applyFill="1"/>
    <xf numFmtId="0" fontId="29" fillId="6" borderId="0" xfId="0" applyFont="1" applyFill="1"/>
    <xf numFmtId="0" fontId="30" fillId="6" borderId="0" xfId="3" applyFont="1" applyFill="1"/>
    <xf numFmtId="165" fontId="22" fillId="6" borderId="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166" fontId="0" fillId="3" borderId="2" xfId="0" applyNumberFormat="1" applyFill="1" applyBorder="1" applyAlignment="1">
      <alignment horizontal="left" vertical="center" indent="1"/>
    </xf>
    <xf numFmtId="166" fontId="0" fillId="8" borderId="0" xfId="0" applyNumberFormat="1" applyFill="1"/>
    <xf numFmtId="0" fontId="0" fillId="4" borderId="1" xfId="0" applyFill="1" applyBorder="1" applyAlignment="1">
      <alignment horizontal="center"/>
    </xf>
    <xf numFmtId="167" fontId="0" fillId="10" borderId="1" xfId="4" applyNumberFormat="1" applyFont="1" applyFill="1" applyBorder="1"/>
    <xf numFmtId="167" fontId="17" fillId="10" borderId="1" xfId="4" applyNumberFormat="1" applyFont="1" applyFill="1" applyBorder="1" applyAlignment="1">
      <alignment vertical="top" wrapText="1"/>
    </xf>
    <xf numFmtId="0" fontId="32" fillId="7" borderId="0" xfId="0" applyFont="1" applyFill="1"/>
    <xf numFmtId="167" fontId="0" fillId="4" borderId="1" xfId="4" applyNumberFormat="1" applyFont="1" applyFill="1" applyBorder="1" applyAlignment="1">
      <alignment horizontal="right" indent="1"/>
    </xf>
    <xf numFmtId="167" fontId="0" fillId="8" borderId="0" xfId="4" applyNumberFormat="1" applyFont="1" applyFill="1" applyAlignment="1">
      <alignment horizontal="right"/>
    </xf>
    <xf numFmtId="0" fontId="0" fillId="9" borderId="10" xfId="0" applyFill="1" applyBorder="1" applyAlignment="1">
      <alignment horizontal="center"/>
    </xf>
    <xf numFmtId="0" fontId="17" fillId="9" borderId="10" xfId="0" applyFont="1" applyFill="1" applyBorder="1" applyAlignment="1">
      <alignment horizontal="center" vertical="top" wrapText="1"/>
    </xf>
    <xf numFmtId="0" fontId="17" fillId="9" borderId="11" xfId="0" applyFont="1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/>
    </xf>
    <xf numFmtId="167" fontId="17" fillId="10" borderId="13" xfId="4" applyNumberFormat="1" applyFont="1" applyFill="1" applyBorder="1" applyAlignment="1">
      <alignment vertical="top" wrapText="1"/>
    </xf>
    <xf numFmtId="0" fontId="0" fillId="9" borderId="14" xfId="0" applyFill="1" applyBorder="1" applyAlignment="1">
      <alignment horizontal="center"/>
    </xf>
    <xf numFmtId="167" fontId="0" fillId="10" borderId="15" xfId="4" applyNumberFormat="1" applyFont="1" applyFill="1" applyBorder="1"/>
    <xf numFmtId="167" fontId="17" fillId="10" borderId="15" xfId="4" applyNumberFormat="1" applyFont="1" applyFill="1" applyBorder="1" applyAlignment="1">
      <alignment vertical="top" wrapText="1"/>
    </xf>
    <xf numFmtId="167" fontId="17" fillId="10" borderId="16" xfId="4" applyNumberFormat="1" applyFont="1" applyFill="1" applyBorder="1" applyAlignment="1">
      <alignment vertical="top" wrapText="1"/>
    </xf>
    <xf numFmtId="0" fontId="34" fillId="5" borderId="21" xfId="0" applyFont="1" applyFill="1" applyBorder="1" applyAlignment="1">
      <alignment horizontal="center" vertical="center"/>
    </xf>
    <xf numFmtId="168" fontId="0" fillId="0" borderId="0" xfId="0" applyNumberFormat="1"/>
    <xf numFmtId="0" fontId="35" fillId="7" borderId="0" xfId="0" applyFont="1" applyFill="1"/>
    <xf numFmtId="0" fontId="8" fillId="0" borderId="1" xfId="1" applyFont="1" applyBorder="1" applyAlignment="1">
      <alignment horizontal="left"/>
    </xf>
    <xf numFmtId="0" fontId="13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28" fillId="5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5" fillId="0" borderId="8" xfId="0" applyFont="1" applyBorder="1" applyAlignment="1">
      <alignment horizontal="left" vertical="top" wrapText="1"/>
    </xf>
    <xf numFmtId="0" fontId="36" fillId="4" borderId="22" xfId="0" applyFont="1" applyFill="1" applyBorder="1"/>
    <xf numFmtId="0" fontId="36" fillId="4" borderId="23" xfId="0" applyFont="1" applyFill="1" applyBorder="1"/>
    <xf numFmtId="0" fontId="0" fillId="0" borderId="0" xfId="0" applyBorder="1"/>
    <xf numFmtId="0" fontId="36" fillId="4" borderId="24" xfId="0" applyFont="1" applyFill="1" applyBorder="1"/>
  </cellXfs>
  <cellStyles count="5">
    <cellStyle name="Hipertaut" xfId="3" builtinId="8"/>
    <cellStyle name="Hyperlink 2" xfId="2" xr:uid="{3ABC30BA-A6C2-41AB-AC43-5D32785C7512}"/>
    <cellStyle name="Koma" xfId="4" builtinId="3"/>
    <cellStyle name="Normal" xfId="0" builtinId="0"/>
    <cellStyle name="Normal 2" xfId="1" xr:uid="{BA55BB14-82B1-48DE-9EDF-C400CD3C2250}"/>
  </cellStyles>
  <dxfs count="1"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colors>
    <mruColors>
      <color rgb="FF00B050"/>
      <color rgb="FF001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354752</xdr:colOff>
      <xdr:row>16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FA82A-8DBE-4FAB-90C5-57F132BE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799" cy="2933700"/>
        </a:xfrm>
        <a:prstGeom prst="rect">
          <a:avLst/>
        </a:prstGeom>
      </xdr:spPr>
    </xdr:pic>
    <xdr:clientData/>
  </xdr:twoCellAnchor>
  <xdr:oneCellAnchor>
    <xdr:from>
      <xdr:col>17</xdr:col>
      <xdr:colOff>434340</xdr:colOff>
      <xdr:row>0</xdr:row>
      <xdr:rowOff>15240</xdr:rowOff>
    </xdr:from>
    <xdr:ext cx="1119730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044D20-D6A2-4C9A-AA6B-E67DD6E59B59}"/>
            </a:ext>
          </a:extLst>
        </xdr:cNvPr>
        <xdr:cNvSpPr txBox="1"/>
      </xdr:nvSpPr>
      <xdr:spPr>
        <a:xfrm>
          <a:off x="10538460" y="15240"/>
          <a:ext cx="111973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SBEE002</a:t>
          </a:r>
        </a:p>
      </xdr:txBody>
    </xdr:sp>
    <xdr:clientData/>
  </xdr:oneCellAnchor>
  <xdr:twoCellAnchor editAs="oneCell">
    <xdr:from>
      <xdr:col>6</xdr:col>
      <xdr:colOff>205740</xdr:colOff>
      <xdr:row>13</xdr:row>
      <xdr:rowOff>30480</xdr:rowOff>
    </xdr:from>
    <xdr:to>
      <xdr:col>8</xdr:col>
      <xdr:colOff>10159</xdr:colOff>
      <xdr:row>16</xdr:row>
      <xdr:rowOff>129540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034C45-7FD3-47AE-827D-C7B585AB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2407920"/>
          <a:ext cx="1511300" cy="647700"/>
        </a:xfrm>
        <a:prstGeom prst="rect">
          <a:avLst/>
        </a:prstGeom>
      </xdr:spPr>
    </xdr:pic>
    <xdr:clientData/>
  </xdr:twoCellAnchor>
  <xdr:twoCellAnchor>
    <xdr:from>
      <xdr:col>2</xdr:col>
      <xdr:colOff>1724660</xdr:colOff>
      <xdr:row>39</xdr:row>
      <xdr:rowOff>38100</xdr:rowOff>
    </xdr:from>
    <xdr:to>
      <xdr:col>4</xdr:col>
      <xdr:colOff>543560</xdr:colOff>
      <xdr:row>40</xdr:row>
      <xdr:rowOff>190500</xdr:rowOff>
    </xdr:to>
    <xdr:sp macro="" textlink="">
      <xdr:nvSpPr>
        <xdr:cNvPr id="11" name="Rectangle: Rounded Corner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22D76A-3F50-4C40-8D0E-5E23FC6C1A6F}"/>
            </a:ext>
          </a:extLst>
        </xdr:cNvPr>
        <xdr:cNvSpPr/>
      </xdr:nvSpPr>
      <xdr:spPr>
        <a:xfrm>
          <a:off x="3180927" y="7497233"/>
          <a:ext cx="2019300" cy="347134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144780</xdr:colOff>
      <xdr:row>0</xdr:row>
      <xdr:rowOff>30480</xdr:rowOff>
    </xdr:from>
    <xdr:ext cx="1294970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A42CD9-CC7C-4F35-BD21-A529B8C3ACB2}"/>
            </a:ext>
          </a:extLst>
        </xdr:cNvPr>
        <xdr:cNvSpPr txBox="1"/>
      </xdr:nvSpPr>
      <xdr:spPr>
        <a:xfrm>
          <a:off x="10401300" y="30480"/>
          <a:ext cx="12949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solidFill>
                <a:schemeClr val="bg1"/>
              </a:solidFill>
            </a:rPr>
            <a:t>MEDIUM LEVEL</a:t>
          </a:r>
        </a:p>
      </xdr:txBody>
    </xdr:sp>
    <xdr:clientData/>
  </xdr:oneCellAnchor>
  <xdr:twoCellAnchor editAs="oneCell">
    <xdr:from>
      <xdr:col>10</xdr:col>
      <xdr:colOff>449579</xdr:colOff>
      <xdr:row>0</xdr:row>
      <xdr:rowOff>0</xdr:rowOff>
    </xdr:from>
    <xdr:to>
      <xdr:col>11</xdr:col>
      <xdr:colOff>795106</xdr:colOff>
      <xdr:row>16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BB83F1-E262-48F0-B4F1-3B980696F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26239" y="0"/>
          <a:ext cx="1907627" cy="297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CD7626E7-0281-4A54-BFB7-02E62C12F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525780</xdr:colOff>
      <xdr:row>1</xdr:row>
      <xdr:rowOff>0</xdr:rowOff>
    </xdr:from>
    <xdr:to>
      <xdr:col>4</xdr:col>
      <xdr:colOff>205740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9110C0-806E-4737-9338-505DC4DD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0" y="182880"/>
          <a:ext cx="1584960" cy="2469132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5" name="Picture 4">
          <a:extLst>
            <a:ext uri="{FF2B5EF4-FFF2-40B4-BE49-F238E27FC236}">
              <a16:creationId xmlns:a16="http://schemas.microsoft.com/office/drawing/2014/main" id="{3F8AA1BF-E7C7-44E1-A1D8-DEC7749C6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6362-2D28-41AB-A03C-F346A453980B}">
  <sheetPr codeName="Sheet1"/>
  <dimension ref="A5:Q71"/>
  <sheetViews>
    <sheetView tabSelected="1" topLeftCell="H52" zoomScaleNormal="100" workbookViewId="0">
      <selection activeCell="O64" sqref="O64"/>
    </sheetView>
  </sheetViews>
  <sheetFormatPr defaultRowHeight="15"/>
  <cols>
    <col min="1" max="1" width="7.85546875" bestFit="1" customWidth="1"/>
    <col min="2" max="2" width="13.28515625" customWidth="1"/>
    <col min="3" max="3" width="25.28515625" customWidth="1"/>
    <col min="4" max="4" width="21.42578125" customWidth="1"/>
    <col min="5" max="5" width="17.28515625" customWidth="1"/>
    <col min="6" max="6" width="21.7109375" customWidth="1"/>
    <col min="7" max="7" width="9.85546875" customWidth="1"/>
    <col min="8" max="8" width="15" customWidth="1"/>
    <col min="9" max="9" width="17.85546875" customWidth="1"/>
    <col min="10" max="10" width="16.28515625" customWidth="1"/>
    <col min="11" max="11" width="22.7109375" customWidth="1"/>
    <col min="12" max="12" width="17.7109375" customWidth="1"/>
    <col min="13" max="13" width="22.7109375" customWidth="1"/>
    <col min="14" max="14" width="21.7109375" customWidth="1"/>
    <col min="15" max="15" width="26.28515625" customWidth="1"/>
    <col min="16" max="16" width="18.28515625" bestFit="1" customWidth="1"/>
  </cols>
  <sheetData>
    <row r="5" spans="16:17">
      <c r="P5" s="9"/>
      <c r="Q5" s="9"/>
    </row>
    <row r="6" spans="16:17">
      <c r="P6" s="9"/>
      <c r="Q6" s="9"/>
    </row>
    <row r="7" spans="16:17">
      <c r="P7" s="9"/>
      <c r="Q7" s="9"/>
    </row>
    <row r="8" spans="16:17">
      <c r="P8" s="9"/>
      <c r="Q8" s="9"/>
    </row>
    <row r="9" spans="16:17">
      <c r="P9" s="9"/>
      <c r="Q9" s="9"/>
    </row>
    <row r="10" spans="16:17">
      <c r="P10" s="9"/>
      <c r="Q10" s="9"/>
    </row>
    <row r="18" spans="1:12" ht="23.25">
      <c r="A18" s="66" t="s">
        <v>0</v>
      </c>
      <c r="B18" s="66"/>
      <c r="C18" s="18" t="s">
        <v>1</v>
      </c>
      <c r="E18" s="66" t="s">
        <v>2</v>
      </c>
      <c r="F18" s="68"/>
      <c r="G18" s="10" t="str">
        <f ca="1">Kode_jawaban</f>
        <v>MM2|40-121D;4B-103;50-4156;6D-25F9;35-2BCA;3E-4D8;3B-B842</v>
      </c>
      <c r="H18" s="11"/>
      <c r="I18" s="11"/>
      <c r="J18" s="11"/>
      <c r="K18" s="11"/>
      <c r="L18" s="11"/>
    </row>
    <row r="20" spans="1:12" ht="23.25">
      <c r="A20" s="69" t="s">
        <v>3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1"/>
    </row>
    <row r="21" spans="1:12" ht="15.7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4"/>
      <c r="L21" s="15"/>
    </row>
    <row r="22" spans="1:12" ht="15.75">
      <c r="A22" s="14"/>
      <c r="B22" s="23" t="s">
        <v>4</v>
      </c>
      <c r="D22" s="14"/>
      <c r="E22" s="13"/>
      <c r="F22" s="13"/>
      <c r="G22" s="13"/>
      <c r="H22" s="13"/>
      <c r="I22" s="13"/>
      <c r="J22" s="13"/>
      <c r="K22" s="14"/>
      <c r="L22" s="15"/>
    </row>
    <row r="23" spans="1:12" ht="15.75">
      <c r="A23" s="14"/>
      <c r="B23" s="14"/>
      <c r="C23" s="19"/>
      <c r="E23" s="13"/>
      <c r="F23" s="13"/>
      <c r="G23" s="13"/>
      <c r="H23" s="13"/>
      <c r="I23" s="13"/>
      <c r="J23" s="13"/>
      <c r="K23" s="14"/>
      <c r="L23" s="15"/>
    </row>
    <row r="24" spans="1:12" ht="15.75">
      <c r="A24" s="14"/>
      <c r="B24" s="20" t="s">
        <v>5</v>
      </c>
      <c r="C24" s="64" t="s">
        <v>6</v>
      </c>
      <c r="D24" s="14"/>
      <c r="E24" s="14"/>
      <c r="F24" s="13"/>
      <c r="G24" s="14"/>
      <c r="H24" s="14"/>
      <c r="I24" s="13"/>
      <c r="J24" s="13"/>
      <c r="K24" s="14"/>
      <c r="L24" s="15"/>
    </row>
    <row r="25" spans="1:12" ht="15.75">
      <c r="A25" s="14"/>
      <c r="B25" s="20"/>
      <c r="C25" s="64" t="s">
        <v>7</v>
      </c>
      <c r="D25" s="14"/>
      <c r="E25" s="14"/>
      <c r="F25" s="13"/>
      <c r="G25" s="14"/>
      <c r="H25" s="14"/>
      <c r="I25" s="13"/>
      <c r="J25" s="13"/>
      <c r="K25" s="14"/>
      <c r="L25" s="15"/>
    </row>
    <row r="26" spans="1:12" ht="15.75">
      <c r="A26" s="14"/>
      <c r="B26" s="21">
        <v>1</v>
      </c>
      <c r="C26" s="14" t="s">
        <v>8</v>
      </c>
      <c r="D26" s="14"/>
      <c r="E26" s="14"/>
      <c r="F26" s="13"/>
      <c r="G26" s="14"/>
      <c r="H26" s="14"/>
      <c r="I26" s="13"/>
      <c r="J26" s="13"/>
      <c r="K26" s="14"/>
      <c r="L26" s="15"/>
    </row>
    <row r="27" spans="1:12" ht="15.75">
      <c r="A27" s="14"/>
      <c r="B27" s="21"/>
      <c r="C27" s="50" t="s">
        <v>9</v>
      </c>
      <c r="D27" s="14"/>
      <c r="E27" s="14"/>
      <c r="F27" s="13"/>
      <c r="G27" s="14"/>
      <c r="H27" s="14"/>
      <c r="I27" s="13"/>
      <c r="J27" s="13"/>
      <c r="K27" s="14"/>
      <c r="L27" s="15"/>
    </row>
    <row r="28" spans="1:12" ht="15.75">
      <c r="A28" s="14"/>
      <c r="B28" s="21">
        <v>2</v>
      </c>
      <c r="C28" s="14" t="s">
        <v>10</v>
      </c>
      <c r="D28" s="14"/>
      <c r="E28" s="14"/>
      <c r="F28" s="13"/>
      <c r="G28" s="14"/>
      <c r="H28" s="14"/>
      <c r="I28" s="13"/>
      <c r="J28" s="13"/>
      <c r="K28" s="14"/>
      <c r="L28" s="15"/>
    </row>
    <row r="29" spans="1:12" ht="15.75">
      <c r="A29" s="14"/>
      <c r="B29" s="21">
        <v>3</v>
      </c>
      <c r="C29" s="14" t="s">
        <v>11</v>
      </c>
      <c r="D29" s="14"/>
      <c r="E29" s="14"/>
      <c r="F29" s="13"/>
      <c r="G29" s="14"/>
      <c r="H29" s="14"/>
      <c r="I29" s="13"/>
      <c r="J29" s="13"/>
      <c r="K29" s="14"/>
      <c r="L29" s="15"/>
    </row>
    <row r="30" spans="1:12" ht="15.75">
      <c r="A30" s="14"/>
      <c r="B30" s="21">
        <v>4</v>
      </c>
      <c r="C30" s="14" t="s">
        <v>12</v>
      </c>
      <c r="D30" s="14"/>
      <c r="E30" s="14"/>
      <c r="F30" s="13"/>
      <c r="G30" s="14"/>
      <c r="H30" s="14"/>
      <c r="I30" s="13"/>
      <c r="J30" s="13"/>
      <c r="K30" s="14"/>
      <c r="L30" s="15"/>
    </row>
    <row r="31" spans="1:12" ht="15.75">
      <c r="A31" s="14"/>
      <c r="B31" s="21">
        <v>5</v>
      </c>
      <c r="C31" s="14" t="s">
        <v>13</v>
      </c>
      <c r="D31" s="14"/>
      <c r="E31" s="14"/>
      <c r="F31" s="13"/>
      <c r="G31" s="14"/>
      <c r="H31" s="14"/>
      <c r="I31" s="13"/>
      <c r="J31" s="13"/>
      <c r="K31" s="14"/>
      <c r="L31" s="15"/>
    </row>
    <row r="32" spans="1:12" ht="15.75">
      <c r="A32" s="14"/>
      <c r="B32" s="21">
        <v>6</v>
      </c>
      <c r="C32" s="14" t="s">
        <v>14</v>
      </c>
      <c r="D32" s="14"/>
      <c r="E32" s="14"/>
      <c r="F32" s="13"/>
      <c r="G32" s="14"/>
      <c r="H32" s="14"/>
      <c r="I32" s="13"/>
      <c r="J32" s="13"/>
      <c r="K32" s="14"/>
      <c r="L32" s="15"/>
    </row>
    <row r="33" spans="1:14" ht="15.75">
      <c r="A33" s="14"/>
      <c r="B33" s="21">
        <v>7</v>
      </c>
      <c r="C33" s="14" t="s">
        <v>15</v>
      </c>
      <c r="D33" s="14"/>
      <c r="E33" s="14"/>
      <c r="F33" s="13"/>
      <c r="G33" s="14"/>
      <c r="H33" s="14"/>
      <c r="I33" s="13"/>
      <c r="J33" s="13"/>
      <c r="K33" s="14"/>
      <c r="L33" s="15"/>
    </row>
    <row r="34" spans="1:14" ht="16.5" thickBot="1">
      <c r="A34" s="14"/>
      <c r="B34" s="24"/>
      <c r="C34" s="14"/>
      <c r="D34" s="14"/>
      <c r="E34" s="14"/>
      <c r="F34" s="13"/>
      <c r="G34" s="14"/>
      <c r="H34" s="14"/>
      <c r="I34" s="13"/>
      <c r="J34" s="13"/>
      <c r="K34" s="14"/>
      <c r="L34" s="15"/>
    </row>
    <row r="35" spans="1:14" ht="15.75">
      <c r="A35" s="14"/>
      <c r="B35" s="24"/>
      <c r="C35" s="62" t="s">
        <v>16</v>
      </c>
      <c r="D35" s="53" t="s">
        <v>17</v>
      </c>
      <c r="E35" s="54" t="s">
        <v>18</v>
      </c>
      <c r="F35" s="55" t="s">
        <v>19</v>
      </c>
      <c r="G35" s="14"/>
      <c r="H35" s="14"/>
      <c r="I35" s="13"/>
      <c r="J35" s="13"/>
      <c r="K35" s="14"/>
      <c r="L35" s="15"/>
    </row>
    <row r="36" spans="1:14" ht="15.75">
      <c r="A36" s="14"/>
      <c r="B36" s="14"/>
      <c r="C36" s="56" t="s">
        <v>20</v>
      </c>
      <c r="D36" s="48">
        <v>54000</v>
      </c>
      <c r="E36" s="49">
        <v>51000</v>
      </c>
      <c r="F36" s="57">
        <v>56000</v>
      </c>
      <c r="G36" s="13"/>
      <c r="H36" s="13"/>
      <c r="I36" s="13"/>
      <c r="J36" s="13"/>
      <c r="K36" s="14"/>
      <c r="L36" s="15"/>
    </row>
    <row r="37" spans="1:14" ht="16.5" thickBot="1">
      <c r="A37" s="14"/>
      <c r="B37" s="14"/>
      <c r="C37" s="58" t="s">
        <v>21</v>
      </c>
      <c r="D37" s="59">
        <v>3000</v>
      </c>
      <c r="E37" s="60">
        <v>9000</v>
      </c>
      <c r="F37" s="61">
        <v>4000</v>
      </c>
      <c r="G37" s="13"/>
      <c r="H37" s="13"/>
      <c r="I37" s="13"/>
      <c r="J37" s="13"/>
      <c r="K37" s="14"/>
      <c r="L37" s="15"/>
    </row>
    <row r="38" spans="1:14" ht="15.75">
      <c r="A38" s="14"/>
      <c r="B38" s="14"/>
      <c r="C38" s="14"/>
      <c r="D38" s="14"/>
      <c r="E38" s="14"/>
      <c r="F38" s="13"/>
      <c r="G38" s="14"/>
      <c r="H38" s="14"/>
      <c r="I38" s="13"/>
      <c r="J38" s="13"/>
      <c r="K38" s="14"/>
      <c r="L38" s="15"/>
    </row>
    <row r="39" spans="1:14" ht="15.75">
      <c r="A39" s="14"/>
      <c r="B39" s="14"/>
      <c r="C39" s="16" t="s">
        <v>22</v>
      </c>
      <c r="D39" s="14"/>
      <c r="E39" s="14"/>
      <c r="F39" s="13"/>
      <c r="G39" s="14"/>
      <c r="H39" s="14"/>
      <c r="I39" s="13"/>
      <c r="J39" s="13"/>
      <c r="K39" s="14"/>
      <c r="L39" s="15"/>
    </row>
    <row r="40" spans="1:14" ht="15.75">
      <c r="A40" s="14"/>
      <c r="B40" s="14"/>
      <c r="C40" s="16" t="s">
        <v>23</v>
      </c>
      <c r="D40" s="14"/>
      <c r="E40" s="13"/>
      <c r="F40" s="13"/>
      <c r="G40" s="14"/>
      <c r="H40" s="14"/>
      <c r="I40" s="13"/>
      <c r="J40" s="13"/>
      <c r="K40" s="14"/>
      <c r="L40" s="15"/>
    </row>
    <row r="41" spans="1:14" ht="15.75">
      <c r="A41" s="14"/>
      <c r="B41" s="14"/>
      <c r="C41" s="14"/>
      <c r="E41" s="13"/>
      <c r="F41" s="13"/>
      <c r="G41" s="14"/>
      <c r="H41" s="14"/>
      <c r="I41" s="13"/>
      <c r="J41" s="13"/>
      <c r="K41" s="14"/>
      <c r="L41" s="15"/>
    </row>
    <row r="42" spans="1:14" ht="15.75">
      <c r="A42" s="14"/>
      <c r="B42" s="14"/>
      <c r="C42" s="16"/>
      <c r="D42" s="13"/>
      <c r="E42" s="13"/>
      <c r="F42" s="13"/>
      <c r="G42" s="14"/>
      <c r="H42" s="14"/>
      <c r="I42" s="13"/>
      <c r="J42" s="13"/>
      <c r="K42" s="14"/>
      <c r="L42" s="15"/>
    </row>
    <row r="43" spans="1:14" ht="23.25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4" ht="15.75">
      <c r="A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1:14" ht="16.5" thickBot="1">
      <c r="A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4" ht="15.75">
      <c r="H46" s="41">
        <v>1</v>
      </c>
      <c r="I46" s="41">
        <v>2</v>
      </c>
      <c r="J46" s="41">
        <v>3</v>
      </c>
      <c r="K46" s="41">
        <v>4</v>
      </c>
      <c r="L46" s="41">
        <v>5</v>
      </c>
      <c r="M46" s="41">
        <v>6</v>
      </c>
      <c r="N46" s="41">
        <v>7</v>
      </c>
    </row>
    <row r="47" spans="1:14" ht="31.9" customHeight="1">
      <c r="A47" s="1" t="s">
        <v>24</v>
      </c>
      <c r="B47" s="42" t="s">
        <v>25</v>
      </c>
      <c r="C47" s="42" t="s">
        <v>26</v>
      </c>
      <c r="D47" s="42" t="s">
        <v>27</v>
      </c>
      <c r="E47" s="42" t="s">
        <v>28</v>
      </c>
      <c r="F47" s="42" t="s">
        <v>29</v>
      </c>
      <c r="G47" s="42" t="s">
        <v>28</v>
      </c>
      <c r="H47" s="42" t="s">
        <v>30</v>
      </c>
      <c r="I47" s="42" t="s">
        <v>31</v>
      </c>
      <c r="J47" s="42" t="s">
        <v>32</v>
      </c>
      <c r="K47" s="42" t="s">
        <v>33</v>
      </c>
      <c r="L47" s="42" t="s">
        <v>20</v>
      </c>
      <c r="M47" s="42" t="s">
        <v>21</v>
      </c>
      <c r="N47" s="42" t="s">
        <v>34</v>
      </c>
    </row>
    <row r="48" spans="1:14" ht="19.899999999999999" customHeight="1">
      <c r="A48" s="34" t="s">
        <v>35</v>
      </c>
      <c r="B48" s="43">
        <v>1.6</v>
      </c>
      <c r="C48" s="2" t="s">
        <v>36</v>
      </c>
      <c r="D48" s="45">
        <v>46058.77847222222</v>
      </c>
      <c r="E48" s="2" t="s">
        <v>37</v>
      </c>
      <c r="F48" s="45">
        <v>46059.888194444444</v>
      </c>
      <c r="G48" s="2" t="s">
        <v>37</v>
      </c>
      <c r="H48" s="47">
        <v>2</v>
      </c>
      <c r="I48" s="47">
        <v>1</v>
      </c>
      <c r="J48" s="47">
        <v>158</v>
      </c>
      <c r="K48" s="4" t="s">
        <v>38</v>
      </c>
      <c r="L48" s="51">
        <v>51000</v>
      </c>
      <c r="M48" s="51">
        <v>9000</v>
      </c>
      <c r="N48" s="51">
        <v>93000</v>
      </c>
    </row>
    <row r="49" spans="1:15" ht="5.45" customHeight="1">
      <c r="A49" s="35"/>
      <c r="B49" s="44"/>
      <c r="C49" s="35"/>
      <c r="D49" s="46"/>
      <c r="E49" s="35"/>
      <c r="F49" s="35"/>
      <c r="G49" s="35"/>
      <c r="H49" s="35"/>
      <c r="I49" s="44"/>
      <c r="J49" s="44"/>
      <c r="K49" s="35"/>
      <c r="L49" s="52"/>
      <c r="M49" s="52"/>
      <c r="N49" s="52"/>
    </row>
    <row r="50" spans="1:15" ht="19.899999999999999" customHeight="1">
      <c r="A50" s="22">
        <v>1</v>
      </c>
      <c r="B50" s="43">
        <v>5.9</v>
      </c>
      <c r="C50" s="2" t="s">
        <v>39</v>
      </c>
      <c r="D50" s="45">
        <v>46076.353472222225</v>
      </c>
      <c r="E50" s="2" t="s">
        <v>40</v>
      </c>
      <c r="F50" s="45">
        <v>46079.536805555559</v>
      </c>
      <c r="G50" s="2" t="s">
        <v>37</v>
      </c>
      <c r="H50" s="47">
        <f>MAX(1,CEILING(B50-0.3,1))</f>
        <v>6</v>
      </c>
      <c r="I50" s="47">
        <f>INT((F50 - IF(G50="WITA",1/24,IF(G50="WIT",2/24,0))) - (D50 - IF(E50="WITA",1/24,IF(E50="WIT",2/24,0))))</f>
        <v>3</v>
      </c>
      <c r="J50" s="47" cm="1">
        <f t="array" ref="J50">ROUND(MOD((F50-_xlfn.SWITCH(G50,"WIB",0,"WITA",1,"WIT",2)/24)-(D50-_xlfn.SWITCH(E50,"WIB",0,"WITA",1,"WIT",2)/24),1)*24*60,0)</f>
        <v>384</v>
      </c>
      <c r="K50" s="4" t="str">
        <f>_xlfn.TEXTAFTER(C50,"-")</f>
        <v>COD</v>
      </c>
      <c r="L50" s="51">
        <f>_xlfn.XLOOKUP("*"&amp;K50&amp;"*",$D$35:$F$35,$D$36:$F$36,,2)</f>
        <v>54000</v>
      </c>
      <c r="M50" s="51">
        <f>_xlfn.XLOOKUP("*"&amp;K50&amp;"*",$D$35:$F$35,$D$37:$F$37,,2)</f>
        <v>3000</v>
      </c>
      <c r="N50" s="82">
        <f>L50*H50-M50</f>
        <v>321000</v>
      </c>
    </row>
    <row r="51" spans="1:15" ht="19.899999999999999" customHeight="1">
      <c r="A51" s="22">
        <v>2</v>
      </c>
      <c r="B51" s="43">
        <v>6.3</v>
      </c>
      <c r="C51" s="2" t="s">
        <v>41</v>
      </c>
      <c r="D51" s="45">
        <v>46073.954861111109</v>
      </c>
      <c r="E51" s="2" t="s">
        <v>42</v>
      </c>
      <c r="F51" s="45">
        <v>46075.977083333331</v>
      </c>
      <c r="G51" s="2" t="s">
        <v>40</v>
      </c>
      <c r="H51" s="47">
        <f t="shared" ref="H51:H64" si="0">MAX(1,CEILING(B51-0.3,1))</f>
        <v>6</v>
      </c>
      <c r="I51" s="47">
        <f t="shared" ref="I51:I64" si="1">INT((F51 - IF(G51="WITA",1/24,IF(G51="WIT",2/24,0))) - (D51 - IF(E51="WITA",1/24,IF(E51="WIT",2/24,0))))</f>
        <v>1</v>
      </c>
      <c r="J51" s="47" cm="1">
        <f t="array" ref="J51">ROUND(MOD((F51-_xlfn.SWITCH(G51,"WIB",0,"WITA",1,"WIT",2)/24)-(D51-_xlfn.SWITCH(E51,"WIB",0,"WITA",1,"WIT",2)/24),1)*24*60,0)</f>
        <v>1412</v>
      </c>
      <c r="K51" s="4" t="str">
        <f t="shared" ref="K51:K64" si="2">_xlfn.TEXTAFTER(C51, "-")</f>
        <v>TRANSFER</v>
      </c>
      <c r="L51" s="51">
        <f t="shared" ref="L51:L64" si="3">_xlfn.XLOOKUP("*"&amp;K51&amp;"*",$D$35:$F$35,$D$36:$F$36,,2)</f>
        <v>51000</v>
      </c>
      <c r="M51" s="51">
        <f t="shared" ref="M51:M64" si="4">_xlfn.XLOOKUP("*"&amp;K51&amp;"*",$D$35:$F$35,$D$37:$F$37,,2)</f>
        <v>9000</v>
      </c>
      <c r="N51" s="83">
        <f t="shared" ref="N51:N64" si="5">L51*H51-M51</f>
        <v>297000</v>
      </c>
    </row>
    <row r="52" spans="1:15" ht="19.899999999999999" customHeight="1">
      <c r="A52" s="22">
        <v>3</v>
      </c>
      <c r="B52" s="43">
        <v>5.4</v>
      </c>
      <c r="C52" s="2" t="s">
        <v>43</v>
      </c>
      <c r="D52" s="45">
        <v>46049.268055555556</v>
      </c>
      <c r="E52" s="2" t="s">
        <v>40</v>
      </c>
      <c r="F52" s="45">
        <v>46051.913194444445</v>
      </c>
      <c r="G52" s="2" t="s">
        <v>42</v>
      </c>
      <c r="H52" s="47">
        <f t="shared" si="0"/>
        <v>6</v>
      </c>
      <c r="I52" s="47">
        <f t="shared" si="1"/>
        <v>2</v>
      </c>
      <c r="J52" s="47" cm="1">
        <f t="array" ref="J52">ROUND(MOD((F52-_xlfn.SWITCH(G52,"WIB",0,"WITA",1,"WIT",2)/24)-(D52-_xlfn.SWITCH(E52,"WIB",0,"WITA",1,"WIT",2)/24),1)*24*60,0)</f>
        <v>989</v>
      </c>
      <c r="K52" s="4" t="str">
        <f t="shared" si="2"/>
        <v>DANA</v>
      </c>
      <c r="L52" s="51">
        <f t="shared" si="3"/>
        <v>56000</v>
      </c>
      <c r="M52" s="51">
        <f t="shared" si="4"/>
        <v>4000</v>
      </c>
      <c r="N52" s="83">
        <f t="shared" si="5"/>
        <v>332000</v>
      </c>
    </row>
    <row r="53" spans="1:15" ht="19.899999999999999" customHeight="1">
      <c r="A53" s="22">
        <v>4</v>
      </c>
      <c r="B53" s="43">
        <v>8.6999999999999993</v>
      </c>
      <c r="C53" s="2" t="s">
        <v>44</v>
      </c>
      <c r="D53" s="45">
        <v>46045.240277777775</v>
      </c>
      <c r="E53" s="2" t="s">
        <v>37</v>
      </c>
      <c r="F53" s="45">
        <v>46048.279166666667</v>
      </c>
      <c r="G53" s="2" t="s">
        <v>40</v>
      </c>
      <c r="H53" s="47">
        <f t="shared" si="0"/>
        <v>9</v>
      </c>
      <c r="I53" s="47">
        <f t="shared" si="1"/>
        <v>2</v>
      </c>
      <c r="J53" s="47" cm="1">
        <f t="array" ref="J53">ROUND(MOD((F53-_xlfn.SWITCH(G53,"WIB",0,"WITA",1,"WIT",2)/24)-(D53-_xlfn.SWITCH(E53,"WIB",0,"WITA",1,"WIT",2)/24),1)*24*60,0)</f>
        <v>1376</v>
      </c>
      <c r="K53" s="4" t="str">
        <f t="shared" si="2"/>
        <v>CASH</v>
      </c>
      <c r="L53" s="51">
        <f t="shared" si="3"/>
        <v>54000</v>
      </c>
      <c r="M53" s="51">
        <f t="shared" si="4"/>
        <v>3000</v>
      </c>
      <c r="N53" s="83">
        <f t="shared" si="5"/>
        <v>483000</v>
      </c>
    </row>
    <row r="54" spans="1:15" ht="19.899999999999999" customHeight="1">
      <c r="A54" s="22">
        <v>5</v>
      </c>
      <c r="B54" s="43">
        <v>0.4</v>
      </c>
      <c r="C54" s="2" t="s">
        <v>45</v>
      </c>
      <c r="D54" s="45">
        <v>46046.896527777775</v>
      </c>
      <c r="E54" s="2" t="s">
        <v>40</v>
      </c>
      <c r="F54" s="45">
        <v>46049.249305555553</v>
      </c>
      <c r="G54" s="2" t="s">
        <v>40</v>
      </c>
      <c r="H54" s="47">
        <f t="shared" si="0"/>
        <v>1</v>
      </c>
      <c r="I54" s="47">
        <f t="shared" si="1"/>
        <v>2</v>
      </c>
      <c r="J54" s="47" cm="1">
        <f t="array" ref="J54">ROUND(MOD((F54-_xlfn.SWITCH(G54,"WIB",0,"WITA",1,"WIT",2)/24)-(D54-_xlfn.SWITCH(E54,"WIB",0,"WITA",1,"WIT",2)/24),1)*24*60,0)</f>
        <v>508</v>
      </c>
      <c r="K54" s="4" t="str">
        <f t="shared" si="2"/>
        <v>OVO</v>
      </c>
      <c r="L54" s="51">
        <f t="shared" si="3"/>
        <v>56000</v>
      </c>
      <c r="M54" s="51">
        <f t="shared" si="4"/>
        <v>4000</v>
      </c>
      <c r="N54" s="83">
        <f t="shared" si="5"/>
        <v>52000</v>
      </c>
    </row>
    <row r="55" spans="1:15" ht="19.899999999999999" customHeight="1">
      <c r="A55" s="22">
        <v>6</v>
      </c>
      <c r="B55" s="43">
        <v>1.3</v>
      </c>
      <c r="C55" s="2" t="s">
        <v>46</v>
      </c>
      <c r="D55" s="45">
        <v>46078.154861111114</v>
      </c>
      <c r="E55" s="2" t="s">
        <v>37</v>
      </c>
      <c r="F55" s="45">
        <v>46081.454861111109</v>
      </c>
      <c r="G55" s="2" t="s">
        <v>42</v>
      </c>
      <c r="H55" s="47">
        <f t="shared" si="0"/>
        <v>1</v>
      </c>
      <c r="I55" s="47">
        <f t="shared" si="1"/>
        <v>3</v>
      </c>
      <c r="J55" s="47" cm="1">
        <f t="array" ref="J55">ROUND(MOD((F55-_xlfn.SWITCH(G55,"WIB",0,"WITA",1,"WIT",2)/24)-(D55-_xlfn.SWITCH(E55,"WIB",0,"WITA",1,"WIT",2)/24),1)*24*60,0)</f>
        <v>372</v>
      </c>
      <c r="K55" s="4" t="str">
        <f t="shared" si="2"/>
        <v>TRANSFER</v>
      </c>
      <c r="L55" s="51">
        <f t="shared" si="3"/>
        <v>51000</v>
      </c>
      <c r="M55" s="51">
        <f t="shared" si="4"/>
        <v>9000</v>
      </c>
      <c r="N55" s="83">
        <f t="shared" si="5"/>
        <v>42000</v>
      </c>
    </row>
    <row r="56" spans="1:15" ht="19.899999999999999" customHeight="1">
      <c r="A56" s="22">
        <v>7</v>
      </c>
      <c r="B56" s="43">
        <v>3.7</v>
      </c>
      <c r="C56" s="2" t="s">
        <v>47</v>
      </c>
      <c r="D56" s="45">
        <v>46041.65347222222</v>
      </c>
      <c r="E56" s="2" t="s">
        <v>42</v>
      </c>
      <c r="F56" s="45">
        <v>46044.571527777778</v>
      </c>
      <c r="G56" s="2" t="s">
        <v>40</v>
      </c>
      <c r="H56" s="47">
        <f t="shared" si="0"/>
        <v>4</v>
      </c>
      <c r="I56" s="47">
        <f t="shared" si="1"/>
        <v>2</v>
      </c>
      <c r="J56" s="47" cm="1">
        <f t="array" ref="J56">ROUND(MOD((F56-_xlfn.SWITCH(G56,"WIB",0,"WITA",1,"WIT",2)/24)-(D56-_xlfn.SWITCH(E56,"WIB",0,"WITA",1,"WIT",2)/24),1)*24*60,0)</f>
        <v>1262</v>
      </c>
      <c r="K56" s="4" t="str">
        <f t="shared" si="2"/>
        <v>COD</v>
      </c>
      <c r="L56" s="51">
        <f t="shared" si="3"/>
        <v>54000</v>
      </c>
      <c r="M56" s="51">
        <f t="shared" si="4"/>
        <v>3000</v>
      </c>
      <c r="N56" s="83">
        <f t="shared" si="5"/>
        <v>213000</v>
      </c>
    </row>
    <row r="57" spans="1:15" ht="19.899999999999999" customHeight="1">
      <c r="A57" s="22">
        <v>8</v>
      </c>
      <c r="B57" s="43">
        <v>3.6</v>
      </c>
      <c r="C57" s="2" t="s">
        <v>48</v>
      </c>
      <c r="D57" s="45">
        <v>46036.973611111112</v>
      </c>
      <c r="E57" s="2" t="s">
        <v>42</v>
      </c>
      <c r="F57" s="45">
        <v>46038.203472222223</v>
      </c>
      <c r="G57" s="2" t="s">
        <v>37</v>
      </c>
      <c r="H57" s="47">
        <f t="shared" si="0"/>
        <v>4</v>
      </c>
      <c r="I57" s="47">
        <f t="shared" si="1"/>
        <v>1</v>
      </c>
      <c r="J57" s="47" cm="1">
        <f t="array" ref="J57">ROUND(MOD((F57-_xlfn.SWITCH(G57,"WIB",0,"WITA",1,"WIT",2)/24)-(D57-_xlfn.SWITCH(E57,"WIB",0,"WITA",1,"WIT",2)/24),1)*24*60,0)</f>
        <v>391</v>
      </c>
      <c r="K57" s="4" t="str">
        <f t="shared" si="2"/>
        <v>QRIS</v>
      </c>
      <c r="L57" s="51">
        <f t="shared" si="3"/>
        <v>51000</v>
      </c>
      <c r="M57" s="51">
        <f t="shared" si="4"/>
        <v>9000</v>
      </c>
      <c r="N57" s="83">
        <f t="shared" si="5"/>
        <v>195000</v>
      </c>
    </row>
    <row r="58" spans="1:15" ht="19.899999999999999" customHeight="1">
      <c r="A58" s="22">
        <v>9</v>
      </c>
      <c r="B58" s="43">
        <v>0.2</v>
      </c>
      <c r="C58" s="2" t="s">
        <v>49</v>
      </c>
      <c r="D58" s="45">
        <v>46046.45208333333</v>
      </c>
      <c r="E58" s="2" t="s">
        <v>42</v>
      </c>
      <c r="F58" s="45">
        <v>46049.251388888886</v>
      </c>
      <c r="G58" s="2" t="s">
        <v>42</v>
      </c>
      <c r="H58" s="47">
        <f t="shared" si="0"/>
        <v>1</v>
      </c>
      <c r="I58" s="47">
        <f t="shared" si="1"/>
        <v>2</v>
      </c>
      <c r="J58" s="47" cm="1">
        <f t="array" ref="J58">ROUND(MOD((F58-_xlfn.SWITCH(G58,"WIB",0,"WITA",1,"WIT",2)/24)-(D58-_xlfn.SWITCH(E58,"WIB",0,"WITA",1,"WIT",2)/24),1)*24*60,0)</f>
        <v>1151</v>
      </c>
      <c r="K58" s="4" t="str">
        <f t="shared" si="2"/>
        <v>DANA</v>
      </c>
      <c r="L58" s="51">
        <f t="shared" si="3"/>
        <v>56000</v>
      </c>
      <c r="M58" s="51">
        <f t="shared" si="4"/>
        <v>4000</v>
      </c>
      <c r="N58" s="83">
        <f t="shared" si="5"/>
        <v>52000</v>
      </c>
    </row>
    <row r="59" spans="1:15" ht="19.899999999999999" customHeight="1">
      <c r="A59" s="22">
        <v>10</v>
      </c>
      <c r="B59" s="43">
        <v>3.2</v>
      </c>
      <c r="C59" s="2" t="s">
        <v>50</v>
      </c>
      <c r="D59" s="45">
        <v>46039.459027777775</v>
      </c>
      <c r="E59" s="2" t="s">
        <v>40</v>
      </c>
      <c r="F59" s="45">
        <v>46042.054166666669</v>
      </c>
      <c r="G59" s="2" t="s">
        <v>40</v>
      </c>
      <c r="H59" s="47">
        <f t="shared" si="0"/>
        <v>3</v>
      </c>
      <c r="I59" s="47">
        <f t="shared" si="1"/>
        <v>2</v>
      </c>
      <c r="J59" s="47" cm="1">
        <f t="array" ref="J59">ROUND(MOD((F59-_xlfn.SWITCH(G59,"WIB",0,"WITA",1,"WIT",2)/24)-(D59-_xlfn.SWITCH(E59,"WIB",0,"WITA",1,"WIT",2)/24),1)*24*60,0)</f>
        <v>857</v>
      </c>
      <c r="K59" s="4" t="str">
        <f t="shared" si="2"/>
        <v>TRANSFER</v>
      </c>
      <c r="L59" s="51">
        <f t="shared" si="3"/>
        <v>51000</v>
      </c>
      <c r="M59" s="51">
        <f t="shared" si="4"/>
        <v>9000</v>
      </c>
      <c r="N59" s="83">
        <f t="shared" si="5"/>
        <v>144000</v>
      </c>
    </row>
    <row r="60" spans="1:15" ht="19.899999999999999" customHeight="1">
      <c r="A60" s="22">
        <v>11</v>
      </c>
      <c r="B60" s="43">
        <v>7.7</v>
      </c>
      <c r="C60" s="2" t="s">
        <v>51</v>
      </c>
      <c r="D60" s="45">
        <v>46054.338194444441</v>
      </c>
      <c r="E60" s="2" t="s">
        <v>37</v>
      </c>
      <c r="F60" s="45">
        <v>46056.791666666664</v>
      </c>
      <c r="G60" s="2" t="s">
        <v>37</v>
      </c>
      <c r="H60" s="47">
        <f t="shared" si="0"/>
        <v>8</v>
      </c>
      <c r="I60" s="47">
        <f t="shared" si="1"/>
        <v>2</v>
      </c>
      <c r="J60" s="47" cm="1">
        <f t="array" ref="J60">ROUND(MOD((F60-_xlfn.SWITCH(G60,"WIB",0,"WITA",1,"WIT",2)/24)-(D60-_xlfn.SWITCH(E60,"WIB",0,"WITA",1,"WIT",2)/24),1)*24*60,0)</f>
        <v>653</v>
      </c>
      <c r="K60" s="4" t="str">
        <f t="shared" si="2"/>
        <v>QRIS</v>
      </c>
      <c r="L60" s="51">
        <f t="shared" si="3"/>
        <v>51000</v>
      </c>
      <c r="M60" s="51">
        <f t="shared" si="4"/>
        <v>9000</v>
      </c>
      <c r="N60" s="83">
        <f t="shared" si="5"/>
        <v>399000</v>
      </c>
    </row>
    <row r="61" spans="1:15" ht="19.899999999999999" customHeight="1">
      <c r="A61" s="22">
        <v>12</v>
      </c>
      <c r="B61" s="43">
        <v>5.9</v>
      </c>
      <c r="C61" s="2" t="s">
        <v>52</v>
      </c>
      <c r="D61" s="45">
        <v>46053.927083333336</v>
      </c>
      <c r="E61" s="2" t="s">
        <v>40</v>
      </c>
      <c r="F61" s="45">
        <v>46054.893055555556</v>
      </c>
      <c r="G61" s="2" t="s">
        <v>37</v>
      </c>
      <c r="H61" s="47">
        <f t="shared" si="0"/>
        <v>6</v>
      </c>
      <c r="I61" s="47">
        <f t="shared" si="1"/>
        <v>1</v>
      </c>
      <c r="J61" s="47" cm="1">
        <f t="array" ref="J61">ROUND(MOD((F61-_xlfn.SWITCH(G61,"WIB",0,"WITA",1,"WIT",2)/24)-(D61-_xlfn.SWITCH(E61,"WIB",0,"WITA",1,"WIT",2)/24),1)*24*60,0)</f>
        <v>71</v>
      </c>
      <c r="K61" s="4" t="str">
        <f t="shared" si="2"/>
        <v>OVO</v>
      </c>
      <c r="L61" s="51">
        <f t="shared" si="3"/>
        <v>56000</v>
      </c>
      <c r="M61" s="51">
        <f t="shared" si="4"/>
        <v>4000</v>
      </c>
      <c r="N61" s="83">
        <f t="shared" si="5"/>
        <v>332000</v>
      </c>
    </row>
    <row r="62" spans="1:15" ht="19.899999999999999" customHeight="1">
      <c r="A62" s="22">
        <v>13</v>
      </c>
      <c r="B62" s="43">
        <v>4.8</v>
      </c>
      <c r="C62" s="2" t="s">
        <v>53</v>
      </c>
      <c r="D62" s="45">
        <v>46040.788888888892</v>
      </c>
      <c r="E62" s="2" t="s">
        <v>42</v>
      </c>
      <c r="F62" s="45">
        <v>46042.39166666667</v>
      </c>
      <c r="G62" s="2" t="s">
        <v>37</v>
      </c>
      <c r="H62" s="47">
        <f t="shared" si="0"/>
        <v>5</v>
      </c>
      <c r="I62" s="47">
        <f t="shared" si="1"/>
        <v>1</v>
      </c>
      <c r="J62" s="47" cm="1">
        <f t="array" ref="J62">ROUND(MOD((F62-_xlfn.SWITCH(G62,"WIB",0,"WITA",1,"WIT",2)/24)-(D62-_xlfn.SWITCH(E62,"WIB",0,"WITA",1,"WIT",2)/24),1)*24*60,0)</f>
        <v>928</v>
      </c>
      <c r="K62" s="4" t="str">
        <f t="shared" si="2"/>
        <v>TRANSFER</v>
      </c>
      <c r="L62" s="51">
        <f t="shared" si="3"/>
        <v>51000</v>
      </c>
      <c r="M62" s="51">
        <f t="shared" si="4"/>
        <v>9000</v>
      </c>
      <c r="N62" s="83">
        <f t="shared" si="5"/>
        <v>246000</v>
      </c>
    </row>
    <row r="63" spans="1:15" ht="19.899999999999999" customHeight="1">
      <c r="A63" s="22">
        <v>14</v>
      </c>
      <c r="B63" s="43">
        <v>3.1</v>
      </c>
      <c r="C63" s="2" t="s">
        <v>54</v>
      </c>
      <c r="D63" s="45">
        <v>46063.508336023508</v>
      </c>
      <c r="E63" s="2" t="s">
        <v>37</v>
      </c>
      <c r="F63" s="45">
        <v>46065.720141579062</v>
      </c>
      <c r="G63" s="2" t="s">
        <v>40</v>
      </c>
      <c r="H63" s="47">
        <f t="shared" si="0"/>
        <v>3</v>
      </c>
      <c r="I63" s="47">
        <f t="shared" si="1"/>
        <v>2</v>
      </c>
      <c r="J63" s="47" cm="1">
        <f t="array" ref="J63">ROUND(MOD((F63-_xlfn.SWITCH(G63,"WIB",0,"WITA",1,"WIT",2)/24)-(D63-_xlfn.SWITCH(E63,"WIB",0,"WITA",1,"WIT",2)/24),1)*24*60,0)</f>
        <v>185</v>
      </c>
      <c r="K63" s="4" t="str">
        <f t="shared" si="2"/>
        <v>QRIS</v>
      </c>
      <c r="L63" s="51">
        <f t="shared" si="3"/>
        <v>51000</v>
      </c>
      <c r="M63" s="51">
        <f t="shared" si="4"/>
        <v>9000</v>
      </c>
      <c r="N63" s="83">
        <f t="shared" si="5"/>
        <v>144000</v>
      </c>
    </row>
    <row r="64" spans="1:15" ht="21.6" customHeight="1">
      <c r="A64" s="22">
        <v>15</v>
      </c>
      <c r="B64" s="43">
        <v>6.8</v>
      </c>
      <c r="C64" s="2" t="s">
        <v>55</v>
      </c>
      <c r="D64" s="45">
        <v>46078.076388888891</v>
      </c>
      <c r="E64" s="2" t="s">
        <v>40</v>
      </c>
      <c r="F64" s="45">
        <v>46081.101388888892</v>
      </c>
      <c r="G64" s="2" t="s">
        <v>37</v>
      </c>
      <c r="H64" s="47">
        <f t="shared" si="0"/>
        <v>7</v>
      </c>
      <c r="I64" s="47">
        <f t="shared" si="1"/>
        <v>3</v>
      </c>
      <c r="J64" s="47" cm="1">
        <f t="array" ref="J64">ROUND(MOD((F64-_xlfn.SWITCH(G64,"WIB",0,"WITA",1,"WIT",2)/24)-(D64-_xlfn.SWITCH(E64,"WIB",0,"WITA",1,"WIT",2)/24),1)*24*60,0)</f>
        <v>156</v>
      </c>
      <c r="K64" s="4" t="str">
        <f t="shared" si="2"/>
        <v>CASH</v>
      </c>
      <c r="L64" s="51">
        <f t="shared" si="3"/>
        <v>54000</v>
      </c>
      <c r="M64" s="51">
        <f t="shared" si="4"/>
        <v>3000</v>
      </c>
      <c r="N64" s="85">
        <f t="shared" si="5"/>
        <v>375000</v>
      </c>
      <c r="O64" s="84"/>
    </row>
    <row r="67" spans="1:14">
      <c r="D67" s="3"/>
    </row>
    <row r="68" spans="1:14">
      <c r="A68" s="67" t="s">
        <v>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 spans="1:14">
      <c r="D69" s="3"/>
    </row>
    <row r="70" spans="1:14">
      <c r="D70" s="3"/>
    </row>
    <row r="71" spans="1:14">
      <c r="D71" s="3"/>
    </row>
  </sheetData>
  <mergeCells count="5">
    <mergeCell ref="A18:B18"/>
    <mergeCell ref="A68:N68"/>
    <mergeCell ref="E18:F18"/>
    <mergeCell ref="A20:L20"/>
    <mergeCell ref="A43:L43"/>
  </mergeCells>
  <conditionalFormatting sqref="A50:M64">
    <cfRule type="expression" dxfId="0" priority="1">
      <formula>$A50=15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CFE8-383D-4B32-8E2E-EBFFB58BCE13}">
  <sheetPr codeName="Sheet3"/>
  <dimension ref="B1:P32"/>
  <sheetViews>
    <sheetView showGridLines="0" workbookViewId="0">
      <selection activeCell="K21" sqref="K21"/>
    </sheetView>
  </sheetViews>
  <sheetFormatPr defaultColWidth="8.85546875" defaultRowHeight="15"/>
  <cols>
    <col min="1" max="1" width="5.7109375" style="6" customWidth="1"/>
    <col min="2" max="2" width="10" style="6" customWidth="1"/>
    <col min="3" max="6" width="8.85546875" style="6"/>
    <col min="7" max="8" width="4.28515625" style="6" customWidth="1"/>
    <col min="9" max="9" width="8.85546875" style="6"/>
    <col min="10" max="10" width="10.42578125" style="6" customWidth="1"/>
    <col min="11" max="11" width="9.28515625" style="6" customWidth="1"/>
    <col min="12" max="13" width="8.85546875" style="6"/>
    <col min="14" max="14" width="26.42578125" style="6" customWidth="1"/>
    <col min="15" max="16384" width="8.85546875" style="6"/>
  </cols>
  <sheetData>
    <row r="1" spans="7:16">
      <c r="H1" s="5"/>
      <c r="I1" s="5"/>
      <c r="J1" s="5"/>
      <c r="K1" s="5"/>
      <c r="L1" s="5"/>
      <c r="M1" s="5"/>
      <c r="N1" s="5"/>
      <c r="O1" s="5"/>
      <c r="P1" s="5"/>
    </row>
    <row r="2" spans="7:16">
      <c r="H2" s="5"/>
      <c r="I2" s="5"/>
      <c r="J2" s="5"/>
      <c r="K2" s="5"/>
      <c r="L2" s="5"/>
      <c r="M2" s="5"/>
      <c r="N2" s="5"/>
      <c r="O2" s="5"/>
      <c r="P2" s="5"/>
    </row>
    <row r="3" spans="7:16">
      <c r="G3" s="25"/>
      <c r="H3" s="26"/>
      <c r="I3" s="5"/>
      <c r="J3" s="5"/>
      <c r="K3" s="5"/>
      <c r="L3" s="5"/>
      <c r="M3" s="5"/>
      <c r="N3" s="5"/>
      <c r="O3" s="5"/>
      <c r="P3" s="5"/>
    </row>
    <row r="4" spans="7:16">
      <c r="G4" s="25"/>
      <c r="H4" s="26"/>
      <c r="I4" s="5"/>
      <c r="J4" s="5"/>
      <c r="K4" s="5"/>
      <c r="L4" s="5"/>
      <c r="M4" s="5"/>
      <c r="N4" s="5"/>
      <c r="O4" s="5"/>
      <c r="P4" s="5"/>
    </row>
    <row r="5" spans="7:16">
      <c r="G5" s="25"/>
      <c r="H5" s="26"/>
      <c r="I5" s="5"/>
      <c r="J5" s="5"/>
      <c r="K5" s="5"/>
      <c r="L5" s="5"/>
      <c r="M5" s="5"/>
      <c r="N5" s="5"/>
      <c r="O5" s="5"/>
      <c r="P5" s="5"/>
    </row>
    <row r="6" spans="7:16">
      <c r="G6" s="25"/>
      <c r="H6" s="26"/>
      <c r="I6" s="5" t="s">
        <v>56</v>
      </c>
      <c r="J6" s="5"/>
      <c r="K6" s="5"/>
      <c r="L6" s="5"/>
      <c r="M6" s="5"/>
      <c r="N6" s="5"/>
      <c r="O6" s="5"/>
      <c r="P6" s="5"/>
    </row>
    <row r="7" spans="7:16">
      <c r="G7" s="25"/>
      <c r="H7" s="26"/>
      <c r="I7" s="5" t="s">
        <v>57</v>
      </c>
      <c r="J7" s="5"/>
      <c r="K7" s="5"/>
      <c r="L7" s="5"/>
      <c r="M7" s="5"/>
      <c r="N7" s="5"/>
      <c r="O7" s="5"/>
      <c r="P7" s="5"/>
    </row>
    <row r="8" spans="7:16">
      <c r="G8" s="25"/>
      <c r="H8" s="26"/>
      <c r="I8" s="5"/>
      <c r="J8" s="5"/>
      <c r="K8" s="5"/>
      <c r="L8" s="5"/>
      <c r="M8" s="5"/>
      <c r="N8" s="5"/>
      <c r="O8" s="5"/>
      <c r="P8" s="5"/>
    </row>
    <row r="9" spans="7:16">
      <c r="G9" s="25"/>
      <c r="H9" s="26"/>
      <c r="I9" s="5"/>
      <c r="J9" s="5"/>
      <c r="K9" s="5"/>
      <c r="L9" s="5"/>
      <c r="M9" s="5"/>
      <c r="N9" s="5"/>
      <c r="O9" s="5"/>
      <c r="P9" s="5"/>
    </row>
    <row r="10" spans="7:16">
      <c r="G10" s="25"/>
      <c r="H10" s="26"/>
      <c r="I10" s="5" t="s">
        <v>58</v>
      </c>
      <c r="J10" s="5"/>
      <c r="K10" s="5"/>
      <c r="L10" s="5"/>
      <c r="M10" s="5"/>
      <c r="N10" s="5"/>
      <c r="O10" s="5"/>
      <c r="P10" s="5"/>
    </row>
    <row r="11" spans="7:16">
      <c r="G11" s="25"/>
      <c r="H11" s="26"/>
      <c r="I11" s="5"/>
      <c r="J11" s="5"/>
      <c r="K11" s="5"/>
      <c r="L11" s="5"/>
      <c r="M11" s="5"/>
      <c r="N11" s="5"/>
      <c r="O11" s="5"/>
      <c r="P11" s="5"/>
    </row>
    <row r="12" spans="7:16">
      <c r="G12" s="25"/>
      <c r="H12" s="26"/>
      <c r="I12" s="5"/>
      <c r="J12" s="76" t="s">
        <v>59</v>
      </c>
      <c r="K12" s="76"/>
      <c r="L12" s="75" t="s">
        <v>60</v>
      </c>
      <c r="M12" s="75"/>
      <c r="N12" s="5"/>
      <c r="O12" s="5"/>
      <c r="P12" s="5"/>
    </row>
    <row r="13" spans="7:16">
      <c r="G13" s="25"/>
      <c r="H13" s="26"/>
      <c r="I13" s="5"/>
      <c r="J13" s="76" t="s">
        <v>61</v>
      </c>
      <c r="K13" s="76"/>
      <c r="L13" s="65" t="s">
        <v>62</v>
      </c>
      <c r="M13" s="7"/>
      <c r="N13" s="5"/>
      <c r="O13" s="5"/>
      <c r="P13" s="5"/>
    </row>
    <row r="14" spans="7:16">
      <c r="G14" s="25"/>
      <c r="H14" s="26"/>
      <c r="I14" s="5"/>
      <c r="J14" s="76" t="s">
        <v>63</v>
      </c>
      <c r="K14" s="76"/>
      <c r="L14" s="65" t="s">
        <v>64</v>
      </c>
      <c r="M14" s="8"/>
      <c r="N14" s="5"/>
      <c r="O14" s="5"/>
      <c r="P14" s="5"/>
    </row>
    <row r="15" spans="7:16">
      <c r="G15" s="25"/>
      <c r="H15" s="26"/>
      <c r="I15" s="5"/>
      <c r="J15" s="76" t="s">
        <v>65</v>
      </c>
      <c r="K15" s="76"/>
      <c r="L15" s="65" t="s">
        <v>66</v>
      </c>
      <c r="M15" s="8"/>
      <c r="N15" s="5"/>
      <c r="O15" s="5"/>
      <c r="P15" s="5"/>
    </row>
    <row r="16" spans="7:16">
      <c r="G16" s="25"/>
      <c r="H16" s="26"/>
      <c r="I16" s="5"/>
      <c r="J16" s="76" t="s">
        <v>67</v>
      </c>
      <c r="K16" s="76"/>
      <c r="L16" s="65" t="s">
        <v>68</v>
      </c>
      <c r="M16" s="8"/>
      <c r="N16" s="5"/>
      <c r="O16" s="5"/>
      <c r="P16" s="5"/>
    </row>
    <row r="17" spans="2:16" ht="54.6" customHeight="1">
      <c r="B17" s="78" t="s">
        <v>69</v>
      </c>
      <c r="C17" s="78"/>
      <c r="D17" s="78"/>
      <c r="E17" s="78"/>
      <c r="F17" s="79"/>
      <c r="G17" s="27"/>
      <c r="H17" s="26"/>
      <c r="I17" s="5" t="s">
        <v>70</v>
      </c>
      <c r="J17" s="5"/>
      <c r="K17" s="5"/>
      <c r="L17" s="5"/>
      <c r="M17" s="5"/>
      <c r="N17" s="5"/>
      <c r="O17" s="5"/>
      <c r="P17" s="5"/>
    </row>
    <row r="18" spans="2:16" ht="54.6" customHeight="1">
      <c r="B18" s="80" t="s">
        <v>71</v>
      </c>
      <c r="C18" s="80"/>
      <c r="D18" s="80"/>
      <c r="E18" s="80"/>
      <c r="F18" s="81"/>
      <c r="G18" s="28"/>
      <c r="H18" s="26"/>
      <c r="I18" s="29" t="s">
        <v>72</v>
      </c>
      <c r="J18" s="5"/>
      <c r="K18" s="5"/>
      <c r="L18" s="5"/>
      <c r="M18" s="5"/>
      <c r="N18" s="5"/>
      <c r="O18" s="5"/>
      <c r="P18" s="5"/>
    </row>
    <row r="19" spans="2:16">
      <c r="B19" s="30" t="s">
        <v>73</v>
      </c>
      <c r="H19" s="5"/>
      <c r="J19" s="5"/>
      <c r="K19" s="5"/>
      <c r="L19" s="5"/>
      <c r="M19" s="5"/>
      <c r="N19" s="5"/>
      <c r="O19" s="5"/>
      <c r="P19" s="5"/>
    </row>
    <row r="20" spans="2:16">
      <c r="B20" s="31" t="s">
        <v>74</v>
      </c>
      <c r="C20" s="32" t="s">
        <v>75</v>
      </c>
      <c r="H20" s="5"/>
      <c r="J20" s="5"/>
      <c r="K20" s="5"/>
      <c r="L20" s="5"/>
      <c r="M20" s="5"/>
      <c r="N20" s="5"/>
      <c r="O20" s="5"/>
      <c r="P20" s="5"/>
    </row>
    <row r="21" spans="2:16">
      <c r="B21" s="33" t="s">
        <v>76</v>
      </c>
      <c r="C21" s="32" t="s">
        <v>77</v>
      </c>
      <c r="H21" s="5"/>
      <c r="I21" s="5"/>
      <c r="J21" s="5"/>
      <c r="K21" s="5"/>
      <c r="L21" s="5"/>
      <c r="M21" s="5"/>
      <c r="N21" s="5"/>
      <c r="O21" s="5"/>
      <c r="P21" s="5"/>
    </row>
    <row r="22" spans="2:16">
      <c r="H22" s="5"/>
      <c r="I22" s="5"/>
      <c r="J22" s="5"/>
      <c r="K22" s="5"/>
      <c r="L22" s="5"/>
      <c r="M22" s="5"/>
      <c r="N22" s="5"/>
      <c r="O22" s="5"/>
      <c r="P22" s="5"/>
    </row>
    <row r="23" spans="2:16">
      <c r="N23" s="5"/>
      <c r="O23" s="5"/>
      <c r="P23" s="5"/>
    </row>
    <row r="24" spans="2:16">
      <c r="N24" s="5"/>
      <c r="O24" s="5"/>
      <c r="P24" s="5"/>
    </row>
    <row r="25" spans="2:16">
      <c r="B25" s="77"/>
      <c r="C25" s="67"/>
      <c r="D25" s="67"/>
      <c r="E25" s="67"/>
      <c r="F25" s="67"/>
      <c r="G25" s="67"/>
      <c r="H25" s="67"/>
      <c r="I25" s="67"/>
      <c r="N25" s="5"/>
      <c r="O25" s="5"/>
      <c r="P25" s="5"/>
    </row>
    <row r="26" spans="2:16">
      <c r="B26" s="36"/>
      <c r="C26" s="37"/>
      <c r="D26" s="36"/>
      <c r="E26" s="36"/>
      <c r="F26" s="36"/>
      <c r="G26" s="36"/>
      <c r="H26" s="36"/>
      <c r="I26" s="36"/>
    </row>
    <row r="27" spans="2:16">
      <c r="B27" s="36"/>
      <c r="C27" s="36"/>
      <c r="D27" s="38" t="s">
        <v>78</v>
      </c>
      <c r="E27" s="36"/>
      <c r="F27" s="36"/>
      <c r="G27" s="36"/>
      <c r="H27" s="36"/>
      <c r="I27" s="36"/>
    </row>
    <row r="28" spans="2:16">
      <c r="B28" s="36"/>
      <c r="C28" s="36"/>
      <c r="D28" s="39" t="s">
        <v>79</v>
      </c>
      <c r="E28" s="36"/>
      <c r="F28" s="36"/>
      <c r="G28" s="36"/>
      <c r="H28" s="36"/>
      <c r="I28" s="36"/>
    </row>
    <row r="29" spans="2:16">
      <c r="B29" s="36"/>
      <c r="C29" s="36"/>
      <c r="D29" s="40" t="s">
        <v>80</v>
      </c>
      <c r="E29" s="36"/>
      <c r="F29" s="36"/>
      <c r="G29" s="36"/>
      <c r="H29" s="36"/>
      <c r="I29" s="36"/>
    </row>
    <row r="30" spans="2:16">
      <c r="B30" s="36"/>
      <c r="C30" s="36"/>
      <c r="D30" s="36"/>
      <c r="E30" s="36"/>
      <c r="F30" s="36"/>
      <c r="G30" s="36"/>
      <c r="H30" s="36"/>
      <c r="I30" s="36"/>
    </row>
    <row r="31" spans="2:16">
      <c r="B31" s="36"/>
      <c r="C31" s="36"/>
      <c r="D31" s="36"/>
      <c r="E31" s="36"/>
      <c r="F31" s="36"/>
      <c r="G31" s="36"/>
      <c r="H31" s="36"/>
      <c r="I31" s="36"/>
    </row>
    <row r="32" spans="2:16">
      <c r="B32" s="77"/>
      <c r="C32" s="67"/>
      <c r="D32" s="67"/>
      <c r="E32" s="67"/>
      <c r="F32" s="67"/>
      <c r="G32" s="67"/>
      <c r="H32" s="67"/>
      <c r="I32" s="67"/>
    </row>
  </sheetData>
  <mergeCells count="10">
    <mergeCell ref="B25:I25"/>
    <mergeCell ref="B32:I32"/>
    <mergeCell ref="B17:F17"/>
    <mergeCell ref="B18:F18"/>
    <mergeCell ref="J12:K12"/>
    <mergeCell ref="L12:M12"/>
    <mergeCell ref="J13:K13"/>
    <mergeCell ref="J14:K14"/>
    <mergeCell ref="J15:K15"/>
    <mergeCell ref="J16:K16"/>
  </mergeCells>
  <hyperlinks>
    <hyperlink ref="I18" r:id="rId1" xr:uid="{EAD225F8-7294-4FA9-813A-AC0AD5A0C968}"/>
    <hyperlink ref="C21" r:id="rId2" xr:uid="{F2BA5157-0E53-447C-BE00-EE4B31310362}"/>
    <hyperlink ref="C20" r:id="rId3" xr:uid="{C61BD323-E54F-401E-819E-03234B9E8CB1}"/>
    <hyperlink ref="D29" r:id="rId4" xr:uid="{74932B0D-D4E3-40C5-BD35-D4EF4BED8D45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195E-21EC-4470-A3EB-C8614378B326}">
  <sheetPr codeName="Sheet2"/>
  <dimension ref="A1:T61"/>
  <sheetViews>
    <sheetView topLeftCell="A46" workbookViewId="0">
      <selection activeCell="L15" sqref="L15"/>
    </sheetView>
  </sheetViews>
  <sheetFormatPr defaultRowHeight="15"/>
  <cols>
    <col min="3" max="3" width="15.28515625" customWidth="1"/>
    <col min="4" max="4" width="16.7109375" customWidth="1"/>
    <col min="5" max="5" width="30.7109375" customWidth="1"/>
    <col min="6" max="7" width="13.42578125" customWidth="1"/>
    <col min="8" max="8" width="15.7109375" customWidth="1"/>
    <col min="9" max="9" width="11.28515625" customWidth="1"/>
    <col min="14" max="14" width="56.28515625" customWidth="1"/>
  </cols>
  <sheetData>
    <row r="1" spans="1:20">
      <c r="A1" t="s">
        <v>81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</row>
    <row r="2" spans="1:20">
      <c r="A2" t="s">
        <v>82</v>
      </c>
      <c r="B2">
        <v>1</v>
      </c>
      <c r="C2">
        <f>'XL-Test'!H50</f>
        <v>6</v>
      </c>
      <c r="D2">
        <f>'XL-Test'!I50</f>
        <v>3</v>
      </c>
      <c r="E2" s="63">
        <f>ROUND('XL-Test'!J50,0)</f>
        <v>384</v>
      </c>
      <c r="F2" t="str">
        <f>'XL-Test'!K50</f>
        <v>COD</v>
      </c>
      <c r="G2">
        <f>'XL-Test'!L50</f>
        <v>54000</v>
      </c>
      <c r="H2">
        <f>'XL-Test'!M50</f>
        <v>3000</v>
      </c>
      <c r="I2">
        <f>'XL-Test'!N50</f>
        <v>321000</v>
      </c>
      <c r="M2">
        <v>1</v>
      </c>
      <c r="N2" t="str">
        <f ca="1">_xlfn.FORMULATEXT('XL-Test'!H50)</f>
        <v>=MAX(1;CEILING(B50-0,3;1))</v>
      </c>
      <c r="O2" t="str">
        <f ca="1">_xlfn.FORMULATEXT('XL-Test'!I50)</f>
        <v>=INT((F50 - IF(G50="WITA";1/24;IF(G50="WIT";2/24;0))) - (D50 - IF(E50="WITA";1/24;IF(E50="WIT";2/24;0))))</v>
      </c>
      <c r="P2" t="str">
        <f ca="1">_xlfn.FORMULATEXT('XL-Test'!J50)</f>
        <v>=ROUND(MOD((F50-SWITCH(G50;"WIB";0;"WITA";1;"WIT";2)/24)-(D50-SWITCH(E50;"WIB";0;"WITA";1;"WIT";2)/24);1)*24*60;0)</v>
      </c>
      <c r="Q2" t="str">
        <f ca="1">_xlfn.FORMULATEXT('XL-Test'!K50)</f>
        <v>=TEXTAFTER(C50;"-")</v>
      </c>
      <c r="R2" t="str">
        <f ca="1">_xlfn.FORMULATEXT('XL-Test'!L50)</f>
        <v>=XLOOKUP("*"&amp;K50&amp;"*";$D$35:$F$35;$D$36:$F$36;;2)</v>
      </c>
      <c r="S2" t="str">
        <f ca="1">_xlfn.FORMULATEXT('XL-Test'!M50)</f>
        <v>=XLOOKUP("*"&amp;K50&amp;"*";$D$35:$F$35;$D$37:$F$37;;2)</v>
      </c>
      <c r="T2" t="str">
        <f ca="1">_xlfn.FORMULATEXT('XL-Test'!N50)</f>
        <v>=L50*H50-M50</v>
      </c>
    </row>
    <row r="3" spans="1:20">
      <c r="B3">
        <v>2</v>
      </c>
      <c r="C3">
        <f>'XL-Test'!H51</f>
        <v>6</v>
      </c>
      <c r="D3">
        <f>'XL-Test'!I51</f>
        <v>1</v>
      </c>
      <c r="E3" s="63">
        <f>ROUND('XL-Test'!J51,0)</f>
        <v>1412</v>
      </c>
      <c r="F3" t="str">
        <f>'XL-Test'!K51</f>
        <v>TRANSFER</v>
      </c>
      <c r="G3">
        <f>'XL-Test'!L51</f>
        <v>51000</v>
      </c>
      <c r="H3">
        <f>'XL-Test'!M51</f>
        <v>9000</v>
      </c>
      <c r="I3">
        <f>'XL-Test'!N51</f>
        <v>297000</v>
      </c>
      <c r="M3">
        <v>2</v>
      </c>
      <c r="N3" t="str">
        <f ca="1">O2</f>
        <v>=INT((F50 - IF(G50="WITA";1/24;IF(G50="WIT";2/24;0))) - (D50 - IF(E50="WITA";1/24;IF(E50="WIT";2/24;0))))</v>
      </c>
    </row>
    <row r="4" spans="1:20">
      <c r="B4">
        <v>3</v>
      </c>
      <c r="C4">
        <f>'XL-Test'!H52</f>
        <v>6</v>
      </c>
      <c r="D4">
        <f>'XL-Test'!I52</f>
        <v>2</v>
      </c>
      <c r="E4" s="63">
        <f>ROUND('XL-Test'!J52,0)</f>
        <v>989</v>
      </c>
      <c r="F4" t="str">
        <f>'XL-Test'!K52</f>
        <v>DANA</v>
      </c>
      <c r="G4">
        <f>'XL-Test'!L52</f>
        <v>56000</v>
      </c>
      <c r="H4">
        <f>'XL-Test'!M52</f>
        <v>4000</v>
      </c>
      <c r="I4">
        <f>'XL-Test'!N52</f>
        <v>332000</v>
      </c>
      <c r="M4">
        <v>3</v>
      </c>
      <c r="N4" t="str">
        <f ca="1">P2</f>
        <v>=ROUND(MOD((F50-SWITCH(G50;"WIB";0;"WITA";1;"WIT";2)/24)-(D50-SWITCH(E50;"WIB";0;"WITA";1;"WIT";2)/24);1)*24*60;0)</v>
      </c>
    </row>
    <row r="5" spans="1:20">
      <c r="B5">
        <v>4</v>
      </c>
      <c r="C5">
        <f>'XL-Test'!H53</f>
        <v>9</v>
      </c>
      <c r="D5">
        <f>'XL-Test'!I53</f>
        <v>2</v>
      </c>
      <c r="E5" s="63">
        <f>ROUND('XL-Test'!J53,0)</f>
        <v>1376</v>
      </c>
      <c r="F5" t="str">
        <f>'XL-Test'!K53</f>
        <v>CASH</v>
      </c>
      <c r="G5">
        <f>'XL-Test'!L53</f>
        <v>54000</v>
      </c>
      <c r="H5">
        <f>'XL-Test'!M53</f>
        <v>3000</v>
      </c>
      <c r="I5">
        <f>'XL-Test'!N53</f>
        <v>483000</v>
      </c>
      <c r="M5">
        <v>4</v>
      </c>
      <c r="N5" t="str">
        <f ca="1">Q2</f>
        <v>=TEXTAFTER(C50;"-")</v>
      </c>
    </row>
    <row r="6" spans="1:20">
      <c r="B6">
        <v>5</v>
      </c>
      <c r="C6">
        <f>'XL-Test'!H54</f>
        <v>1</v>
      </c>
      <c r="D6">
        <f>'XL-Test'!I54</f>
        <v>2</v>
      </c>
      <c r="E6" s="63">
        <f>ROUND('XL-Test'!J54,0)</f>
        <v>508</v>
      </c>
      <c r="F6" t="str">
        <f>'XL-Test'!K54</f>
        <v>OVO</v>
      </c>
      <c r="G6">
        <f>'XL-Test'!L54</f>
        <v>56000</v>
      </c>
      <c r="H6">
        <f>'XL-Test'!M54</f>
        <v>4000</v>
      </c>
      <c r="I6">
        <f>'XL-Test'!N54</f>
        <v>52000</v>
      </c>
      <c r="M6">
        <v>5</v>
      </c>
      <c r="N6" t="str">
        <f ca="1">R2</f>
        <v>=XLOOKUP("*"&amp;K50&amp;"*";$D$35:$F$35;$D$36:$F$36;;2)</v>
      </c>
    </row>
    <row r="7" spans="1:20">
      <c r="B7">
        <v>6</v>
      </c>
      <c r="C7">
        <f>'XL-Test'!H55</f>
        <v>1</v>
      </c>
      <c r="D7">
        <f>'XL-Test'!I55</f>
        <v>3</v>
      </c>
      <c r="E7" s="63">
        <f>ROUND('XL-Test'!J55,0)</f>
        <v>372</v>
      </c>
      <c r="F7" t="str">
        <f>'XL-Test'!K55</f>
        <v>TRANSFER</v>
      </c>
      <c r="G7">
        <f>'XL-Test'!L55</f>
        <v>51000</v>
      </c>
      <c r="H7">
        <f>'XL-Test'!M55</f>
        <v>9000</v>
      </c>
      <c r="I7">
        <f>'XL-Test'!N55</f>
        <v>42000</v>
      </c>
      <c r="M7">
        <v>6</v>
      </c>
      <c r="N7" t="str">
        <f ca="1">S2</f>
        <v>=XLOOKUP("*"&amp;K50&amp;"*";$D$35:$F$35;$D$37:$F$37;;2)</v>
      </c>
    </row>
    <row r="8" spans="1:20">
      <c r="B8">
        <v>7</v>
      </c>
      <c r="C8">
        <f>'XL-Test'!H56</f>
        <v>4</v>
      </c>
      <c r="D8">
        <f>'XL-Test'!I56</f>
        <v>2</v>
      </c>
      <c r="E8" s="63">
        <f>ROUND('XL-Test'!J56,0)</f>
        <v>1262</v>
      </c>
      <c r="F8" t="str">
        <f>'XL-Test'!K56</f>
        <v>COD</v>
      </c>
      <c r="G8">
        <f>'XL-Test'!L56</f>
        <v>54000</v>
      </c>
      <c r="H8">
        <f>'XL-Test'!M56</f>
        <v>3000</v>
      </c>
      <c r="I8">
        <f>'XL-Test'!N56</f>
        <v>213000</v>
      </c>
      <c r="M8">
        <v>7</v>
      </c>
      <c r="N8" t="str">
        <f ca="1">T2</f>
        <v>=L50*H50-M50</v>
      </c>
    </row>
    <row r="9" spans="1:20">
      <c r="B9">
        <v>8</v>
      </c>
      <c r="C9">
        <f>'XL-Test'!H57</f>
        <v>4</v>
      </c>
      <c r="D9">
        <f>'XL-Test'!I57</f>
        <v>1</v>
      </c>
      <c r="E9" s="63">
        <f>ROUND('XL-Test'!J57,0)</f>
        <v>391</v>
      </c>
      <c r="F9" t="str">
        <f>'XL-Test'!K57</f>
        <v>QRIS</v>
      </c>
      <c r="G9">
        <f>'XL-Test'!L57</f>
        <v>51000</v>
      </c>
      <c r="H9">
        <f>'XL-Test'!M57</f>
        <v>9000</v>
      </c>
      <c r="I9">
        <f>'XL-Test'!N57</f>
        <v>195000</v>
      </c>
    </row>
    <row r="10" spans="1:20">
      <c r="B10">
        <v>9</v>
      </c>
      <c r="C10">
        <f>'XL-Test'!H58</f>
        <v>1</v>
      </c>
      <c r="D10">
        <f>'XL-Test'!I58</f>
        <v>2</v>
      </c>
      <c r="E10" s="63">
        <f>ROUND('XL-Test'!J58,0)</f>
        <v>1151</v>
      </c>
      <c r="F10" t="str">
        <f>'XL-Test'!K58</f>
        <v>DANA</v>
      </c>
      <c r="G10">
        <f>'XL-Test'!L58</f>
        <v>56000</v>
      </c>
      <c r="H10">
        <f>'XL-Test'!M58</f>
        <v>4000</v>
      </c>
      <c r="I10">
        <f>'XL-Test'!N58</f>
        <v>52000</v>
      </c>
    </row>
    <row r="11" spans="1:20">
      <c r="B11">
        <v>10</v>
      </c>
      <c r="C11">
        <f>'XL-Test'!H59</f>
        <v>3</v>
      </c>
      <c r="D11">
        <f>'XL-Test'!I59</f>
        <v>2</v>
      </c>
      <c r="E11" s="63">
        <f>ROUND('XL-Test'!J59,0)</f>
        <v>857</v>
      </c>
      <c r="F11" t="str">
        <f>'XL-Test'!K59</f>
        <v>TRANSFER</v>
      </c>
      <c r="G11">
        <f>'XL-Test'!L59</f>
        <v>51000</v>
      </c>
      <c r="H11">
        <f>'XL-Test'!M59</f>
        <v>9000</v>
      </c>
      <c r="I11">
        <f>'XL-Test'!N59</f>
        <v>144000</v>
      </c>
    </row>
    <row r="12" spans="1:20">
      <c r="B12">
        <v>11</v>
      </c>
      <c r="C12">
        <f>'XL-Test'!H60</f>
        <v>8</v>
      </c>
      <c r="D12">
        <f>'XL-Test'!I60</f>
        <v>2</v>
      </c>
      <c r="E12" s="63">
        <f>ROUND('XL-Test'!J60,0)</f>
        <v>653</v>
      </c>
      <c r="F12" t="str">
        <f>'XL-Test'!K60</f>
        <v>QRIS</v>
      </c>
      <c r="G12">
        <f>'XL-Test'!L60</f>
        <v>51000</v>
      </c>
      <c r="H12">
        <f>'XL-Test'!M60</f>
        <v>9000</v>
      </c>
      <c r="I12">
        <f>'XL-Test'!N60</f>
        <v>399000</v>
      </c>
    </row>
    <row r="13" spans="1:20">
      <c r="B13">
        <v>12</v>
      </c>
      <c r="C13">
        <f>'XL-Test'!H61</f>
        <v>6</v>
      </c>
      <c r="D13">
        <f>'XL-Test'!I61</f>
        <v>1</v>
      </c>
      <c r="E13" s="63">
        <f>ROUND('XL-Test'!J61,0)</f>
        <v>71</v>
      </c>
      <c r="F13" t="str">
        <f>'XL-Test'!K61</f>
        <v>OVO</v>
      </c>
      <c r="G13">
        <f>'XL-Test'!L61</f>
        <v>56000</v>
      </c>
      <c r="H13">
        <f>'XL-Test'!M61</f>
        <v>4000</v>
      </c>
      <c r="I13">
        <f>'XL-Test'!N61</f>
        <v>332000</v>
      </c>
    </row>
    <row r="14" spans="1:20">
      <c r="B14">
        <v>13</v>
      </c>
      <c r="C14">
        <f>'XL-Test'!H62</f>
        <v>5</v>
      </c>
      <c r="D14">
        <f>'XL-Test'!I62</f>
        <v>1</v>
      </c>
      <c r="E14" s="63">
        <f>ROUND('XL-Test'!J62,0)</f>
        <v>928</v>
      </c>
      <c r="F14" t="str">
        <f>'XL-Test'!K62</f>
        <v>TRANSFER</v>
      </c>
      <c r="G14">
        <f>'XL-Test'!L62</f>
        <v>51000</v>
      </c>
      <c r="H14">
        <f>'XL-Test'!M62</f>
        <v>9000</v>
      </c>
      <c r="I14">
        <f>'XL-Test'!N62</f>
        <v>246000</v>
      </c>
    </row>
    <row r="15" spans="1:20">
      <c r="B15">
        <v>14</v>
      </c>
      <c r="C15">
        <f>'XL-Test'!H63</f>
        <v>3</v>
      </c>
      <c r="D15">
        <f>'XL-Test'!I63</f>
        <v>2</v>
      </c>
      <c r="E15" s="63">
        <f>ROUND('XL-Test'!J63,0)</f>
        <v>185</v>
      </c>
      <c r="F15" t="str">
        <f>'XL-Test'!K63</f>
        <v>QRIS</v>
      </c>
      <c r="G15">
        <f>'XL-Test'!L63</f>
        <v>51000</v>
      </c>
      <c r="H15">
        <f>'XL-Test'!M63</f>
        <v>9000</v>
      </c>
      <c r="I15">
        <f>'XL-Test'!N63</f>
        <v>144000</v>
      </c>
    </row>
    <row r="16" spans="1:20">
      <c r="B16">
        <v>15</v>
      </c>
      <c r="C16">
        <f>'XL-Test'!H64</f>
        <v>7</v>
      </c>
      <c r="D16">
        <f>'XL-Test'!I64</f>
        <v>3</v>
      </c>
      <c r="E16" s="63">
        <f>ROUND('XL-Test'!J64,0)</f>
        <v>156</v>
      </c>
      <c r="F16" t="str">
        <f>'XL-Test'!K64</f>
        <v>CASH</v>
      </c>
      <c r="G16">
        <f>'XL-Test'!L64</f>
        <v>54000</v>
      </c>
      <c r="H16">
        <f>'XL-Test'!M64</f>
        <v>3000</v>
      </c>
      <c r="I16">
        <f>'XL-Test'!N64</f>
        <v>375000</v>
      </c>
    </row>
    <row r="18" spans="2:9">
      <c r="C18">
        <f>SUM(C2:C16)+C2+C4+C6+C8+C10+C12+C14+C16*C3*C5*C7*C9*C11</f>
        <v>4637</v>
      </c>
      <c r="D18">
        <f>SUM(D2:D16)+D2+D4+D6+D8+D10+D12+D14+D16*D3*D5*D7*D9*D11*D15*D16</f>
        <v>259</v>
      </c>
      <c r="E18">
        <f>SUM(E2:E16)+E2+E4+E6+E8+E10+E12+E14+E16</f>
        <v>16726</v>
      </c>
      <c r="F18">
        <f>CODE(LEFT(F2))+CODE(RIGHT(F2))+CODE(LEFT(F3))+CODE(RIGHT(F3))+CODE(LEFT(F4))+CODE(RIGHT(F4))+CODE(LEFT(F5))+CODE(RIGHT(F5))+CODE(LEFT(F6))+CODE(RIGHT(F6))+CODE(LEFT(F6))+CODE(RIGHT(F6))+CODE(LEFT(F7))+CODE(RIGHT(F7))+CODE(LEFT(F8))+CODE(RIGHT(F8))+CODE(LEFT(F9))+CODE(RIGHT(F9))+CODE(LEFT(F10))+CODE(RIGHT(F10))+CODE(LEFT(F11))+CODE(RIGHT(F11))+CODE(MID(F2,3,1))+CODE(MID(F11,3,1))+CODE(LEFT(RIGHT(F9,3)))+CODE(LEFT(F12))+CODE(LEFT(F13))+CODE(LEFT(F14))+CODE(LEFT(F15))+CODE(LEFT(F16))+CODE(RIGHT(F2))+CODE(RIGHT(F4))+CODE(RIGHT(F6))+CODE(RIGHT(F8))+CODE(RIGHT(F12))+CODE(RIGHT(F15))+CODE(MID(F2,3,1))+CODE(MID(F6,3,1))+CODE(MID(F11,3,1))+CODE(MID(F15,3,1))</f>
        <v>2991</v>
      </c>
      <c r="G18">
        <f>(SUM(G2:G16)+G3+G6+G10+G13+G15+G8)/100</f>
        <v>11210</v>
      </c>
      <c r="H18">
        <f>(SUM(H2:H16)+H3+H6+H10+H13+H15+H8)/100</f>
        <v>1240</v>
      </c>
      <c r="I18">
        <f>(SUM(I2:I16)+I3+I6+I10+I13+I15+I8)/100</f>
        <v>47170</v>
      </c>
    </row>
    <row r="19" spans="2:9">
      <c r="B19" t="s">
        <v>83</v>
      </c>
      <c r="C19">
        <v>5598</v>
      </c>
      <c r="D19">
        <v>6517</v>
      </c>
      <c r="E19">
        <v>6991</v>
      </c>
      <c r="F19">
        <v>9721</v>
      </c>
      <c r="G19">
        <v>4016</v>
      </c>
      <c r="H19">
        <v>4877</v>
      </c>
      <c r="I19">
        <v>4455</v>
      </c>
    </row>
    <row r="21" spans="2:9">
      <c r="B21" t="b">
        <v>1</v>
      </c>
      <c r="C21" t="str">
        <f>DEC2HEX(LEFT(C19,2)+COLUMN()+6)</f>
        <v>40</v>
      </c>
      <c r="D21" t="str">
        <f t="shared" ref="D21:I21" si="0">DEC2HEX(LEFT(D19,2)+COLUMN()+6)</f>
        <v>4B</v>
      </c>
      <c r="E21" t="str">
        <f t="shared" si="0"/>
        <v>50</v>
      </c>
      <c r="F21" t="str">
        <f t="shared" si="0"/>
        <v>6D</v>
      </c>
      <c r="G21" t="str">
        <f t="shared" si="0"/>
        <v>35</v>
      </c>
      <c r="H21" t="str">
        <f t="shared" si="0"/>
        <v>3E</v>
      </c>
      <c r="I21" t="str">
        <f t="shared" si="0"/>
        <v>3B</v>
      </c>
    </row>
    <row r="22" spans="2:9">
      <c r="B22" t="b">
        <v>0</v>
      </c>
      <c r="C22" t="str">
        <f>DEC2HEX(RIGHT(C19,2)+COLUMN())</f>
        <v>65</v>
      </c>
      <c r="D22" t="str">
        <f t="shared" ref="D22:I22" si="1">DEC2HEX(RIGHT(D19,2)+COLUMN())</f>
        <v>15</v>
      </c>
      <c r="E22" t="str">
        <f t="shared" si="1"/>
        <v>60</v>
      </c>
      <c r="F22" t="str">
        <f t="shared" si="1"/>
        <v>1B</v>
      </c>
      <c r="G22" t="str">
        <f t="shared" si="1"/>
        <v>17</v>
      </c>
      <c r="H22" t="str">
        <f t="shared" si="1"/>
        <v>55</v>
      </c>
      <c r="I22" t="str">
        <f t="shared" si="1"/>
        <v>40</v>
      </c>
    </row>
    <row r="24" spans="2:9">
      <c r="B24" t="s">
        <v>84</v>
      </c>
      <c r="C24" t="b">
        <f>IF(OR(C2="",C2=0),FALSE,TRUE)</f>
        <v>1</v>
      </c>
      <c r="D24" t="b">
        <f t="shared" ref="D24:I24" si="2">IF(OR(D2="",D2=0),FALSE,TRUE)</f>
        <v>1</v>
      </c>
      <c r="E24" t="b">
        <f t="shared" si="2"/>
        <v>1</v>
      </c>
      <c r="F24" t="b">
        <f t="shared" si="2"/>
        <v>1</v>
      </c>
      <c r="G24" t="b">
        <f t="shared" si="2"/>
        <v>1</v>
      </c>
      <c r="H24" t="b">
        <f t="shared" si="2"/>
        <v>1</v>
      </c>
      <c r="I24" t="b">
        <f t="shared" si="2"/>
        <v>1</v>
      </c>
    </row>
    <row r="25" spans="2:9">
      <c r="B25" t="s">
        <v>85</v>
      </c>
      <c r="C25" t="b">
        <f ca="1">AND(ISNUMBER(FIND("=",N2)),ISNUMBER(FIND("(",N2)))</f>
        <v>1</v>
      </c>
      <c r="D25" t="b">
        <f t="shared" ref="D25:H25" ca="1" si="3">AND(ISNUMBER(FIND("=",O2)),ISNUMBER(FIND("(",O2)))</f>
        <v>1</v>
      </c>
      <c r="E25" t="b">
        <f t="shared" ca="1" si="3"/>
        <v>1</v>
      </c>
      <c r="F25" t="b">
        <f t="shared" ca="1" si="3"/>
        <v>1</v>
      </c>
      <c r="G25" t="b">
        <f t="shared" ca="1" si="3"/>
        <v>1</v>
      </c>
      <c r="H25" t="b">
        <f t="shared" ca="1" si="3"/>
        <v>1</v>
      </c>
      <c r="I25" t="b">
        <f ca="1">AND(ISNUMBER(FIND("=",T2)),ISNUMBER(FIND("-",T2)))</f>
        <v>1</v>
      </c>
    </row>
    <row r="27" spans="2:9">
      <c r="C27" t="str">
        <f ca="1">IFERROR(DEC2HEX(IF(AND(C24:C25,C61),C18,C19)),"EEE")</f>
        <v>121D</v>
      </c>
      <c r="D27" t="str">
        <f t="shared" ref="D27:I27" ca="1" si="4">IFERROR(DEC2HEX(IF(AND(D24:D25,D61),D18,D19)),"EEE")</f>
        <v>103</v>
      </c>
      <c r="E27" t="str">
        <f t="shared" ca="1" si="4"/>
        <v>4156</v>
      </c>
      <c r="F27" t="str">
        <f t="shared" ca="1" si="4"/>
        <v>25F9</v>
      </c>
      <c r="G27" t="str">
        <f t="shared" ca="1" si="4"/>
        <v>2BCA</v>
      </c>
      <c r="H27" t="str">
        <f t="shared" ca="1" si="4"/>
        <v>4D8</v>
      </c>
      <c r="I27" t="str">
        <f t="shared" ca="1" si="4"/>
        <v>B842</v>
      </c>
    </row>
    <row r="29" spans="2:9">
      <c r="B29" t="s">
        <v>86</v>
      </c>
      <c r="C29" t="b">
        <f ca="1">OR(ISNUMBER(FIND("OUND",N2)),ISNUMBER(FIND("CEIL",N2)))</f>
        <v>1</v>
      </c>
      <c r="D29" t="b">
        <f ca="1">OR(ISNUMBER(FIND("IF",O2)),ISNUMBER(FIND("SW",O2)))</f>
        <v>1</v>
      </c>
      <c r="E29" t="b">
        <f ca="1">OR(ISNUMBER(FIND("IF",P2)),ISNUMBER(FIND("SW",P2)))</f>
        <v>1</v>
      </c>
      <c r="F29" t="b">
        <f ca="1">OR(ISNUMBER(FIND("TAFT",Q2)),ISNUMBER(FIND("RIGH",Q2)),,ISNUMBER(FIND("MID",Q2)))</f>
        <v>1</v>
      </c>
      <c r="G29" t="b">
        <f ca="1">OR(ISNUMBER(FIND("HLOO",R2)),ISNUMBER(FIND("XLOO",R2)))</f>
        <v>1</v>
      </c>
      <c r="H29" t="b">
        <f ca="1">OR(ISNUMBER(FIND("HLOO",S2)),ISNUMBER(FIND("XLOO",S2)))</f>
        <v>1</v>
      </c>
      <c r="I29" t="b">
        <f ca="1">AND(ISNUMBER(FIND("*",T2)),ISNUMBER(FIND("-",T2)))</f>
        <v>1</v>
      </c>
    </row>
    <row r="30" spans="2:9">
      <c r="B30" t="s">
        <v>87</v>
      </c>
      <c r="C30">
        <f ca="1">IFERROR(LEN(N2)-LEN(SUBSTITUTE(N2,"(","")),99)</f>
        <v>2</v>
      </c>
      <c r="D30">
        <f t="shared" ref="D30:I30" ca="1" si="5">IFERROR(LEN(O2)-LEN(SUBSTITUTE(O2,"(","")),99)</f>
        <v>7</v>
      </c>
      <c r="E30">
        <f t="shared" ca="1" si="5"/>
        <v>6</v>
      </c>
      <c r="F30">
        <f t="shared" ca="1" si="5"/>
        <v>1</v>
      </c>
      <c r="G30">
        <f t="shared" ca="1" si="5"/>
        <v>1</v>
      </c>
      <c r="H30">
        <f t="shared" ca="1" si="5"/>
        <v>1</v>
      </c>
      <c r="I30">
        <f t="shared" ca="1" si="5"/>
        <v>0</v>
      </c>
    </row>
    <row r="31" spans="2:9">
      <c r="C31">
        <v>2</v>
      </c>
      <c r="D31">
        <v>9</v>
      </c>
      <c r="E31">
        <v>9</v>
      </c>
      <c r="F31">
        <v>2</v>
      </c>
      <c r="G31">
        <v>1</v>
      </c>
      <c r="H31">
        <v>1</v>
      </c>
      <c r="I31">
        <v>1</v>
      </c>
    </row>
    <row r="32" spans="2:9">
      <c r="C32" t="b">
        <f ca="1">C30&lt;=C31</f>
        <v>1</v>
      </c>
      <c r="D32" t="b">
        <f t="shared" ref="D32:I32" ca="1" si="6">D30&lt;=D31</f>
        <v>1</v>
      </c>
      <c r="E32" t="b">
        <f t="shared" ca="1" si="6"/>
        <v>1</v>
      </c>
      <c r="F32" t="b">
        <f t="shared" ca="1" si="6"/>
        <v>1</v>
      </c>
      <c r="G32" t="b">
        <f t="shared" ca="1" si="6"/>
        <v>1</v>
      </c>
      <c r="H32" t="b">
        <f t="shared" ca="1" si="6"/>
        <v>1</v>
      </c>
      <c r="I32" t="b">
        <f t="shared" ca="1" si="6"/>
        <v>1</v>
      </c>
    </row>
    <row r="34" spans="1:9">
      <c r="C34" t="str">
        <f ca="1">IF(AND(C29,C32),C21,C22)&amp;"-"&amp;C27&amp;";"</f>
        <v>40-121D;</v>
      </c>
      <c r="D34" t="str">
        <f t="shared" ref="D34:H34" ca="1" si="7">IF(AND(D29,D32),D21,D22)&amp;"-"&amp;D27&amp;";"</f>
        <v>4B-103;</v>
      </c>
      <c r="E34" t="str">
        <f t="shared" ca="1" si="7"/>
        <v>50-4156;</v>
      </c>
      <c r="F34" t="str">
        <f t="shared" ca="1" si="7"/>
        <v>6D-25F9;</v>
      </c>
      <c r="G34" t="str">
        <f t="shared" ca="1" si="7"/>
        <v>35-2BCA;</v>
      </c>
      <c r="H34" t="str">
        <f t="shared" ca="1" si="7"/>
        <v>3E-4D8;</v>
      </c>
      <c r="I34" t="str">
        <f ca="1">IF(AND(I29,I32),I21,I22)&amp;"-"&amp;I27</f>
        <v>3B-B842</v>
      </c>
    </row>
    <row r="36" spans="1:9">
      <c r="C36" t="str">
        <f ca="1">A2&amp;"|"&amp;C34&amp;D34&amp;E34&amp;F34&amp;G34&amp;H34&amp;I34</f>
        <v>MM2|40-121D;4B-103;50-4156;6D-25F9;35-2BCA;3E-4D8;3B-B842</v>
      </c>
    </row>
    <row r="38" spans="1:9">
      <c r="C38" t="str">
        <f ca="1">C36</f>
        <v>MM2|40-121D;4B-103;50-4156;6D-25F9;35-2BCA;3E-4D8;3B-B842</v>
      </c>
      <c r="E38" t="s">
        <v>88</v>
      </c>
      <c r="G38" t="s">
        <v>89</v>
      </c>
    </row>
    <row r="39" spans="1:9">
      <c r="C39" t="str" cm="1">
        <f t="array" aca="1" ref="C39" ca="1">INDIRECT(E38&amp;G38)</f>
        <v>MM2|40-121D;4B-103;50-4156;6D-25F9;35-2BCA;3E-4D8;3B-B842</v>
      </c>
    </row>
    <row r="42" spans="1:9">
      <c r="A42" t="s">
        <v>90</v>
      </c>
      <c r="B42">
        <v>1</v>
      </c>
      <c r="C42">
        <f ca="1">LEN(_xlfn.FORMULATEXT('XL-Test'!H50))</f>
        <v>26</v>
      </c>
      <c r="D42">
        <f ca="1">LEN(_xlfn.FORMULATEXT('XL-Test'!I50))</f>
        <v>105</v>
      </c>
      <c r="E42">
        <f ca="1">LEN(_xlfn.FORMULATEXT('XL-Test'!J50))</f>
        <v>114</v>
      </c>
      <c r="F42">
        <f ca="1">LEN(_xlfn.FORMULATEXT('XL-Test'!K50))</f>
        <v>19</v>
      </c>
      <c r="G42">
        <f ca="1">LEN(_xlfn.FORMULATEXT('XL-Test'!L50))</f>
        <v>48</v>
      </c>
      <c r="H42">
        <f ca="1">LEN(_xlfn.FORMULATEXT('XL-Test'!M50))</f>
        <v>48</v>
      </c>
      <c r="I42">
        <f ca="1">LEN(_xlfn.FORMULATEXT('XL-Test'!N50))</f>
        <v>12</v>
      </c>
    </row>
    <row r="43" spans="1:9">
      <c r="B43">
        <v>2</v>
      </c>
      <c r="C43">
        <f ca="1">LEN(_xlfn.FORMULATEXT('XL-Test'!H51))</f>
        <v>26</v>
      </c>
      <c r="D43">
        <f ca="1">LEN(_xlfn.FORMULATEXT('XL-Test'!I51))</f>
        <v>105</v>
      </c>
      <c r="E43">
        <f ca="1">LEN(_xlfn.FORMULATEXT('XL-Test'!J51))</f>
        <v>114</v>
      </c>
      <c r="F43">
        <f ca="1">LEN(_xlfn.FORMULATEXT('XL-Test'!K51))</f>
        <v>20</v>
      </c>
      <c r="G43">
        <f ca="1">LEN(_xlfn.FORMULATEXT('XL-Test'!L51))</f>
        <v>48</v>
      </c>
      <c r="H43">
        <f ca="1">LEN(_xlfn.FORMULATEXT('XL-Test'!M51))</f>
        <v>48</v>
      </c>
      <c r="I43">
        <f ca="1">LEN(_xlfn.FORMULATEXT('XL-Test'!N51))</f>
        <v>12</v>
      </c>
    </row>
    <row r="44" spans="1:9">
      <c r="B44">
        <v>3</v>
      </c>
      <c r="C44">
        <f ca="1">LEN(_xlfn.FORMULATEXT('XL-Test'!H52))</f>
        <v>26</v>
      </c>
      <c r="D44">
        <f ca="1">LEN(_xlfn.FORMULATEXT('XL-Test'!I52))</f>
        <v>105</v>
      </c>
      <c r="E44">
        <f ca="1">LEN(_xlfn.FORMULATEXT('XL-Test'!J52))</f>
        <v>114</v>
      </c>
      <c r="F44">
        <f ca="1">LEN(_xlfn.FORMULATEXT('XL-Test'!K52))</f>
        <v>20</v>
      </c>
      <c r="G44">
        <f ca="1">LEN(_xlfn.FORMULATEXT('XL-Test'!L52))</f>
        <v>48</v>
      </c>
      <c r="H44">
        <f ca="1">LEN(_xlfn.FORMULATEXT('XL-Test'!M52))</f>
        <v>48</v>
      </c>
      <c r="I44">
        <f ca="1">LEN(_xlfn.FORMULATEXT('XL-Test'!N52))</f>
        <v>12</v>
      </c>
    </row>
    <row r="45" spans="1:9">
      <c r="B45">
        <v>4</v>
      </c>
      <c r="C45">
        <f ca="1">LEN(_xlfn.FORMULATEXT('XL-Test'!H53))</f>
        <v>26</v>
      </c>
      <c r="D45">
        <f ca="1">LEN(_xlfn.FORMULATEXT('XL-Test'!I53))</f>
        <v>105</v>
      </c>
      <c r="E45">
        <f ca="1">LEN(_xlfn.FORMULATEXT('XL-Test'!J53))</f>
        <v>114</v>
      </c>
      <c r="F45">
        <f ca="1">LEN(_xlfn.FORMULATEXT('XL-Test'!K53))</f>
        <v>20</v>
      </c>
      <c r="G45">
        <f ca="1">LEN(_xlfn.FORMULATEXT('XL-Test'!L53))</f>
        <v>48</v>
      </c>
      <c r="H45">
        <f ca="1">LEN(_xlfn.FORMULATEXT('XL-Test'!M53))</f>
        <v>48</v>
      </c>
      <c r="I45">
        <f ca="1">LEN(_xlfn.FORMULATEXT('XL-Test'!N53))</f>
        <v>12</v>
      </c>
    </row>
    <row r="46" spans="1:9">
      <c r="B46">
        <v>5</v>
      </c>
      <c r="C46">
        <f ca="1">LEN(_xlfn.FORMULATEXT('XL-Test'!H54))</f>
        <v>26</v>
      </c>
      <c r="D46">
        <f ca="1">LEN(_xlfn.FORMULATEXT('XL-Test'!I54))</f>
        <v>105</v>
      </c>
      <c r="E46">
        <f ca="1">LEN(_xlfn.FORMULATEXT('XL-Test'!J54))</f>
        <v>114</v>
      </c>
      <c r="F46">
        <f ca="1">LEN(_xlfn.FORMULATEXT('XL-Test'!K54))</f>
        <v>20</v>
      </c>
      <c r="G46">
        <f ca="1">LEN(_xlfn.FORMULATEXT('XL-Test'!L54))</f>
        <v>48</v>
      </c>
      <c r="H46">
        <f ca="1">LEN(_xlfn.FORMULATEXT('XL-Test'!M54))</f>
        <v>48</v>
      </c>
      <c r="I46">
        <f ca="1">LEN(_xlfn.FORMULATEXT('XL-Test'!N54))</f>
        <v>12</v>
      </c>
    </row>
    <row r="47" spans="1:9">
      <c r="B47">
        <v>6</v>
      </c>
      <c r="C47">
        <f ca="1">LEN(_xlfn.FORMULATEXT('XL-Test'!H55))</f>
        <v>26</v>
      </c>
      <c r="D47">
        <f ca="1">LEN(_xlfn.FORMULATEXT('XL-Test'!I55))</f>
        <v>105</v>
      </c>
      <c r="E47">
        <f ca="1">LEN(_xlfn.FORMULATEXT('XL-Test'!J55))</f>
        <v>114</v>
      </c>
      <c r="F47">
        <f ca="1">LEN(_xlfn.FORMULATEXT('XL-Test'!K55))</f>
        <v>20</v>
      </c>
      <c r="G47">
        <f ca="1">LEN(_xlfn.FORMULATEXT('XL-Test'!L55))</f>
        <v>48</v>
      </c>
      <c r="H47">
        <f ca="1">LEN(_xlfn.FORMULATEXT('XL-Test'!M55))</f>
        <v>48</v>
      </c>
      <c r="I47">
        <f ca="1">LEN(_xlfn.FORMULATEXT('XL-Test'!N55))</f>
        <v>12</v>
      </c>
    </row>
    <row r="48" spans="1:9">
      <c r="B48">
        <v>7</v>
      </c>
      <c r="C48">
        <f ca="1">LEN(_xlfn.FORMULATEXT('XL-Test'!H56))</f>
        <v>26</v>
      </c>
      <c r="D48">
        <f ca="1">LEN(_xlfn.FORMULATEXT('XL-Test'!I56))</f>
        <v>105</v>
      </c>
      <c r="E48">
        <f ca="1">LEN(_xlfn.FORMULATEXT('XL-Test'!J56))</f>
        <v>114</v>
      </c>
      <c r="F48">
        <f ca="1">LEN(_xlfn.FORMULATEXT('XL-Test'!K56))</f>
        <v>20</v>
      </c>
      <c r="G48">
        <f ca="1">LEN(_xlfn.FORMULATEXT('XL-Test'!L56))</f>
        <v>48</v>
      </c>
      <c r="H48">
        <f ca="1">LEN(_xlfn.FORMULATEXT('XL-Test'!M56))</f>
        <v>48</v>
      </c>
      <c r="I48">
        <f ca="1">LEN(_xlfn.FORMULATEXT('XL-Test'!N56))</f>
        <v>12</v>
      </c>
    </row>
    <row r="49" spans="1:9">
      <c r="B49">
        <v>8</v>
      </c>
      <c r="C49">
        <f ca="1">LEN(_xlfn.FORMULATEXT('XL-Test'!H57))</f>
        <v>26</v>
      </c>
      <c r="D49">
        <f ca="1">LEN(_xlfn.FORMULATEXT('XL-Test'!I57))</f>
        <v>105</v>
      </c>
      <c r="E49">
        <f ca="1">LEN(_xlfn.FORMULATEXT('XL-Test'!J57))</f>
        <v>114</v>
      </c>
      <c r="F49">
        <f ca="1">LEN(_xlfn.FORMULATEXT('XL-Test'!K57))</f>
        <v>20</v>
      </c>
      <c r="G49">
        <f ca="1">LEN(_xlfn.FORMULATEXT('XL-Test'!L57))</f>
        <v>48</v>
      </c>
      <c r="H49">
        <f ca="1">LEN(_xlfn.FORMULATEXT('XL-Test'!M57))</f>
        <v>48</v>
      </c>
      <c r="I49">
        <f ca="1">LEN(_xlfn.FORMULATEXT('XL-Test'!N57))</f>
        <v>12</v>
      </c>
    </row>
    <row r="50" spans="1:9">
      <c r="B50">
        <v>9</v>
      </c>
      <c r="C50">
        <f ca="1">LEN(_xlfn.FORMULATEXT('XL-Test'!H58))</f>
        <v>26</v>
      </c>
      <c r="D50">
        <f ca="1">LEN(_xlfn.FORMULATEXT('XL-Test'!I58))</f>
        <v>105</v>
      </c>
      <c r="E50">
        <f ca="1">LEN(_xlfn.FORMULATEXT('XL-Test'!J58))</f>
        <v>114</v>
      </c>
      <c r="F50">
        <f ca="1">LEN(_xlfn.FORMULATEXT('XL-Test'!K58))</f>
        <v>20</v>
      </c>
      <c r="G50">
        <f ca="1">LEN(_xlfn.FORMULATEXT('XL-Test'!L58))</f>
        <v>48</v>
      </c>
      <c r="H50">
        <f ca="1">LEN(_xlfn.FORMULATEXT('XL-Test'!M58))</f>
        <v>48</v>
      </c>
      <c r="I50">
        <f ca="1">LEN(_xlfn.FORMULATEXT('XL-Test'!N58))</f>
        <v>12</v>
      </c>
    </row>
    <row r="51" spans="1:9">
      <c r="B51">
        <v>10</v>
      </c>
      <c r="C51">
        <f ca="1">LEN(_xlfn.FORMULATEXT('XL-Test'!H59))</f>
        <v>26</v>
      </c>
      <c r="D51">
        <f ca="1">LEN(_xlfn.FORMULATEXT('XL-Test'!I59))</f>
        <v>105</v>
      </c>
      <c r="E51">
        <f ca="1">LEN(_xlfn.FORMULATEXT('XL-Test'!J59))</f>
        <v>114</v>
      </c>
      <c r="F51">
        <f ca="1">LEN(_xlfn.FORMULATEXT('XL-Test'!K59))</f>
        <v>20</v>
      </c>
      <c r="G51">
        <f ca="1">LEN(_xlfn.FORMULATEXT('XL-Test'!L59))</f>
        <v>48</v>
      </c>
      <c r="H51">
        <f ca="1">LEN(_xlfn.FORMULATEXT('XL-Test'!M59))</f>
        <v>48</v>
      </c>
      <c r="I51">
        <f ca="1">LEN(_xlfn.FORMULATEXT('XL-Test'!N59))</f>
        <v>12</v>
      </c>
    </row>
    <row r="52" spans="1:9">
      <c r="B52">
        <v>11</v>
      </c>
      <c r="C52">
        <f ca="1">LEN(_xlfn.FORMULATEXT('XL-Test'!H60))</f>
        <v>26</v>
      </c>
      <c r="D52">
        <f ca="1">LEN(_xlfn.FORMULATEXT('XL-Test'!I60))</f>
        <v>105</v>
      </c>
      <c r="E52">
        <f ca="1">LEN(_xlfn.FORMULATEXT('XL-Test'!J60))</f>
        <v>114</v>
      </c>
      <c r="F52">
        <f ca="1">LEN(_xlfn.FORMULATEXT('XL-Test'!K60))</f>
        <v>20</v>
      </c>
      <c r="G52">
        <f ca="1">LEN(_xlfn.FORMULATEXT('XL-Test'!L60))</f>
        <v>48</v>
      </c>
      <c r="H52">
        <f ca="1">LEN(_xlfn.FORMULATEXT('XL-Test'!M60))</f>
        <v>48</v>
      </c>
      <c r="I52">
        <f ca="1">LEN(_xlfn.FORMULATEXT('XL-Test'!N60))</f>
        <v>12</v>
      </c>
    </row>
    <row r="53" spans="1:9">
      <c r="B53">
        <v>12</v>
      </c>
      <c r="C53">
        <f ca="1">LEN(_xlfn.FORMULATEXT('XL-Test'!H61))</f>
        <v>26</v>
      </c>
      <c r="D53">
        <f ca="1">LEN(_xlfn.FORMULATEXT('XL-Test'!I61))</f>
        <v>105</v>
      </c>
      <c r="E53">
        <f ca="1">LEN(_xlfn.FORMULATEXT('XL-Test'!J61))</f>
        <v>114</v>
      </c>
      <c r="F53">
        <f ca="1">LEN(_xlfn.FORMULATEXT('XL-Test'!K61))</f>
        <v>20</v>
      </c>
      <c r="G53">
        <f ca="1">LEN(_xlfn.FORMULATEXT('XL-Test'!L61))</f>
        <v>48</v>
      </c>
      <c r="H53">
        <f ca="1">LEN(_xlfn.FORMULATEXT('XL-Test'!M61))</f>
        <v>48</v>
      </c>
      <c r="I53">
        <f ca="1">LEN(_xlfn.FORMULATEXT('XL-Test'!N61))</f>
        <v>12</v>
      </c>
    </row>
    <row r="54" spans="1:9">
      <c r="B54">
        <v>13</v>
      </c>
      <c r="C54">
        <f ca="1">LEN(_xlfn.FORMULATEXT('XL-Test'!H62))</f>
        <v>26</v>
      </c>
      <c r="D54">
        <f ca="1">LEN(_xlfn.FORMULATEXT('XL-Test'!I62))</f>
        <v>105</v>
      </c>
      <c r="E54">
        <f ca="1">LEN(_xlfn.FORMULATEXT('XL-Test'!J62))</f>
        <v>114</v>
      </c>
      <c r="F54">
        <f ca="1">LEN(_xlfn.FORMULATEXT('XL-Test'!K62))</f>
        <v>20</v>
      </c>
      <c r="G54">
        <f ca="1">LEN(_xlfn.FORMULATEXT('XL-Test'!L62))</f>
        <v>48</v>
      </c>
      <c r="H54">
        <f ca="1">LEN(_xlfn.FORMULATEXT('XL-Test'!M62))</f>
        <v>48</v>
      </c>
      <c r="I54">
        <f ca="1">LEN(_xlfn.FORMULATEXT('XL-Test'!N62))</f>
        <v>12</v>
      </c>
    </row>
    <row r="55" spans="1:9">
      <c r="B55">
        <v>14</v>
      </c>
      <c r="C55">
        <f ca="1">LEN(_xlfn.FORMULATEXT('XL-Test'!H63))</f>
        <v>26</v>
      </c>
      <c r="D55">
        <f ca="1">LEN(_xlfn.FORMULATEXT('XL-Test'!I63))</f>
        <v>105</v>
      </c>
      <c r="E55">
        <f ca="1">LEN(_xlfn.FORMULATEXT('XL-Test'!J63))</f>
        <v>114</v>
      </c>
      <c r="F55">
        <f ca="1">LEN(_xlfn.FORMULATEXT('XL-Test'!K63))</f>
        <v>20</v>
      </c>
      <c r="G55">
        <f ca="1">LEN(_xlfn.FORMULATEXT('XL-Test'!L63))</f>
        <v>48</v>
      </c>
      <c r="H55">
        <f ca="1">LEN(_xlfn.FORMULATEXT('XL-Test'!M63))</f>
        <v>48</v>
      </c>
      <c r="I55">
        <f ca="1">LEN(_xlfn.FORMULATEXT('XL-Test'!N63))</f>
        <v>12</v>
      </c>
    </row>
    <row r="56" spans="1:9">
      <c r="B56">
        <v>15</v>
      </c>
      <c r="C56">
        <f ca="1">LEN(_xlfn.FORMULATEXT('XL-Test'!H64))</f>
        <v>26</v>
      </c>
      <c r="D56">
        <f ca="1">LEN(_xlfn.FORMULATEXT('XL-Test'!I64))</f>
        <v>105</v>
      </c>
      <c r="E56">
        <f ca="1">LEN(_xlfn.FORMULATEXT('XL-Test'!J64))</f>
        <v>114</v>
      </c>
      <c r="F56">
        <f ca="1">LEN(_xlfn.FORMULATEXT('XL-Test'!K64))</f>
        <v>20</v>
      </c>
      <c r="G56">
        <f ca="1">LEN(_xlfn.FORMULATEXT('XL-Test'!L64))</f>
        <v>48</v>
      </c>
      <c r="H56">
        <f ca="1">LEN(_xlfn.FORMULATEXT('XL-Test'!M64))</f>
        <v>48</v>
      </c>
      <c r="I56">
        <f ca="1">LEN(_xlfn.FORMULATEXT('XL-Test'!N64))</f>
        <v>12</v>
      </c>
    </row>
    <row r="58" spans="1:9">
      <c r="A58" t="s">
        <v>91</v>
      </c>
      <c r="C58" t="b">
        <f ca="1">AVERAGE(C42:C56)=C43</f>
        <v>1</v>
      </c>
      <c r="D58" t="b">
        <f t="shared" ref="D58:I58" ca="1" si="8">AVERAGE(D42:D56)=D43</f>
        <v>1</v>
      </c>
      <c r="E58" t="b">
        <f t="shared" ca="1" si="8"/>
        <v>1</v>
      </c>
      <c r="F58" t="b">
        <f t="shared" ca="1" si="8"/>
        <v>0</v>
      </c>
      <c r="G58" t="b">
        <f t="shared" ca="1" si="8"/>
        <v>1</v>
      </c>
      <c r="H58" t="b">
        <f t="shared" ca="1" si="8"/>
        <v>1</v>
      </c>
      <c r="I58" t="b">
        <f t="shared" ca="1" si="8"/>
        <v>1</v>
      </c>
    </row>
    <row r="59" spans="1:9">
      <c r="A59" t="s">
        <v>92</v>
      </c>
      <c r="C59" t="b">
        <f ca="1">IF(AND(C42&gt;0,C47=0,C7&lt;&gt;""),TRUE,FALSE)</f>
        <v>0</v>
      </c>
      <c r="D59" t="b">
        <f t="shared" ref="D59:I59" ca="1" si="9">IF(AND(D42&gt;0,D47=0,D7&lt;&gt;""),TRUE,FALSE)</f>
        <v>0</v>
      </c>
      <c r="E59" t="b">
        <f t="shared" ca="1" si="9"/>
        <v>0</v>
      </c>
      <c r="F59" t="b">
        <f t="shared" ca="1" si="9"/>
        <v>0</v>
      </c>
      <c r="G59" t="b">
        <f t="shared" ca="1" si="9"/>
        <v>0</v>
      </c>
      <c r="H59" t="b">
        <f t="shared" ca="1" si="9"/>
        <v>0</v>
      </c>
      <c r="I59" t="b">
        <f t="shared" ca="1" si="9"/>
        <v>0</v>
      </c>
    </row>
    <row r="61" spans="1:9">
      <c r="C61" t="b">
        <f ca="1">IFERROR(OR(C58:C59),FALSE)</f>
        <v>1</v>
      </c>
      <c r="D61" t="b">
        <f t="shared" ref="D61:I61" ca="1" si="10">IFERROR(OR(D58:D59),FALSE)</f>
        <v>1</v>
      </c>
      <c r="E61" t="b">
        <f t="shared" ca="1" si="10"/>
        <v>1</v>
      </c>
      <c r="F61" t="b">
        <f t="shared" ca="1" si="10"/>
        <v>0</v>
      </c>
      <c r="G61" t="b">
        <f t="shared" ca="1" si="10"/>
        <v>1</v>
      </c>
      <c r="H61" t="b">
        <f t="shared" ca="1" si="10"/>
        <v>1</v>
      </c>
      <c r="I61" t="b">
        <f t="shared" ca="1" si="1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2025-12-23T03:26:20Z</dcterms:created>
  <dcterms:modified xsi:type="dcterms:W3CDTF">2026-06-10T07:00:04Z</dcterms:modified>
  <cp:category/>
  <cp:contentStatus/>
</cp:coreProperties>
</file>