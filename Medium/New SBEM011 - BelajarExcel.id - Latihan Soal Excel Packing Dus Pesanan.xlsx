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Portofolio Project\Excel\Easy\"/>
    </mc:Choice>
  </mc:AlternateContent>
  <xr:revisionPtr revIDLastSave="0" documentId="13_ncr:1_{7D0D6663-BBFF-4E03-971C-A4C314AB4BCF}" xr6:coauthVersionLast="47" xr6:coauthVersionMax="47" xr10:uidLastSave="{00000000-0000-0000-0000-000000000000}"/>
  <workbookProtection workbookAlgorithmName="SHA-512" workbookHashValue="HWO50TyfbEjdxPCxG/NpFv8StDZlCEczJzQjFubJfDlqZbCd2MppRxePWs9prDyHZxtABjmQLcIqVtjgmaHDrg==" workbookSaltValue="l7BlzFPIKuzbQBeggs17LA==" workbookSpinCount="100000" lockStructure="1"/>
  <bookViews>
    <workbookView xWindow="-120" yWindow="-120" windowWidth="20730" windowHeight="11760" xr2:uid="{D6B1BF00-55AC-43EA-B7D0-92D53FE9D19A}"/>
  </bookViews>
  <sheets>
    <sheet name="XL-Test" sheetId="1" r:id="rId1"/>
    <sheet name="About" sheetId="4" r:id="rId2"/>
    <sheet name="DF" sheetId="2" state="veryHidden" r:id="rId3"/>
  </sheets>
  <definedNames>
    <definedName name="kode_jawaban">DF!$M$39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8" i="1" l="1"/>
  <c r="M48" i="1"/>
  <c r="N48" i="1"/>
  <c r="L49" i="1"/>
  <c r="M49" i="1"/>
  <c r="N49" i="1"/>
  <c r="L50" i="1"/>
  <c r="M50" i="1"/>
  <c r="N50" i="1"/>
  <c r="L51" i="1"/>
  <c r="M51" i="1"/>
  <c r="N51" i="1"/>
  <c r="L52" i="1"/>
  <c r="M52" i="1"/>
  <c r="N52" i="1"/>
  <c r="L53" i="1"/>
  <c r="M53" i="1"/>
  <c r="N53" i="1"/>
  <c r="L54" i="1"/>
  <c r="M54" i="1"/>
  <c r="N54" i="1"/>
  <c r="L55" i="1"/>
  <c r="M55" i="1"/>
  <c r="N55" i="1"/>
  <c r="L56" i="1"/>
  <c r="M56" i="1"/>
  <c r="N56" i="1"/>
  <c r="L57" i="1"/>
  <c r="M57" i="1"/>
  <c r="N57" i="1"/>
  <c r="L58" i="1"/>
  <c r="M58" i="1"/>
  <c r="N58" i="1"/>
  <c r="L59" i="1"/>
  <c r="M59" i="1"/>
  <c r="N59" i="1"/>
  <c r="L60" i="1"/>
  <c r="M60" i="1"/>
  <c r="N60" i="1"/>
  <c r="L61" i="1"/>
  <c r="M61" i="1"/>
  <c r="N61" i="1"/>
  <c r="F48" i="1"/>
  <c r="G48" i="1"/>
  <c r="H48" i="1"/>
  <c r="I48" i="1"/>
  <c r="J48" i="1"/>
  <c r="F49" i="1"/>
  <c r="G49" i="1"/>
  <c r="H49" i="1"/>
  <c r="I49" i="1"/>
  <c r="J49" i="1"/>
  <c r="F50" i="1"/>
  <c r="G50" i="1"/>
  <c r="H50" i="1"/>
  <c r="I50" i="1"/>
  <c r="J50" i="1"/>
  <c r="F51" i="1"/>
  <c r="G51" i="1"/>
  <c r="H51" i="1"/>
  <c r="I51" i="1"/>
  <c r="F52" i="1"/>
  <c r="G52" i="1"/>
  <c r="H52" i="1"/>
  <c r="I52" i="1"/>
  <c r="J52" i="1"/>
  <c r="F53" i="1"/>
  <c r="G53" i="1"/>
  <c r="H53" i="1"/>
  <c r="I53" i="1"/>
  <c r="J53" i="1"/>
  <c r="F54" i="1"/>
  <c r="G54" i="1"/>
  <c r="H54" i="1"/>
  <c r="I54" i="1"/>
  <c r="F55" i="1"/>
  <c r="G55" i="1"/>
  <c r="H55" i="1"/>
  <c r="I55" i="1"/>
  <c r="J55" i="1"/>
  <c r="F56" i="1"/>
  <c r="G56" i="1"/>
  <c r="H56" i="1"/>
  <c r="I56" i="1"/>
  <c r="F57" i="1"/>
  <c r="G57" i="1"/>
  <c r="H57" i="1"/>
  <c r="I57" i="1"/>
  <c r="J57" i="1"/>
  <c r="F58" i="1"/>
  <c r="G58" i="1"/>
  <c r="H58" i="1"/>
  <c r="I58" i="1"/>
  <c r="J58" i="1"/>
  <c r="F59" i="1"/>
  <c r="G59" i="1"/>
  <c r="H59" i="1"/>
  <c r="I59" i="1"/>
  <c r="F60" i="1"/>
  <c r="G60" i="1"/>
  <c r="H60" i="1"/>
  <c r="I60" i="1"/>
  <c r="J60" i="1"/>
  <c r="F61" i="1"/>
  <c r="G61" i="1"/>
  <c r="H61" i="1"/>
  <c r="I61" i="1"/>
  <c r="N47" i="1"/>
  <c r="M47" i="1"/>
  <c r="L47" i="1"/>
  <c r="J47" i="1"/>
  <c r="I47" i="1"/>
  <c r="H47" i="1"/>
  <c r="G47" i="1"/>
  <c r="F47" i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2" i="2"/>
  <c r="I6" i="2"/>
  <c r="I3" i="2"/>
  <c r="I4" i="2"/>
  <c r="I5" i="2"/>
  <c r="I7" i="2"/>
  <c r="I8" i="2"/>
  <c r="I9" i="2"/>
  <c r="I10" i="2"/>
  <c r="I11" i="2"/>
  <c r="I12" i="2"/>
  <c r="I13" i="2"/>
  <c r="I14" i="2"/>
  <c r="I15" i="2"/>
  <c r="I16" i="2"/>
  <c r="H5" i="2"/>
  <c r="H6" i="2"/>
  <c r="H7" i="2"/>
  <c r="H8" i="2"/>
  <c r="H9" i="2"/>
  <c r="H10" i="2"/>
  <c r="H11" i="2"/>
  <c r="H12" i="2"/>
  <c r="H13" i="2"/>
  <c r="H14" i="2"/>
  <c r="H15" i="2"/>
  <c r="H16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2" i="2"/>
  <c r="H3" i="2"/>
  <c r="H4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J41" i="2"/>
  <c r="J42" i="2"/>
  <c r="J43" i="2"/>
  <c r="J44" i="2"/>
  <c r="J45" i="2"/>
  <c r="J60" i="2" s="1"/>
  <c r="J61" i="2" s="1"/>
  <c r="J46" i="2"/>
  <c r="J47" i="2"/>
  <c r="J48" i="2"/>
  <c r="J49" i="2"/>
  <c r="J50" i="2"/>
  <c r="J51" i="2"/>
  <c r="J52" i="2"/>
  <c r="J53" i="2"/>
  <c r="J54" i="2"/>
  <c r="J55" i="2"/>
  <c r="H41" i="2"/>
  <c r="I41" i="2"/>
  <c r="H42" i="2"/>
  <c r="I42" i="2"/>
  <c r="H43" i="2"/>
  <c r="I43" i="2"/>
  <c r="H44" i="2"/>
  <c r="I44" i="2"/>
  <c r="H45" i="2"/>
  <c r="H60" i="2" s="1"/>
  <c r="H61" i="2" s="1"/>
  <c r="I45" i="2"/>
  <c r="I60" i="2" s="1"/>
  <c r="I61" i="2" s="1"/>
  <c r="H46" i="2"/>
  <c r="I46" i="2"/>
  <c r="H47" i="2"/>
  <c r="I47" i="2"/>
  <c r="H48" i="2"/>
  <c r="I48" i="2"/>
  <c r="H49" i="2"/>
  <c r="I49" i="2"/>
  <c r="H50" i="2"/>
  <c r="I50" i="2"/>
  <c r="H51" i="2"/>
  <c r="I51" i="2"/>
  <c r="H52" i="2"/>
  <c r="I52" i="2"/>
  <c r="H53" i="2"/>
  <c r="I53" i="2"/>
  <c r="H54" i="2"/>
  <c r="I54" i="2"/>
  <c r="H55" i="2"/>
  <c r="I55" i="2"/>
  <c r="D41" i="2"/>
  <c r="E41" i="2"/>
  <c r="F41" i="2"/>
  <c r="G41" i="2"/>
  <c r="D42" i="2"/>
  <c r="E42" i="2"/>
  <c r="F42" i="2"/>
  <c r="G42" i="2"/>
  <c r="D43" i="2"/>
  <c r="E43" i="2"/>
  <c r="F43" i="2"/>
  <c r="G43" i="2"/>
  <c r="D44" i="2"/>
  <c r="E44" i="2"/>
  <c r="F44" i="2"/>
  <c r="G44" i="2"/>
  <c r="D45" i="2"/>
  <c r="D60" i="2" s="1"/>
  <c r="D61" i="2" s="1"/>
  <c r="E45" i="2"/>
  <c r="E60" i="2" s="1"/>
  <c r="E61" i="2" s="1"/>
  <c r="F45" i="2"/>
  <c r="F60" i="2" s="1"/>
  <c r="F61" i="2" s="1"/>
  <c r="G45" i="2"/>
  <c r="G60" i="2" s="1"/>
  <c r="G61" i="2" s="1"/>
  <c r="D46" i="2"/>
  <c r="E46" i="2"/>
  <c r="F46" i="2"/>
  <c r="G46" i="2"/>
  <c r="D47" i="2"/>
  <c r="E47" i="2"/>
  <c r="F47" i="2"/>
  <c r="G47" i="2"/>
  <c r="D48" i="2"/>
  <c r="E48" i="2"/>
  <c r="F48" i="2"/>
  <c r="G48" i="2"/>
  <c r="D49" i="2"/>
  <c r="E49" i="2"/>
  <c r="F49" i="2"/>
  <c r="G49" i="2"/>
  <c r="D50" i="2"/>
  <c r="E50" i="2"/>
  <c r="F50" i="2"/>
  <c r="G50" i="2"/>
  <c r="D51" i="2"/>
  <c r="E51" i="2"/>
  <c r="F51" i="2"/>
  <c r="G51" i="2"/>
  <c r="D52" i="2"/>
  <c r="E52" i="2"/>
  <c r="F52" i="2"/>
  <c r="G52" i="2"/>
  <c r="D53" i="2"/>
  <c r="E53" i="2"/>
  <c r="F53" i="2"/>
  <c r="G53" i="2"/>
  <c r="D54" i="2"/>
  <c r="E54" i="2"/>
  <c r="F54" i="2"/>
  <c r="G54" i="2"/>
  <c r="D55" i="2"/>
  <c r="E55" i="2"/>
  <c r="F55" i="2"/>
  <c r="G55" i="2"/>
  <c r="C42" i="2"/>
  <c r="C43" i="2"/>
  <c r="C44" i="2"/>
  <c r="C45" i="2"/>
  <c r="C60" i="2" s="1"/>
  <c r="C61" i="2" s="1"/>
  <c r="C46" i="2"/>
  <c r="C47" i="2"/>
  <c r="C48" i="2"/>
  <c r="C49" i="2"/>
  <c r="C50" i="2"/>
  <c r="C51" i="2"/>
  <c r="C52" i="2"/>
  <c r="C53" i="2"/>
  <c r="C54" i="2"/>
  <c r="C55" i="2"/>
  <c r="C41" i="2"/>
  <c r="I28" i="2"/>
  <c r="J28" i="2"/>
  <c r="I29" i="2"/>
  <c r="J29" i="2"/>
  <c r="V2" i="2"/>
  <c r="I35" i="2" s="1"/>
  <c r="W2" i="2"/>
  <c r="J35" i="2" s="1"/>
  <c r="D29" i="2"/>
  <c r="E29" i="2"/>
  <c r="F29" i="2"/>
  <c r="G29" i="2"/>
  <c r="H29" i="2"/>
  <c r="C29" i="2"/>
  <c r="D28" i="2"/>
  <c r="E28" i="2"/>
  <c r="F28" i="2"/>
  <c r="G28" i="2"/>
  <c r="H28" i="2"/>
  <c r="C28" i="2"/>
  <c r="Q2" i="2"/>
  <c r="D35" i="2" s="1"/>
  <c r="R2" i="2"/>
  <c r="E35" i="2" s="1"/>
  <c r="S2" i="2"/>
  <c r="F35" i="2" s="1"/>
  <c r="T2" i="2"/>
  <c r="G35" i="2" s="1"/>
  <c r="U2" i="2"/>
  <c r="H35" i="2" s="1"/>
  <c r="P2" i="2"/>
  <c r="C35" i="2" s="1"/>
  <c r="J54" i="1" l="1"/>
  <c r="J56" i="1"/>
  <c r="J61" i="1"/>
  <c r="J51" i="1"/>
  <c r="J59" i="1"/>
  <c r="I2" i="2"/>
  <c r="H2" i="2"/>
  <c r="F2" i="2"/>
  <c r="D2" i="2"/>
  <c r="I24" i="2"/>
  <c r="J24" i="2"/>
  <c r="E3" i="2"/>
  <c r="G3" i="2"/>
  <c r="E4" i="2"/>
  <c r="G4" i="2"/>
  <c r="E5" i="2"/>
  <c r="G5" i="2"/>
  <c r="E6" i="2"/>
  <c r="G6" i="2"/>
  <c r="E7" i="2"/>
  <c r="G7" i="2"/>
  <c r="E8" i="2"/>
  <c r="G8" i="2"/>
  <c r="E9" i="2"/>
  <c r="G9" i="2"/>
  <c r="E10" i="2"/>
  <c r="G10" i="2"/>
  <c r="E11" i="2"/>
  <c r="G11" i="2"/>
  <c r="E12" i="2"/>
  <c r="G12" i="2"/>
  <c r="E13" i="2"/>
  <c r="G13" i="2"/>
  <c r="E14" i="2"/>
  <c r="G14" i="2"/>
  <c r="E15" i="2"/>
  <c r="G15" i="2"/>
  <c r="G2" i="2"/>
  <c r="E2" i="2"/>
  <c r="J57" i="2"/>
  <c r="J58" i="2" s="1"/>
  <c r="J64" i="2"/>
  <c r="H57" i="2"/>
  <c r="H58" i="2" s="1"/>
  <c r="H64" i="2"/>
  <c r="I57" i="2"/>
  <c r="I58" i="2" s="1"/>
  <c r="I62" i="2" s="1"/>
  <c r="I64" i="2"/>
  <c r="D57" i="2"/>
  <c r="D58" i="2" s="1"/>
  <c r="D64" i="2"/>
  <c r="E57" i="2"/>
  <c r="E58" i="2" s="1"/>
  <c r="E64" i="2"/>
  <c r="F57" i="2"/>
  <c r="F58" i="2" s="1"/>
  <c r="F64" i="2"/>
  <c r="G57" i="2"/>
  <c r="G58" i="2" s="1"/>
  <c r="G64" i="2"/>
  <c r="I18" i="2"/>
  <c r="I19" i="2" s="1"/>
  <c r="I20" i="2" s="1"/>
  <c r="I23" i="2"/>
  <c r="J18" i="2"/>
  <c r="J19" i="2" s="1"/>
  <c r="J20" i="2" s="1"/>
  <c r="J23" i="2"/>
  <c r="I31" i="2"/>
  <c r="I33" i="2" s="1"/>
  <c r="J31" i="2"/>
  <c r="J33" i="2" s="1"/>
  <c r="P9" i="2"/>
  <c r="G16" i="2"/>
  <c r="E16" i="2"/>
  <c r="D23" i="2"/>
  <c r="D18" i="2"/>
  <c r="D19" i="2" s="1"/>
  <c r="D20" i="2" s="1"/>
  <c r="F23" i="2"/>
  <c r="F18" i="2"/>
  <c r="F19" i="2" s="1"/>
  <c r="F20" i="2" s="1"/>
  <c r="H23" i="2"/>
  <c r="H18" i="2"/>
  <c r="H19" i="2" s="1"/>
  <c r="H20" i="2" s="1"/>
  <c r="C23" i="2"/>
  <c r="C18" i="2"/>
  <c r="C19" i="2" s="1"/>
  <c r="C20" i="2" s="1"/>
  <c r="C57" i="2"/>
  <c r="C58" i="2" s="1"/>
  <c r="C62" i="2" s="1"/>
  <c r="C64" i="2"/>
  <c r="D31" i="2"/>
  <c r="D33" i="2" s="1"/>
  <c r="E31" i="2"/>
  <c r="E33" i="2" s="1"/>
  <c r="F31" i="2"/>
  <c r="F33" i="2" s="1"/>
  <c r="G31" i="2"/>
  <c r="G33" i="2" s="1"/>
  <c r="H31" i="2"/>
  <c r="H33" i="2" s="1"/>
  <c r="C31" i="2"/>
  <c r="C33" i="2" s="1"/>
  <c r="C24" i="2"/>
  <c r="P3" i="2"/>
  <c r="D24" i="2"/>
  <c r="P4" i="2"/>
  <c r="P5" i="2"/>
  <c r="F24" i="2"/>
  <c r="P6" i="2"/>
  <c r="P7" i="2"/>
  <c r="H24" i="2"/>
  <c r="P8" i="2"/>
  <c r="E18" i="2" l="1"/>
  <c r="E20" i="2" s="1"/>
  <c r="G18" i="2"/>
  <c r="G20" i="2" s="1"/>
  <c r="G24" i="2"/>
  <c r="G23" i="2"/>
  <c r="E24" i="2"/>
  <c r="E23" i="2"/>
  <c r="J62" i="2"/>
  <c r="J66" i="2" s="1"/>
  <c r="J26" i="2" s="1"/>
  <c r="J37" i="2" s="1"/>
  <c r="D62" i="2"/>
  <c r="D66" i="2" s="1"/>
  <c r="D26" i="2" s="1"/>
  <c r="D37" i="2" s="1"/>
  <c r="H62" i="2"/>
  <c r="H66" i="2" s="1"/>
  <c r="H26" i="2" s="1"/>
  <c r="H37" i="2" s="1"/>
  <c r="E62" i="2"/>
  <c r="E66" i="2" s="1"/>
  <c r="F62" i="2"/>
  <c r="F66" i="2" s="1"/>
  <c r="F26" i="2" s="1"/>
  <c r="F37" i="2" s="1"/>
  <c r="G62" i="2"/>
  <c r="G66" i="2" s="1"/>
  <c r="I66" i="2"/>
  <c r="I26" i="2" s="1"/>
  <c r="I37" i="2" s="1"/>
  <c r="C66" i="2"/>
  <c r="C26" i="2" s="1"/>
  <c r="C37" i="2" s="1"/>
  <c r="G26" i="2" l="1"/>
  <c r="G37" i="2" s="1"/>
  <c r="E26" i="2"/>
  <c r="E37" i="2" s="1"/>
  <c r="C38" i="2" l="1"/>
  <c r="M38" i="2" s="1"/>
  <c r="M39" i="2" s="1" a="1"/>
  <c r="M39" i="2" s="1"/>
  <c r="G20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<sst xmlns="http://schemas.openxmlformats.org/spreadsheetml/2006/main" count="102" uniqueCount="101">
  <si>
    <t>No</t>
  </si>
  <si>
    <t>Nama Lengkap</t>
  </si>
  <si>
    <t>Andi Pratama</t>
  </si>
  <si>
    <t>Siti Nurhaliza Ramadhani</t>
  </si>
  <si>
    <t>Budi Santoso</t>
  </si>
  <si>
    <t>Rani Oktaviani</t>
  </si>
  <si>
    <t>Dwi Putra Nugroho</t>
  </si>
  <si>
    <t>Fitri Ayu Lestari</t>
  </si>
  <si>
    <t>Rizky Aditya Saputra</t>
  </si>
  <si>
    <t>Maya Salsabila</t>
  </si>
  <si>
    <t>Joko Prasetyo</t>
  </si>
  <si>
    <t>Lestari Widyaningsih</t>
  </si>
  <si>
    <t>Fajar Hidayatullah</t>
  </si>
  <si>
    <t>Dewi Kartika Sari</t>
  </si>
  <si>
    <t>Muhammad Alfarizi</t>
  </si>
  <si>
    <t>Ayu Wulandari</t>
  </si>
  <si>
    <t>Rangga Saputro</t>
  </si>
  <si>
    <t>Jumlah Pesanan</t>
  </si>
  <si>
    <t>KODE SOAL</t>
  </si>
  <si>
    <t>KODE JAWABAN</t>
  </si>
  <si>
    <t>SBEM011</t>
  </si>
  <si>
    <t>DEF</t>
  </si>
  <si>
    <t>Value</t>
  </si>
  <si>
    <t>Value F</t>
  </si>
  <si>
    <t>Cek Manual</t>
  </si>
  <si>
    <t>Random</t>
  </si>
  <si>
    <t>Cek Jumlah</t>
  </si>
  <si>
    <t>** Bool</t>
  </si>
  <si>
    <t>Cek Kosong</t>
  </si>
  <si>
    <t>Cek Formula</t>
  </si>
  <si>
    <t>Cek Manual F</t>
  </si>
  <si>
    <t>AVG1</t>
  </si>
  <si>
    <t>AVG2</t>
  </si>
  <si>
    <t>Gabung</t>
  </si>
  <si>
    <t>Array</t>
  </si>
  <si>
    <t>** Hasil</t>
  </si>
  <si>
    <t>F Value</t>
  </si>
  <si>
    <t>**</t>
  </si>
  <si>
    <t>F Formula</t>
  </si>
  <si>
    <t>XL-TEST adalah platform inovatif yang menyediakan latihan Excel interaktif dengan pemeriksaan otomatis,</t>
  </si>
  <si>
    <t>sehingga pengguna dapat langsung mengetahui jawaban yang benar maupun salah.</t>
  </si>
  <si>
    <t>Terdapat 5 Level soal :</t>
  </si>
  <si>
    <t xml:space="preserve">Easy Level  </t>
  </si>
  <si>
    <t>(⭐)</t>
  </si>
  <si>
    <t xml:space="preserve">Medium Level        </t>
  </si>
  <si>
    <t>(⭐⭐)</t>
  </si>
  <si>
    <t xml:space="preserve">Hard Level </t>
  </si>
  <si>
    <t>(⭐⭐⭐)</t>
  </si>
  <si>
    <t xml:space="preserve">Extreme Level </t>
  </si>
  <si>
    <t>(⭐⭐⭐⭐)</t>
  </si>
  <si>
    <t xml:space="preserve">Championship Level </t>
  </si>
  <si>
    <t>(⭐⭐⭐⭐⭐)</t>
  </si>
  <si>
    <t>Free Access</t>
  </si>
  <si>
    <t>https://belajarexcel.id/xl-test/</t>
  </si>
  <si>
    <r>
      <t xml:space="preserve">Isi kolom </t>
    </r>
    <r>
      <rPr>
        <b/>
        <sz val="11"/>
        <color rgb="FF0070C0"/>
        <rFont val="Aptos Narrow"/>
        <family val="2"/>
        <scheme val="minor"/>
      </rPr>
      <t>Jumlah Pcs</t>
    </r>
    <r>
      <rPr>
        <sz val="11"/>
        <color theme="1"/>
        <rFont val="Aptos Narrow"/>
        <family val="2"/>
        <scheme val="minor"/>
      </rPr>
      <t xml:space="preserve"> dengan berapa Pcs sisa yang tidak bisa masuk kedalam Dus</t>
    </r>
  </si>
  <si>
    <t>D</t>
  </si>
  <si>
    <t>E</t>
  </si>
  <si>
    <t>F</t>
  </si>
  <si>
    <t>M</t>
  </si>
  <si>
    <t>R</t>
  </si>
  <si>
    <t>T</t>
  </si>
  <si>
    <t>U</t>
  </si>
  <si>
    <t>X</t>
  </si>
  <si>
    <t>K</t>
  </si>
  <si>
    <t>Intruksi</t>
  </si>
  <si>
    <t>Soal  :</t>
  </si>
  <si>
    <t>Gunakan Fungsi Excel (Function) untuk menyelsaikan kasus dibawah ini, tidak disarankan menggunakan cara manual</t>
  </si>
  <si>
    <r>
      <rPr>
        <b/>
        <i/>
        <sz val="11"/>
        <color rgb="FF0070C0"/>
        <rFont val="Aptos Narrow"/>
        <family val="2"/>
        <scheme val="minor"/>
      </rPr>
      <t>Sudah selesai mengerjakan?</t>
    </r>
    <r>
      <rPr>
        <i/>
        <sz val="11"/>
        <color rgb="FF0070C0"/>
        <rFont val="Aptos Narrow"/>
        <family val="2"/>
        <scheme val="minor"/>
      </rPr>
      <t xml:space="preserve"> kirim </t>
    </r>
    <r>
      <rPr>
        <b/>
        <i/>
        <sz val="11"/>
        <color rgb="FF0070C0"/>
        <rFont val="Aptos Narrow"/>
        <family val="2"/>
        <scheme val="minor"/>
      </rPr>
      <t>Kode Soal</t>
    </r>
    <r>
      <rPr>
        <i/>
        <sz val="11"/>
        <color rgb="FF0070C0"/>
        <rFont val="Aptos Narrow"/>
        <family val="2"/>
        <scheme val="minor"/>
      </rPr>
      <t xml:space="preserve"> dan </t>
    </r>
    <r>
      <rPr>
        <b/>
        <i/>
        <sz val="11"/>
        <color rgb="FF0070C0"/>
        <rFont val="Aptos Narrow"/>
        <family val="2"/>
        <scheme val="minor"/>
      </rPr>
      <t>Kode Jawaban</t>
    </r>
    <r>
      <rPr>
        <i/>
        <sz val="11"/>
        <color rgb="FF0070C0"/>
        <rFont val="Aptos Narrow"/>
        <family val="2"/>
        <scheme val="minor"/>
      </rPr>
      <t xml:space="preserve"> diatas ke alamat :  </t>
    </r>
    <r>
      <rPr>
        <b/>
        <i/>
        <sz val="11"/>
        <color rgb="FF0070C0"/>
        <rFont val="Aptos Narrow"/>
        <family val="2"/>
        <scheme val="minor"/>
      </rPr>
      <t>https://belajarexcel.id/xl-test/jawaban</t>
    </r>
    <r>
      <rPr>
        <i/>
        <sz val="11"/>
        <color rgb="FF0070C0"/>
        <rFont val="Aptos Narrow"/>
        <family val="2"/>
        <scheme val="minor"/>
      </rPr>
      <t xml:space="preserve">  untuk mengecek hasilnya</t>
    </r>
  </si>
  <si>
    <t>atau klik tombol disamping</t>
  </si>
  <si>
    <r>
      <rPr>
        <b/>
        <sz val="12"/>
        <color rgb="FF00B050"/>
        <rFont val="Aptos Narrow"/>
        <family val="2"/>
        <scheme val="minor"/>
      </rPr>
      <t>Medium Level</t>
    </r>
    <r>
      <rPr>
        <b/>
        <sz val="12"/>
        <color theme="1"/>
        <rFont val="Aptos Narrow"/>
        <family val="2"/>
        <scheme val="minor"/>
      </rPr>
      <t xml:space="preserve"> - Latihan Soal Excel Packing Dus Pesanan</t>
    </r>
  </si>
  <si>
    <t>Tanggal Pesanan
(System)</t>
  </si>
  <si>
    <t>Tanggal Pesanan</t>
  </si>
  <si>
    <t>Jumlah Pcs</t>
  </si>
  <si>
    <t>Jumlah Dus</t>
  </si>
  <si>
    <t>Jam Pesanan</t>
  </si>
  <si>
    <t>Tanggal Pembayaran</t>
  </si>
  <si>
    <t>Pesanan Selesai di proses</t>
  </si>
  <si>
    <t>Jumlah Pcs
(didalam dus)</t>
  </si>
  <si>
    <t>Kekurangan Pcs
(untuk 1 dus)</t>
  </si>
  <si>
    <t>Kekurangan Pcs
(Pesanan)</t>
  </si>
  <si>
    <r>
      <t xml:space="preserve">Isi kolom </t>
    </r>
    <r>
      <rPr>
        <b/>
        <sz val="11"/>
        <color rgb="FF0070C0"/>
        <rFont val="Aptos Narrow"/>
        <family val="2"/>
        <scheme val="minor"/>
      </rPr>
      <t xml:space="preserve">Jumlah Dus </t>
    </r>
    <r>
      <rPr>
        <sz val="11"/>
        <rFont val="Aptos Narrow"/>
        <family val="2"/>
        <scheme val="minor"/>
      </rPr>
      <t>dengan berapa jumla</t>
    </r>
    <r>
      <rPr>
        <sz val="11"/>
        <color theme="1"/>
        <rFont val="Aptos Narrow"/>
        <family val="2"/>
        <scheme val="minor"/>
      </rPr>
      <t>h Dus yang dibutuhkan untuk mengisi Jumlah Pesanan</t>
    </r>
  </si>
  <si>
    <r>
      <t xml:space="preserve">Isi kolom </t>
    </r>
    <r>
      <rPr>
        <b/>
        <sz val="11"/>
        <color rgb="FF0070C0"/>
        <rFont val="Aptos Narrow"/>
        <family val="2"/>
        <scheme val="minor"/>
      </rPr>
      <t>Tanggal Pesanan</t>
    </r>
    <r>
      <rPr>
        <sz val="11"/>
        <color theme="1"/>
        <rFont val="Aptos Narrow"/>
        <family val="2"/>
        <scheme val="minor"/>
      </rPr>
      <t xml:space="preserve"> dengan Tanggal Pesanan System</t>
    </r>
  </si>
  <si>
    <r>
      <t xml:space="preserve">Isi kolom </t>
    </r>
    <r>
      <rPr>
        <b/>
        <sz val="11"/>
        <color rgb="FF0070C0"/>
        <rFont val="Aptos Narrow"/>
        <family val="2"/>
        <scheme val="minor"/>
      </rPr>
      <t>Jam Pesanan</t>
    </r>
    <r>
      <rPr>
        <sz val="11"/>
        <color theme="1"/>
        <rFont val="Aptos Narrow"/>
        <family val="2"/>
        <scheme val="minor"/>
      </rPr>
      <t xml:space="preserve"> dengan Jam Pesanan System</t>
    </r>
  </si>
  <si>
    <r>
      <t xml:space="preserve">Isi kolom </t>
    </r>
    <r>
      <rPr>
        <b/>
        <sz val="11"/>
        <color rgb="FF0070C0"/>
        <rFont val="Aptos Narrow"/>
        <family val="2"/>
        <scheme val="minor"/>
      </rPr>
      <t>Tanggal Pembayaran</t>
    </r>
    <r>
      <rPr>
        <sz val="11"/>
        <color theme="1"/>
        <rFont val="Aptos Narrow"/>
        <family val="2"/>
        <scheme val="minor"/>
      </rPr>
      <t xml:space="preserve"> dengan tanggal di hari Sabtu terdekat setelah Tanggal pesanan.</t>
    </r>
  </si>
  <si>
    <t>Untuk tanggal pesanan pada hari Sabtu, maka Tanggal pembayaran adalah Sabtu di minggu berikutnya.</t>
  </si>
  <si>
    <r>
      <t xml:space="preserve">Isi kolom </t>
    </r>
    <r>
      <rPr>
        <b/>
        <sz val="11"/>
        <color rgb="FF0070C0"/>
        <rFont val="Aptos Narrow"/>
        <family val="2"/>
        <scheme val="minor"/>
      </rPr>
      <t>Kekurangan</t>
    </r>
    <r>
      <rPr>
        <sz val="11"/>
        <color theme="1"/>
        <rFont val="Aptos Narrow"/>
        <family val="2"/>
        <scheme val="minor"/>
      </rPr>
      <t xml:space="preserve"> dengan berapa Pcs kekurangan yang belum di proses untuk pesanan</t>
    </r>
  </si>
  <si>
    <t>MK4</t>
  </si>
  <si>
    <t>1 Dus = 42 Pcs</t>
  </si>
  <si>
    <r>
      <t xml:space="preserve">Berapa </t>
    </r>
    <r>
      <rPr>
        <b/>
        <sz val="11"/>
        <color rgb="FF0070C0"/>
        <rFont val="Aptos Narrow"/>
        <family val="2"/>
        <scheme val="minor"/>
      </rPr>
      <t>Jumlah Pcs</t>
    </r>
    <r>
      <rPr>
        <sz val="11"/>
        <color theme="1"/>
        <rFont val="Aptos Narrow"/>
        <family val="2"/>
        <scheme val="minor"/>
      </rPr>
      <t xml:space="preserve"> yang sudah berada didalam Dus  dari jumlah pesanan yang selsai di proses</t>
    </r>
  </si>
  <si>
    <t>Saya adalah seorang Excel Holic yang percaya bahwa setiap angka memiliki cerita yang bisa ditemukan dengan cara yang tepat.</t>
  </si>
  <si>
    <t>“Excel bukan cuma soal kerjaan tapi juga hobi yang aku nikmati.”</t>
  </si>
  <si>
    <t>Contact :</t>
  </si>
  <si>
    <t>🌐 Web</t>
  </si>
  <si>
    <t>https://setiadi.me</t>
  </si>
  <si>
    <t>🪡threads</t>
  </si>
  <si>
    <t>https://www.threads.com/@andisetiadi</t>
  </si>
  <si>
    <t>Perlu Video Penjelasan atau Kunci Jawaban ?</t>
  </si>
  <si>
    <t>Scan barcode atau kunjungi</t>
  </si>
  <si>
    <t>https://lynk.id/setiadi/page/jawaban-xl-test</t>
  </si>
  <si>
    <t>jika kekurangan tidak memenuhi untuk 1 dus, isi dengan sisa kekurangan pesanan</t>
  </si>
  <si>
    <r>
      <t xml:space="preserve">isi kolom </t>
    </r>
    <r>
      <rPr>
        <b/>
        <sz val="11"/>
        <color rgb="FF0070C0"/>
        <rFont val="Aptos Narrow"/>
        <family val="2"/>
        <scheme val="minor"/>
      </rPr>
      <t>Kekurangan Pcs</t>
    </r>
    <r>
      <rPr>
        <sz val="11"/>
        <color theme="1"/>
        <rFont val="Aptos Narrow"/>
        <family val="2"/>
        <scheme val="minor"/>
      </rPr>
      <t xml:space="preserve"> dengan berapa Pcs Kekurangan </t>
    </r>
    <r>
      <rPr>
        <b/>
        <sz val="11"/>
        <color theme="1"/>
        <rFont val="Aptos Narrow"/>
        <family val="2"/>
        <scheme val="minor"/>
      </rPr>
      <t>Jika</t>
    </r>
    <r>
      <rPr>
        <sz val="11"/>
        <color theme="1"/>
        <rFont val="Aptos Narrow"/>
        <family val="2"/>
        <scheme val="minor"/>
      </rPr>
      <t xml:space="preserve"> ingin menjadi 1 Dus utuh berikutnya di sisa </t>
    </r>
    <r>
      <rPr>
        <b/>
        <sz val="11"/>
        <color theme="6" tint="-0.249977111117893"/>
        <rFont val="Aptos Narrow"/>
        <family val="2"/>
        <scheme val="minor"/>
      </rPr>
      <t>Pesanan selsai di proses</t>
    </r>
    <r>
      <rPr>
        <sz val="11"/>
        <color theme="1"/>
        <rFont val="Aptos Narrow"/>
        <family val="2"/>
        <scheme val="minor"/>
      </rPr>
      <t xml:space="preserve"> yg belum masuk ke dus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</si>
</sst>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/dd/yy\ hh:mm:ss;@"/>
    <numFmt numFmtId="165" formatCode="hh:mm:ss;@"/>
    <numFmt numFmtId="166" formatCode="0\ &quot;dus&quot;"/>
    <numFmt numFmtId="167" formatCode="0\ &quot;Pcs&quot;"/>
    <numFmt numFmtId="168" formatCode="#,##0;\(#,##0\);\-"/>
  </numFmts>
  <fonts count="3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rgb="FF0070C0"/>
      <name val="Aptos Narrow"/>
      <family val="2"/>
      <scheme val="minor"/>
    </font>
    <font>
      <b/>
      <i/>
      <sz val="11"/>
      <color rgb="FF0070C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i/>
      <sz val="11"/>
      <color theme="0" tint="-0.499984740745262"/>
      <name val="Aptos Narrow"/>
      <family val="2"/>
      <scheme val="minor"/>
    </font>
    <font>
      <b/>
      <sz val="12"/>
      <color theme="0"/>
      <name val="ROBOTECH GP"/>
      <family val="2"/>
    </font>
    <font>
      <b/>
      <sz val="14"/>
      <color theme="0"/>
      <name val="Roboto"/>
    </font>
    <font>
      <b/>
      <sz val="18"/>
      <color theme="0"/>
      <name val="Roboto"/>
    </font>
    <font>
      <b/>
      <sz val="18"/>
      <color theme="0"/>
      <name val="ROBOTECH GP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B050"/>
      <name val="Aptos Narrow"/>
      <family val="2"/>
      <scheme val="minor"/>
    </font>
    <font>
      <b/>
      <sz val="10"/>
      <color rgb="FF00B050"/>
      <name val="Aptos Narrow"/>
      <family val="2"/>
      <scheme val="minor"/>
    </font>
    <font>
      <i/>
      <sz val="11"/>
      <color theme="0" tint="-0.34998626667073579"/>
      <name val="Aptos Narrow"/>
      <family val="2"/>
      <scheme val="minor"/>
    </font>
    <font>
      <b/>
      <sz val="12"/>
      <color theme="0"/>
      <name val="Roboto"/>
    </font>
    <font>
      <sz val="11"/>
      <color theme="0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sz val="10"/>
      <color rgb="FF0070C0"/>
      <name val="Aptos Narrow"/>
      <family val="2"/>
      <scheme val="minor"/>
    </font>
    <font>
      <sz val="9"/>
      <color rgb="FF0070C0"/>
      <name val="Aptos Narrow"/>
      <family val="2"/>
      <scheme val="minor"/>
    </font>
    <font>
      <sz val="10"/>
      <color rgb="FF3D3D4E"/>
      <name val="Arial"/>
      <family val="2"/>
    </font>
    <font>
      <b/>
      <sz val="10"/>
      <color rgb="FF1D1F45"/>
      <name val="Arial"/>
      <family val="2"/>
    </font>
    <font>
      <sz val="10"/>
      <color rgb="FF1D1F45"/>
      <name val="Arial"/>
      <family val="2"/>
    </font>
    <font>
      <sz val="11"/>
      <color theme="4" tint="0.39997558519241921"/>
      <name val="Aptos Narrow"/>
      <family val="2"/>
      <scheme val="minor"/>
    </font>
    <font>
      <b/>
      <sz val="11"/>
      <color theme="0"/>
      <name val="ROBOTECH GP"/>
      <family val="2"/>
    </font>
    <font>
      <b/>
      <sz val="10"/>
      <color rgb="FF0070C0"/>
      <name val="Aptos Narrow"/>
      <family val="2"/>
      <scheme val="minor"/>
    </font>
    <font>
      <sz val="10"/>
      <color theme="0"/>
      <name val="Aptos Narrow"/>
      <family val="2"/>
      <scheme val="minor"/>
    </font>
    <font>
      <u/>
      <sz val="11"/>
      <color theme="0"/>
      <name val="Aptos Narrow"/>
      <family val="2"/>
      <scheme val="minor"/>
    </font>
    <font>
      <b/>
      <sz val="11"/>
      <color theme="6" tint="-0.249977111117893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gradientFill>
        <stop position="0">
          <color rgb="FF0A9085"/>
        </stop>
        <stop position="1">
          <color rgb="FF020024"/>
        </stop>
      </gradientFill>
    </fill>
    <fill>
      <patternFill patternType="solid">
        <fgColor rgb="FF0A9085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ck">
        <color rgb="FF00B050"/>
      </bottom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medium">
        <color rgb="FF0070C0"/>
      </right>
      <top/>
      <bottom/>
      <diagonal/>
    </border>
    <border>
      <left style="medium">
        <color rgb="FF0070C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</borders>
  <cellStyleXfs count="4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9">
    <xf numFmtId="0" fontId="0" fillId="0" borderId="0" xfId="0"/>
    <xf numFmtId="0" fontId="0" fillId="3" borderId="1" xfId="0" applyFill="1" applyBorder="1"/>
    <xf numFmtId="164" fontId="0" fillId="3" borderId="1" xfId="0" applyNumberFormat="1" applyFill="1" applyBorder="1"/>
    <xf numFmtId="14" fontId="0" fillId="4" borderId="1" xfId="0" applyNumberFormat="1" applyFill="1" applyBorder="1"/>
    <xf numFmtId="0" fontId="0" fillId="3" borderId="1" xfId="0" applyFill="1" applyBorder="1" applyAlignment="1">
      <alignment horizontal="center"/>
    </xf>
    <xf numFmtId="166" fontId="0" fillId="4" borderId="1" xfId="0" applyNumberFormat="1" applyFill="1" applyBorder="1" applyAlignment="1">
      <alignment horizontal="right" indent="2"/>
    </xf>
    <xf numFmtId="167" fontId="0" fillId="4" borderId="1" xfId="0" applyNumberFormat="1" applyFill="1" applyBorder="1" applyAlignment="1">
      <alignment horizontal="right" indent="2"/>
    </xf>
    <xf numFmtId="14" fontId="0" fillId="4" borderId="1" xfId="0" applyNumberFormat="1" applyFill="1" applyBorder="1" applyAlignment="1">
      <alignment horizontal="right" indent="2"/>
    </xf>
    <xf numFmtId="165" fontId="0" fillId="4" borderId="1" xfId="0" applyNumberFormat="1" applyFill="1" applyBorder="1" applyAlignment="1">
      <alignment horizontal="right" indent="2"/>
    </xf>
    <xf numFmtId="167" fontId="0" fillId="3" borderId="1" xfId="0" applyNumberFormat="1" applyFill="1" applyBorder="1" applyAlignment="1">
      <alignment horizontal="right" indent="2"/>
    </xf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164" fontId="0" fillId="3" borderId="2" xfId="0" applyNumberFormat="1" applyFill="1" applyBorder="1"/>
    <xf numFmtId="167" fontId="0" fillId="3" borderId="2" xfId="0" applyNumberFormat="1" applyFill="1" applyBorder="1" applyAlignment="1">
      <alignment horizontal="right" indent="2"/>
    </xf>
    <xf numFmtId="0" fontId="1" fillId="0" borderId="1" xfId="1" applyBorder="1"/>
    <xf numFmtId="0" fontId="1" fillId="0" borderId="0" xfId="1"/>
    <xf numFmtId="0" fontId="8" fillId="0" borderId="0" xfId="0" applyFont="1"/>
    <xf numFmtId="168" fontId="10" fillId="6" borderId="0" xfId="0" applyNumberFormat="1" applyFont="1" applyFill="1" applyAlignment="1">
      <alignment horizontal="center" vertical="center"/>
    </xf>
    <xf numFmtId="168" fontId="10" fillId="6" borderId="4" xfId="0" applyNumberFormat="1" applyFont="1" applyFill="1" applyBorder="1" applyAlignment="1">
      <alignment horizontal="left" vertical="center"/>
    </xf>
    <xf numFmtId="168" fontId="11" fillId="6" borderId="0" xfId="0" applyNumberFormat="1" applyFont="1" applyFill="1" applyAlignment="1">
      <alignment horizontal="left" vertical="center"/>
    </xf>
    <xf numFmtId="0" fontId="13" fillId="7" borderId="7" xfId="0" applyFont="1" applyFill="1" applyBorder="1" applyAlignment="1">
      <alignment vertical="top" wrapText="1"/>
    </xf>
    <xf numFmtId="0" fontId="13" fillId="7" borderId="0" xfId="0" applyFont="1" applyFill="1" applyAlignment="1">
      <alignment vertical="top" wrapText="1"/>
    </xf>
    <xf numFmtId="0" fontId="13" fillId="7" borderId="8" xfId="0" applyFont="1" applyFill="1" applyBorder="1" applyAlignment="1">
      <alignment vertical="top" wrapText="1"/>
    </xf>
    <xf numFmtId="0" fontId="13" fillId="7" borderId="9" xfId="0" applyFont="1" applyFill="1" applyBorder="1" applyAlignment="1">
      <alignment vertical="top" wrapText="1"/>
    </xf>
    <xf numFmtId="0" fontId="0" fillId="7" borderId="0" xfId="0" applyFill="1"/>
    <xf numFmtId="0" fontId="14" fillId="7" borderId="0" xfId="0" applyFont="1" applyFill="1" applyAlignment="1">
      <alignment horizontal="left" vertical="top"/>
    </xf>
    <xf numFmtId="0" fontId="13" fillId="7" borderId="10" xfId="0" applyFont="1" applyFill="1" applyBorder="1" applyAlignment="1">
      <alignment vertical="top" wrapText="1"/>
    </xf>
    <xf numFmtId="0" fontId="14" fillId="7" borderId="0" xfId="0" applyFont="1" applyFill="1" applyAlignment="1">
      <alignment vertical="top"/>
    </xf>
    <xf numFmtId="0" fontId="16" fillId="7" borderId="0" xfId="0" applyFont="1" applyFill="1" applyAlignment="1">
      <alignment horizontal="right"/>
    </xf>
    <xf numFmtId="0" fontId="17" fillId="7" borderId="0" xfId="0" applyFont="1" applyFill="1" applyAlignment="1">
      <alignment vertical="top"/>
    </xf>
    <xf numFmtId="0" fontId="2" fillId="7" borderId="0" xfId="0" applyFont="1" applyFill="1" applyAlignment="1">
      <alignment horizontal="center" vertical="center"/>
    </xf>
    <xf numFmtId="0" fontId="4" fillId="7" borderId="0" xfId="0" applyFont="1" applyFill="1"/>
    <xf numFmtId="0" fontId="13" fillId="7" borderId="5" xfId="0" applyFont="1" applyFill="1" applyBorder="1" applyAlignment="1">
      <alignment vertical="top" wrapText="1"/>
    </xf>
    <xf numFmtId="0" fontId="13" fillId="7" borderId="6" xfId="0" applyFont="1" applyFill="1" applyBorder="1" applyAlignment="1">
      <alignment vertical="top" wrapText="1"/>
    </xf>
    <xf numFmtId="0" fontId="2" fillId="7" borderId="0" xfId="0" applyFont="1" applyFill="1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168" fontId="18" fillId="6" borderId="11" xfId="0" applyNumberFormat="1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top" wrapText="1"/>
    </xf>
    <xf numFmtId="0" fontId="1" fillId="0" borderId="12" xfId="1" applyBorder="1"/>
    <xf numFmtId="0" fontId="1" fillId="0" borderId="13" xfId="1" applyBorder="1"/>
    <xf numFmtId="0" fontId="20" fillId="0" borderId="1" xfId="1" applyFont="1" applyBorder="1"/>
    <xf numFmtId="0" fontId="22" fillId="0" borderId="1" xfId="1" applyFont="1" applyBorder="1" applyAlignment="1">
      <alignment horizontal="left"/>
    </xf>
    <xf numFmtId="0" fontId="22" fillId="0" borderId="1" xfId="1" applyFont="1" applyBorder="1"/>
    <xf numFmtId="0" fontId="23" fillId="0" borderId="12" xfId="0" applyFont="1" applyBorder="1" applyAlignment="1">
      <alignment horizontal="left" vertical="top" wrapText="1"/>
    </xf>
    <xf numFmtId="0" fontId="25" fillId="0" borderId="12" xfId="0" applyFont="1" applyBorder="1" applyAlignment="1">
      <alignment horizontal="left" vertical="top" wrapText="1"/>
    </xf>
    <xf numFmtId="0" fontId="3" fillId="0" borderId="1" xfId="2" applyBorder="1" applyAlignment="1">
      <alignment vertical="top"/>
    </xf>
    <xf numFmtId="0" fontId="6" fillId="0" borderId="0" xfId="1" applyFont="1"/>
    <xf numFmtId="0" fontId="26" fillId="0" borderId="0" xfId="1" applyFont="1"/>
    <xf numFmtId="0" fontId="3" fillId="0" borderId="0" xfId="3"/>
    <xf numFmtId="0" fontId="26" fillId="0" borderId="0" xfId="1" quotePrefix="1" applyFont="1"/>
    <xf numFmtId="0" fontId="0" fillId="6" borderId="0" xfId="0" applyFill="1"/>
    <xf numFmtId="0" fontId="28" fillId="6" borderId="0" xfId="0" applyFont="1" applyFill="1"/>
    <xf numFmtId="0" fontId="19" fillId="6" borderId="0" xfId="0" applyFont="1" applyFill="1"/>
    <xf numFmtId="0" fontId="29" fillId="6" borderId="0" xfId="0" applyFont="1" applyFill="1"/>
    <xf numFmtId="0" fontId="30" fillId="6" borderId="0" xfId="3" applyFont="1" applyFill="1"/>
    <xf numFmtId="0" fontId="9" fillId="5" borderId="0" xfId="0" applyFont="1" applyFill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12" fillId="5" borderId="10" xfId="0" applyFont="1" applyFill="1" applyBorder="1" applyAlignment="1">
      <alignment horizontal="center" vertical="center"/>
    </xf>
    <xf numFmtId="0" fontId="23" fillId="0" borderId="0" xfId="0" applyFont="1" applyAlignment="1">
      <alignment horizontal="left" vertical="top" wrapText="1"/>
    </xf>
    <xf numFmtId="0" fontId="23" fillId="0" borderId="14" xfId="0" applyFont="1" applyBorder="1" applyAlignment="1">
      <alignment horizontal="left" vertical="top" wrapText="1"/>
    </xf>
    <xf numFmtId="0" fontId="24" fillId="0" borderId="0" xfId="0" applyFont="1" applyAlignment="1">
      <alignment horizontal="left" vertical="top" wrapText="1"/>
    </xf>
    <xf numFmtId="0" fontId="24" fillId="0" borderId="14" xfId="0" applyFont="1" applyBorder="1" applyAlignment="1">
      <alignment horizontal="left" vertical="top" wrapText="1"/>
    </xf>
    <xf numFmtId="0" fontId="27" fillId="5" borderId="7" xfId="0" applyFont="1" applyFill="1" applyBorder="1" applyAlignment="1">
      <alignment horizontal="center" vertical="center"/>
    </xf>
    <xf numFmtId="0" fontId="27" fillId="5" borderId="0" xfId="0" applyFont="1" applyFill="1" applyAlignment="1">
      <alignment horizontal="center" vertical="center"/>
    </xf>
    <xf numFmtId="0" fontId="21" fillId="0" borderId="1" xfId="1" applyFont="1" applyBorder="1" applyAlignment="1">
      <alignment horizontal="left"/>
    </xf>
    <xf numFmtId="0" fontId="22" fillId="0" borderId="1" xfId="1" applyFont="1" applyBorder="1" applyAlignment="1">
      <alignment horizontal="left"/>
    </xf>
  </cellXfs>
  <cellStyles count="4">
    <cellStyle name="Hyperlink" xfId="3" builtinId="8"/>
    <cellStyle name="Hyperlink 2" xfId="2" xr:uid="{665B2743-12BC-420E-84B1-5F3B8BBFAB6F}"/>
    <cellStyle name="Normal" xfId="0" builtinId="0"/>
    <cellStyle name="Normal 2" xfId="1" xr:uid="{2231C700-91C9-4958-9296-2B8797D56020}"/>
  </cellStyles>
  <dxfs count="1">
    <dxf>
      <border>
        <bottom style="thin">
          <color rgb="FF00B050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belajarexcel.id/xl-test/jawaban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7620</xdr:colOff>
      <xdr:row>18</xdr:row>
      <xdr:rowOff>45719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4B98871-D74D-46CF-B830-D7DD4AE8B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350240" cy="3337559"/>
        </a:xfrm>
        <a:prstGeom prst="rect">
          <a:avLst/>
        </a:prstGeom>
      </xdr:spPr>
    </xdr:pic>
    <xdr:clientData/>
  </xdr:twoCellAnchor>
  <xdr:twoCellAnchor editAs="oneCell">
    <xdr:from>
      <xdr:col>6</xdr:col>
      <xdr:colOff>365760</xdr:colOff>
      <xdr:row>15</xdr:row>
      <xdr:rowOff>53340</xdr:rowOff>
    </xdr:from>
    <xdr:to>
      <xdr:col>7</xdr:col>
      <xdr:colOff>878840</xdr:colOff>
      <xdr:row>18</xdr:row>
      <xdr:rowOff>152400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2661B8A-A62E-4B1C-8F4D-DF879B87A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84620" y="2796540"/>
          <a:ext cx="1511300" cy="647700"/>
        </a:xfrm>
        <a:prstGeom prst="rect">
          <a:avLst/>
        </a:prstGeom>
      </xdr:spPr>
    </xdr:pic>
    <xdr:clientData/>
  </xdr:twoCellAnchor>
  <xdr:twoCellAnchor>
    <xdr:from>
      <xdr:col>3</xdr:col>
      <xdr:colOff>609600</xdr:colOff>
      <xdr:row>38</xdr:row>
      <xdr:rowOff>121920</xdr:rowOff>
    </xdr:from>
    <xdr:to>
      <xdr:col>4</xdr:col>
      <xdr:colOff>1158240</xdr:colOff>
      <xdr:row>40</xdr:row>
      <xdr:rowOff>76200</xdr:rowOff>
    </xdr:to>
    <xdr:sp macro="" textlink="">
      <xdr:nvSpPr>
        <xdr:cNvPr id="10" name="Rectangle: Rounded Corners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9C2DFCD-D854-4448-BC95-5BBDD4356E7E}"/>
            </a:ext>
          </a:extLst>
        </xdr:cNvPr>
        <xdr:cNvSpPr/>
      </xdr:nvSpPr>
      <xdr:spPr>
        <a:xfrm>
          <a:off x="2705100" y="7780020"/>
          <a:ext cx="1684020" cy="350520"/>
        </a:xfrm>
        <a:prstGeom prst="round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D" sz="1100"/>
            <a:t>Cek hasil Jawaban</a:t>
          </a:r>
        </a:p>
      </xdr:txBody>
    </xdr:sp>
    <xdr:clientData/>
  </xdr:twoCellAnchor>
  <xdr:oneCellAnchor>
    <xdr:from>
      <xdr:col>10</xdr:col>
      <xdr:colOff>1112520</xdr:colOff>
      <xdr:row>0</xdr:row>
      <xdr:rowOff>60960</xdr:rowOff>
    </xdr:from>
    <xdr:ext cx="1136401" cy="280205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E9B41AA-F49A-4385-9C6A-6C74A1BAA6E3}"/>
            </a:ext>
          </a:extLst>
        </xdr:cNvPr>
        <xdr:cNvSpPr txBox="1"/>
      </xdr:nvSpPr>
      <xdr:spPr>
        <a:xfrm>
          <a:off x="12115800" y="60960"/>
          <a:ext cx="1136401" cy="280205"/>
        </a:xfrm>
        <a:prstGeom prst="rect">
          <a:avLst/>
        </a:prstGeom>
        <a:noFill/>
        <a:ln>
          <a:noFill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1200" b="1">
              <a:solidFill>
                <a:schemeClr val="bg1"/>
              </a:solidFill>
            </a:rPr>
            <a:t>MEDIUM</a:t>
          </a:r>
          <a:r>
            <a:rPr lang="en-ID" sz="1200" b="1" baseline="0">
              <a:solidFill>
                <a:schemeClr val="bg1"/>
              </a:solidFill>
            </a:rPr>
            <a:t> LEVEL</a:t>
          </a:r>
          <a:endParaRPr lang="en-ID" sz="1200" b="1">
            <a:solidFill>
              <a:schemeClr val="bg1"/>
            </a:solidFill>
          </a:endParaRPr>
        </a:p>
      </xdr:txBody>
    </xdr:sp>
    <xdr:clientData/>
  </xdr:oneCellAnchor>
  <xdr:twoCellAnchor editAs="oneCell">
    <xdr:from>
      <xdr:col>12</xdr:col>
      <xdr:colOff>198120</xdr:colOff>
      <xdr:row>0</xdr:row>
      <xdr:rowOff>0</xdr:rowOff>
    </xdr:from>
    <xdr:to>
      <xdr:col>13</xdr:col>
      <xdr:colOff>1192076</xdr:colOff>
      <xdr:row>18</xdr:row>
      <xdr:rowOff>60960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7F55872-EE3F-40CE-8244-5E2B9997B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540740" y="0"/>
          <a:ext cx="2152196" cy="3352800"/>
        </a:xfrm>
        <a:prstGeom prst="rect">
          <a:avLst/>
        </a:prstGeom>
      </xdr:spPr>
    </xdr:pic>
    <xdr:clientData/>
  </xdr:twoCellAnchor>
  <xdr:twoCellAnchor editAs="oneCell">
    <xdr:from>
      <xdr:col>9</xdr:col>
      <xdr:colOff>1082040</xdr:colOff>
      <xdr:row>23</xdr:row>
      <xdr:rowOff>159798</xdr:rowOff>
    </xdr:from>
    <xdr:to>
      <xdr:col>12</xdr:col>
      <xdr:colOff>103640</xdr:colOff>
      <xdr:row>34</xdr:row>
      <xdr:rowOff>136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6FBF2BF-562B-1961-2321-8C4A6B46BC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73740" y="4602258"/>
          <a:ext cx="2572520" cy="203489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</xdr:row>
      <xdr:rowOff>53340</xdr:rowOff>
    </xdr:from>
    <xdr:ext cx="1554479" cy="586842"/>
    <xdr:pic>
      <xdr:nvPicPr>
        <xdr:cNvPr id="2" name="Picture 1">
          <a:extLst>
            <a:ext uri="{FF2B5EF4-FFF2-40B4-BE49-F238E27FC236}">
              <a16:creationId xmlns:a16="http://schemas.microsoft.com/office/drawing/2014/main" id="{18DC7B68-8B56-47E5-BCF2-132440C8D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07180" y="236220"/>
          <a:ext cx="1554479" cy="586842"/>
        </a:xfrm>
        <a:prstGeom prst="rect">
          <a:avLst/>
        </a:prstGeom>
      </xdr:spPr>
    </xdr:pic>
    <xdr:clientData/>
  </xdr:oneCellAnchor>
  <xdr:oneCellAnchor>
    <xdr:from>
      <xdr:col>1</xdr:col>
      <xdr:colOff>76200</xdr:colOff>
      <xdr:row>25</xdr:row>
      <xdr:rowOff>53340</xdr:rowOff>
    </xdr:from>
    <xdr:ext cx="960120" cy="960120"/>
    <xdr:pic>
      <xdr:nvPicPr>
        <xdr:cNvPr id="3" name="Picture 2">
          <a:extLst>
            <a:ext uri="{FF2B5EF4-FFF2-40B4-BE49-F238E27FC236}">
              <a16:creationId xmlns:a16="http://schemas.microsoft.com/office/drawing/2014/main" id="{74B9A54D-3733-4EE0-AB04-B01B42452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2440" y="5646420"/>
          <a:ext cx="960120" cy="960120"/>
        </a:xfrm>
        <a:prstGeom prst="rect">
          <a:avLst/>
        </a:prstGeom>
      </xdr:spPr>
    </xdr:pic>
    <xdr:clientData/>
  </xdr:oneCellAnchor>
  <xdr:twoCellAnchor editAs="oneCell">
    <xdr:from>
      <xdr:col>1</xdr:col>
      <xdr:colOff>640080</xdr:colOff>
      <xdr:row>0</xdr:row>
      <xdr:rowOff>167640</xdr:rowOff>
    </xdr:from>
    <xdr:to>
      <xdr:col>4</xdr:col>
      <xdr:colOff>398141</xdr:colOff>
      <xdr:row>15</xdr:row>
      <xdr:rowOff>15240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B698079-E839-43C5-8916-C94B26511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6320" y="167640"/>
          <a:ext cx="1663061" cy="2590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etiadi.me/" TargetMode="External"/><Relationship Id="rId2" Type="http://schemas.openxmlformats.org/officeDocument/2006/relationships/hyperlink" Target="https://www.threads.com/@andisetiadi" TargetMode="External"/><Relationship Id="rId1" Type="http://schemas.openxmlformats.org/officeDocument/2006/relationships/hyperlink" Target="https://belajarexcel.id/xl-test/" TargetMode="External"/><Relationship Id="rId5" Type="http://schemas.openxmlformats.org/officeDocument/2006/relationships/drawing" Target="../drawings/drawing2.xml"/><Relationship Id="rId4" Type="http://schemas.openxmlformats.org/officeDocument/2006/relationships/hyperlink" Target="https://lynk.id/setiadi/page/jawaban-xl-te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FB390-961F-41D8-9405-CF5AF9700B04}">
  <sheetPr codeName="Sheet1"/>
  <dimension ref="A20:N63"/>
  <sheetViews>
    <sheetView tabSelected="1" topLeftCell="D25" workbookViewId="0">
      <selection activeCell="G20" sqref="G20"/>
    </sheetView>
  </sheetViews>
  <sheetFormatPr defaultRowHeight="15"/>
  <cols>
    <col min="1" max="1" width="7.140625" customWidth="1"/>
    <col min="2" max="2" width="9" customWidth="1"/>
    <col min="3" max="3" width="21.28515625" customWidth="1"/>
    <col min="4" max="4" width="20.28515625" customWidth="1"/>
    <col min="5" max="5" width="16.85546875" customWidth="1"/>
    <col min="6" max="6" width="14.7109375" customWidth="1"/>
    <col min="7" max="7" width="14.5703125" customWidth="1"/>
    <col min="8" max="8" width="20.28515625" customWidth="1"/>
    <col min="9" max="9" width="18.7109375" customWidth="1"/>
    <col min="10" max="10" width="17.7109375" customWidth="1"/>
    <col min="11" max="11" width="18.140625" customWidth="1"/>
    <col min="12" max="12" width="16" customWidth="1"/>
    <col min="13" max="13" width="16.85546875" customWidth="1"/>
    <col min="14" max="14" width="20.28515625" customWidth="1"/>
  </cols>
  <sheetData>
    <row r="20" spans="1:14" ht="23.25">
      <c r="A20" s="56" t="s">
        <v>18</v>
      </c>
      <c r="B20" s="56"/>
      <c r="C20" s="17" t="s">
        <v>20</v>
      </c>
      <c r="E20" s="56" t="s">
        <v>19</v>
      </c>
      <c r="F20" s="57"/>
      <c r="G20" s="18" t="str">
        <f ca="1">kode_jawaban</f>
        <v>MK4|12-1BA4;5B-D950;2C-EAB99;23-113C6F;67-EABF7;26-334A4;27-8032;28-17156</v>
      </c>
      <c r="H20" s="19"/>
      <c r="I20" s="19"/>
      <c r="J20" s="19"/>
      <c r="K20" s="19"/>
      <c r="L20" s="19"/>
      <c r="M20" s="19"/>
      <c r="N20" s="19"/>
    </row>
    <row r="22" spans="1:14" ht="23.25">
      <c r="A22" s="58" t="s">
        <v>64</v>
      </c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60"/>
    </row>
    <row r="23" spans="1:14" ht="15.75">
      <c r="A23" s="20"/>
      <c r="B23" s="21"/>
      <c r="C23" s="21"/>
      <c r="D23" s="21"/>
      <c r="E23" s="21"/>
      <c r="F23" s="21"/>
      <c r="G23" s="21"/>
      <c r="H23" s="21"/>
      <c r="I23" s="21"/>
      <c r="J23" s="21"/>
      <c r="K23" s="22"/>
      <c r="L23" s="22"/>
      <c r="M23" s="22"/>
      <c r="N23" s="23"/>
    </row>
    <row r="24" spans="1:14" ht="15.75">
      <c r="A24" s="24"/>
      <c r="B24" s="25" t="s">
        <v>69</v>
      </c>
      <c r="D24" s="24"/>
      <c r="E24" s="21"/>
      <c r="F24" s="21"/>
      <c r="G24" s="21"/>
      <c r="H24" s="21"/>
      <c r="I24" s="21"/>
      <c r="J24" s="21"/>
      <c r="K24" s="21"/>
      <c r="L24" s="21"/>
      <c r="M24" s="21"/>
      <c r="N24" s="26"/>
    </row>
    <row r="25" spans="1:14" ht="15.75">
      <c r="A25" s="24"/>
      <c r="B25" s="24"/>
      <c r="C25" s="27"/>
      <c r="E25" s="21"/>
      <c r="F25" s="21"/>
      <c r="G25" s="21"/>
      <c r="H25" s="21"/>
      <c r="I25" s="21"/>
      <c r="J25" s="21"/>
      <c r="K25" s="21"/>
      <c r="L25" s="21"/>
      <c r="M25" s="21"/>
      <c r="N25" s="26"/>
    </row>
    <row r="26" spans="1:14" ht="15.75">
      <c r="A26" s="24"/>
      <c r="B26" s="28" t="s">
        <v>65</v>
      </c>
      <c r="C26" s="29" t="s">
        <v>66</v>
      </c>
      <c r="D26" s="24"/>
      <c r="E26" s="24"/>
      <c r="F26" s="21"/>
      <c r="G26" s="24"/>
      <c r="H26" s="24"/>
      <c r="I26" s="21"/>
      <c r="J26" s="21"/>
      <c r="K26" s="21"/>
      <c r="L26" s="21"/>
      <c r="M26" s="21"/>
      <c r="N26" s="26"/>
    </row>
    <row r="27" spans="1:14" ht="15.75">
      <c r="A27" s="24"/>
      <c r="B27" s="34">
        <v>1</v>
      </c>
      <c r="C27" s="24" t="s">
        <v>80</v>
      </c>
      <c r="D27" s="24"/>
      <c r="E27" s="24"/>
      <c r="F27" s="21"/>
      <c r="G27" s="24"/>
      <c r="H27" s="24"/>
      <c r="I27" s="21"/>
      <c r="J27" s="21"/>
      <c r="K27" s="21"/>
      <c r="L27" s="21"/>
      <c r="N27" s="26"/>
    </row>
    <row r="28" spans="1:14" ht="15.75">
      <c r="A28" s="24"/>
      <c r="B28" s="34">
        <v>2</v>
      </c>
      <c r="C28" s="24" t="s">
        <v>54</v>
      </c>
      <c r="D28" s="24"/>
      <c r="E28" s="24"/>
      <c r="F28" s="21"/>
      <c r="G28" s="24"/>
      <c r="H28" s="24"/>
      <c r="I28" s="21"/>
      <c r="J28" s="21"/>
      <c r="K28" s="21"/>
      <c r="L28" s="21"/>
      <c r="M28" s="21"/>
      <c r="N28" s="26"/>
    </row>
    <row r="29" spans="1:14" ht="16.5" thickBot="1">
      <c r="A29" s="24"/>
      <c r="B29" s="34">
        <v>3</v>
      </c>
      <c r="C29" s="24" t="s">
        <v>81</v>
      </c>
      <c r="D29" s="24"/>
      <c r="E29" s="24"/>
      <c r="F29" s="21"/>
      <c r="G29" s="24"/>
      <c r="H29" s="24"/>
      <c r="I29" s="21"/>
      <c r="J29" s="21"/>
      <c r="K29" s="21"/>
      <c r="L29" s="21"/>
      <c r="M29" s="21"/>
      <c r="N29" s="26"/>
    </row>
    <row r="30" spans="1:14" ht="16.5" thickBot="1">
      <c r="A30" s="24"/>
      <c r="B30" s="34">
        <v>4</v>
      </c>
      <c r="C30" s="24" t="s">
        <v>82</v>
      </c>
      <c r="D30" s="24"/>
      <c r="E30" s="24"/>
      <c r="F30" s="21"/>
      <c r="G30" s="24"/>
      <c r="H30" s="24"/>
      <c r="I30" s="21"/>
      <c r="J30" s="21"/>
      <c r="K30" s="21"/>
      <c r="L30" s="21"/>
      <c r="M30" s="38" t="s">
        <v>87</v>
      </c>
      <c r="N30" s="26"/>
    </row>
    <row r="31" spans="1:14" ht="15.75">
      <c r="A31" s="24"/>
      <c r="B31" s="34">
        <v>5</v>
      </c>
      <c r="C31" s="24" t="s">
        <v>83</v>
      </c>
      <c r="D31" s="24"/>
      <c r="E31" s="24"/>
      <c r="F31" s="21"/>
      <c r="G31" s="24"/>
      <c r="H31" s="24"/>
      <c r="I31" s="21"/>
      <c r="J31" s="21"/>
      <c r="K31" s="21"/>
      <c r="L31" s="21"/>
      <c r="M31" s="21"/>
      <c r="N31" s="26"/>
    </row>
    <row r="32" spans="1:14" ht="15.75">
      <c r="A32" s="24"/>
      <c r="B32" s="34"/>
      <c r="C32" s="24" t="s">
        <v>84</v>
      </c>
      <c r="D32" s="24"/>
      <c r="E32" s="24"/>
      <c r="F32" s="21"/>
      <c r="G32" s="24"/>
      <c r="H32" s="24"/>
      <c r="I32" s="21"/>
      <c r="J32" s="21"/>
      <c r="K32" s="21"/>
      <c r="L32" s="21"/>
      <c r="M32" s="21"/>
      <c r="N32" s="26"/>
    </row>
    <row r="33" spans="1:14" ht="15.75">
      <c r="A33" s="24"/>
      <c r="B33" s="34">
        <v>6</v>
      </c>
      <c r="C33" s="24" t="s">
        <v>88</v>
      </c>
      <c r="D33" s="24"/>
      <c r="E33" s="24"/>
      <c r="F33" s="21"/>
      <c r="G33" s="24"/>
      <c r="H33" s="24"/>
      <c r="I33" s="21"/>
      <c r="J33" s="21"/>
      <c r="K33" s="21"/>
      <c r="L33" s="21"/>
      <c r="M33" s="21"/>
      <c r="N33" s="26"/>
    </row>
    <row r="34" spans="1:14" ht="15.75">
      <c r="A34" s="24"/>
      <c r="B34" s="34">
        <v>7</v>
      </c>
      <c r="C34" s="24" t="s">
        <v>100</v>
      </c>
      <c r="D34" s="24"/>
      <c r="E34" s="24"/>
      <c r="F34" s="21"/>
      <c r="G34" s="24"/>
      <c r="H34" s="24"/>
      <c r="I34" s="21"/>
      <c r="J34" s="21"/>
      <c r="K34" s="21"/>
      <c r="L34" s="21"/>
      <c r="M34" s="21"/>
      <c r="N34" s="26"/>
    </row>
    <row r="35" spans="1:14" ht="15.75">
      <c r="A35" s="24"/>
      <c r="B35" s="34"/>
      <c r="C35" s="24" t="s">
        <v>99</v>
      </c>
      <c r="D35" s="24"/>
      <c r="E35" s="24"/>
      <c r="F35" s="21"/>
      <c r="G35" s="24"/>
      <c r="H35" s="24"/>
      <c r="I35" s="21"/>
      <c r="J35" s="21"/>
      <c r="K35" s="21"/>
      <c r="L35" s="21"/>
      <c r="M35" s="21"/>
      <c r="N35" s="26"/>
    </row>
    <row r="36" spans="1:14" ht="15.75">
      <c r="A36" s="24"/>
      <c r="B36" s="34">
        <v>8</v>
      </c>
      <c r="C36" s="24" t="s">
        <v>85</v>
      </c>
      <c r="D36" s="24"/>
      <c r="E36" s="24"/>
      <c r="F36" s="21"/>
      <c r="G36" s="24"/>
      <c r="H36" s="24"/>
      <c r="I36" s="21"/>
      <c r="J36" s="21"/>
      <c r="K36" s="21"/>
      <c r="L36" s="21"/>
      <c r="M36" s="21"/>
      <c r="N36" s="26"/>
    </row>
    <row r="37" spans="1:14" ht="15.75">
      <c r="A37" s="24"/>
      <c r="B37" s="30"/>
      <c r="C37" s="24"/>
      <c r="D37" s="24"/>
      <c r="E37" s="24"/>
      <c r="F37" s="21"/>
      <c r="G37" s="24"/>
      <c r="H37" s="24"/>
      <c r="I37" s="21"/>
      <c r="J37" s="21"/>
      <c r="K37" s="21"/>
      <c r="L37" s="21"/>
      <c r="M37" s="21"/>
      <c r="N37" s="26"/>
    </row>
    <row r="38" spans="1:14" ht="15.75">
      <c r="A38" s="24"/>
      <c r="B38" s="24"/>
      <c r="C38" s="31" t="s">
        <v>67</v>
      </c>
      <c r="D38" s="24"/>
      <c r="E38" s="24"/>
      <c r="F38" s="21"/>
      <c r="G38" s="24"/>
      <c r="H38" s="24"/>
      <c r="I38" s="21"/>
      <c r="J38" s="21"/>
      <c r="K38" s="21"/>
      <c r="L38" s="21"/>
      <c r="M38" s="21"/>
      <c r="N38" s="26"/>
    </row>
    <row r="39" spans="1:14" ht="15.75">
      <c r="A39" s="24"/>
      <c r="B39" s="24"/>
      <c r="C39" s="31" t="s">
        <v>68</v>
      </c>
      <c r="D39" s="24"/>
      <c r="E39" s="21"/>
      <c r="F39" s="21"/>
      <c r="G39" s="24"/>
      <c r="H39" s="24"/>
      <c r="I39" s="21"/>
      <c r="J39" s="21"/>
      <c r="K39" s="21"/>
      <c r="L39" s="21"/>
      <c r="M39" s="21"/>
      <c r="N39" s="26"/>
    </row>
    <row r="40" spans="1:14" ht="15.75">
      <c r="A40" s="24"/>
      <c r="B40" s="24"/>
      <c r="C40" s="24"/>
      <c r="E40" s="21"/>
      <c r="F40" s="21"/>
      <c r="G40" s="24"/>
      <c r="H40" s="24"/>
      <c r="I40" s="21"/>
      <c r="J40" s="21"/>
      <c r="K40" s="21"/>
      <c r="L40" s="21"/>
      <c r="M40" s="21"/>
      <c r="N40" s="26"/>
    </row>
    <row r="41" spans="1:14" ht="15.75">
      <c r="A41" s="24"/>
      <c r="B41" s="24"/>
      <c r="C41" s="31"/>
      <c r="D41" s="21"/>
      <c r="E41" s="21"/>
      <c r="F41" s="21"/>
      <c r="G41" s="24"/>
      <c r="H41" s="24"/>
      <c r="I41" s="21"/>
      <c r="J41" s="21"/>
      <c r="K41" s="32"/>
      <c r="L41" s="32"/>
      <c r="M41" s="32"/>
      <c r="N41" s="33"/>
    </row>
    <row r="42" spans="1:14" ht="23.25">
      <c r="A42" s="58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60"/>
    </row>
    <row r="44" spans="1:14" ht="15.75" thickBot="1"/>
    <row r="45" spans="1:14" ht="16.5" thickBot="1">
      <c r="F45" s="37">
        <v>1</v>
      </c>
      <c r="G45" s="37">
        <v>2</v>
      </c>
      <c r="H45" s="37">
        <v>3</v>
      </c>
      <c r="I45" s="37">
        <v>4</v>
      </c>
      <c r="J45" s="37">
        <v>5</v>
      </c>
      <c r="L45" s="37">
        <v>6</v>
      </c>
      <c r="M45" s="37">
        <v>7</v>
      </c>
      <c r="N45" s="37">
        <v>8</v>
      </c>
    </row>
    <row r="46" spans="1:14" ht="34.15" customHeight="1">
      <c r="B46" s="35" t="s">
        <v>0</v>
      </c>
      <c r="C46" s="35" t="s">
        <v>1</v>
      </c>
      <c r="D46" s="36" t="s">
        <v>70</v>
      </c>
      <c r="E46" s="35" t="s">
        <v>17</v>
      </c>
      <c r="F46" s="35" t="s">
        <v>73</v>
      </c>
      <c r="G46" s="35" t="s">
        <v>72</v>
      </c>
      <c r="H46" s="35" t="s">
        <v>71</v>
      </c>
      <c r="I46" s="35" t="s">
        <v>74</v>
      </c>
      <c r="J46" s="35" t="s">
        <v>75</v>
      </c>
      <c r="K46" s="36" t="s">
        <v>76</v>
      </c>
      <c r="L46" s="36" t="s">
        <v>77</v>
      </c>
      <c r="M46" s="36" t="s">
        <v>78</v>
      </c>
      <c r="N46" s="36" t="s">
        <v>79</v>
      </c>
    </row>
    <row r="47" spans="1:14" ht="19.899999999999999" customHeight="1">
      <c r="B47" s="4">
        <v>1</v>
      </c>
      <c r="C47" s="1" t="s">
        <v>2</v>
      </c>
      <c r="D47" s="2">
        <v>45673.197222222225</v>
      </c>
      <c r="E47" s="9">
        <v>52</v>
      </c>
      <c r="F47" s="5">
        <f>QUOTIENT(E47,42)</f>
        <v>1</v>
      </c>
      <c r="G47" s="6">
        <f>MOD(E47,42)</f>
        <v>10</v>
      </c>
      <c r="H47" s="3">
        <f>INT(D47)</f>
        <v>45673</v>
      </c>
      <c r="I47" s="8">
        <f>MOD(D47,1)</f>
        <v>0.19722222222480923</v>
      </c>
      <c r="J47" s="7">
        <f>H47+MOD(13-H47,7)+1</f>
        <v>45675</v>
      </c>
      <c r="K47" s="9">
        <v>50</v>
      </c>
      <c r="L47" s="6">
        <f>FLOOR(K47,42)</f>
        <v>42</v>
      </c>
      <c r="M47" s="6">
        <f>MIN(CEILING(K47,42)-K47,E47-K47)</f>
        <v>2</v>
      </c>
      <c r="N47" s="6">
        <f>E47-K47</f>
        <v>2</v>
      </c>
    </row>
    <row r="48" spans="1:14" ht="19.899999999999999" customHeight="1">
      <c r="B48" s="4">
        <v>2</v>
      </c>
      <c r="C48" s="1" t="s">
        <v>3</v>
      </c>
      <c r="D48" s="2">
        <v>45852.638888888891</v>
      </c>
      <c r="E48" s="9">
        <v>234</v>
      </c>
      <c r="F48" s="5">
        <f t="shared" ref="F48:F61" si="0">QUOTIENT(E48,42)</f>
        <v>5</v>
      </c>
      <c r="G48" s="6">
        <f t="shared" ref="G48:G61" si="1">MOD(E48,42)</f>
        <v>24</v>
      </c>
      <c r="H48" s="3">
        <f t="shared" ref="H48:H61" si="2">INT(D48)</f>
        <v>45852</v>
      </c>
      <c r="I48" s="8">
        <f t="shared" ref="I48:I61" si="3">MOD(D48,1)</f>
        <v>0.63888888889050577</v>
      </c>
      <c r="J48" s="7">
        <f t="shared" ref="J48:J61" si="4">H48+MOD(13-H48,7)+1</f>
        <v>45857</v>
      </c>
      <c r="K48" s="9">
        <v>93</v>
      </c>
      <c r="L48" s="6">
        <f t="shared" ref="L48:L61" si="5">FLOOR(K48,42)</f>
        <v>84</v>
      </c>
      <c r="M48" s="6">
        <f t="shared" ref="M48:M61" si="6">MIN(CEILING(K48,42)-K48,E48-K48)</f>
        <v>33</v>
      </c>
      <c r="N48" s="6">
        <f t="shared" ref="N48:N61" si="7">E48-K48</f>
        <v>141</v>
      </c>
    </row>
    <row r="49" spans="2:14" ht="19.899999999999999" customHeight="1">
      <c r="B49" s="4">
        <v>3</v>
      </c>
      <c r="C49" s="1" t="s">
        <v>4</v>
      </c>
      <c r="D49" s="2">
        <v>45951.438888888886</v>
      </c>
      <c r="E49" s="9">
        <v>157</v>
      </c>
      <c r="F49" s="5">
        <f t="shared" si="0"/>
        <v>3</v>
      </c>
      <c r="G49" s="6">
        <f t="shared" si="1"/>
        <v>31</v>
      </c>
      <c r="H49" s="3">
        <f t="shared" si="2"/>
        <v>45951</v>
      </c>
      <c r="I49" s="8">
        <f t="shared" si="3"/>
        <v>0.43888888888614019</v>
      </c>
      <c r="J49" s="7">
        <f t="shared" si="4"/>
        <v>45955</v>
      </c>
      <c r="K49" s="9">
        <v>130</v>
      </c>
      <c r="L49" s="6">
        <f t="shared" si="5"/>
        <v>126</v>
      </c>
      <c r="M49" s="6">
        <f t="shared" si="6"/>
        <v>27</v>
      </c>
      <c r="N49" s="6">
        <f t="shared" si="7"/>
        <v>27</v>
      </c>
    </row>
    <row r="50" spans="2:14" ht="19.899999999999999" customHeight="1">
      <c r="B50" s="4">
        <v>4</v>
      </c>
      <c r="C50" s="1" t="s">
        <v>5</v>
      </c>
      <c r="D50" s="2">
        <v>45891.823611111111</v>
      </c>
      <c r="E50" s="9">
        <v>201</v>
      </c>
      <c r="F50" s="5">
        <f t="shared" si="0"/>
        <v>4</v>
      </c>
      <c r="G50" s="6">
        <f t="shared" si="1"/>
        <v>33</v>
      </c>
      <c r="H50" s="3">
        <f t="shared" si="2"/>
        <v>45891</v>
      </c>
      <c r="I50" s="8">
        <f t="shared" si="3"/>
        <v>0.82361111111094942</v>
      </c>
      <c r="J50" s="7">
        <f t="shared" si="4"/>
        <v>45892</v>
      </c>
      <c r="K50" s="9">
        <v>145</v>
      </c>
      <c r="L50" s="6">
        <f t="shared" si="5"/>
        <v>126</v>
      </c>
      <c r="M50" s="6">
        <f t="shared" si="6"/>
        <v>23</v>
      </c>
      <c r="N50" s="6">
        <f t="shared" si="7"/>
        <v>56</v>
      </c>
    </row>
    <row r="51" spans="2:14" ht="19.899999999999999" customHeight="1">
      <c r="B51" s="4">
        <v>5</v>
      </c>
      <c r="C51" s="1" t="s">
        <v>6</v>
      </c>
      <c r="D51" s="2">
        <v>45725.899305555555</v>
      </c>
      <c r="E51" s="9">
        <v>225</v>
      </c>
      <c r="F51" s="5">
        <f t="shared" si="0"/>
        <v>5</v>
      </c>
      <c r="G51" s="6">
        <f t="shared" si="1"/>
        <v>15</v>
      </c>
      <c r="H51" s="3">
        <f t="shared" si="2"/>
        <v>45725</v>
      </c>
      <c r="I51" s="8">
        <f t="shared" si="3"/>
        <v>0.89930555555474712</v>
      </c>
      <c r="J51" s="7">
        <f t="shared" si="4"/>
        <v>45731</v>
      </c>
      <c r="K51" s="9">
        <v>220</v>
      </c>
      <c r="L51" s="6">
        <f t="shared" si="5"/>
        <v>210</v>
      </c>
      <c r="M51" s="6">
        <f t="shared" si="6"/>
        <v>5</v>
      </c>
      <c r="N51" s="6">
        <f t="shared" si="7"/>
        <v>5</v>
      </c>
    </row>
    <row r="52" spans="2:14" ht="19.899999999999999" customHeight="1">
      <c r="B52" s="4">
        <v>6</v>
      </c>
      <c r="C52" s="1" t="s">
        <v>7</v>
      </c>
      <c r="D52" s="2">
        <v>45685.772222222222</v>
      </c>
      <c r="E52" s="9">
        <v>219</v>
      </c>
      <c r="F52" s="5">
        <f t="shared" si="0"/>
        <v>5</v>
      </c>
      <c r="G52" s="6">
        <f t="shared" si="1"/>
        <v>9</v>
      </c>
      <c r="H52" s="3">
        <f t="shared" si="2"/>
        <v>45685</v>
      </c>
      <c r="I52" s="8">
        <f t="shared" si="3"/>
        <v>0.77222222222189885</v>
      </c>
      <c r="J52" s="7">
        <f t="shared" si="4"/>
        <v>45689</v>
      </c>
      <c r="K52" s="9">
        <v>119</v>
      </c>
      <c r="L52" s="6">
        <f t="shared" si="5"/>
        <v>84</v>
      </c>
      <c r="M52" s="6">
        <f t="shared" si="6"/>
        <v>7</v>
      </c>
      <c r="N52" s="6">
        <f t="shared" si="7"/>
        <v>100</v>
      </c>
    </row>
    <row r="53" spans="2:14" ht="19.899999999999999" customHeight="1">
      <c r="B53" s="4">
        <v>7</v>
      </c>
      <c r="C53" s="1" t="s">
        <v>8</v>
      </c>
      <c r="D53" s="2">
        <v>45828.167361111111</v>
      </c>
      <c r="E53" s="9">
        <v>57</v>
      </c>
      <c r="F53" s="5">
        <f t="shared" si="0"/>
        <v>1</v>
      </c>
      <c r="G53" s="6">
        <f t="shared" si="1"/>
        <v>15</v>
      </c>
      <c r="H53" s="3">
        <f t="shared" si="2"/>
        <v>45828</v>
      </c>
      <c r="I53" s="8">
        <f t="shared" si="3"/>
        <v>0.16736111111094942</v>
      </c>
      <c r="J53" s="7">
        <f t="shared" si="4"/>
        <v>45829</v>
      </c>
      <c r="K53" s="9">
        <v>32</v>
      </c>
      <c r="L53" s="6">
        <f t="shared" si="5"/>
        <v>0</v>
      </c>
      <c r="M53" s="6">
        <f t="shared" si="6"/>
        <v>10</v>
      </c>
      <c r="N53" s="6">
        <f t="shared" si="7"/>
        <v>25</v>
      </c>
    </row>
    <row r="54" spans="2:14" ht="19.899999999999999" customHeight="1">
      <c r="B54" s="4">
        <v>8</v>
      </c>
      <c r="C54" s="1" t="s">
        <v>9</v>
      </c>
      <c r="D54" s="2">
        <v>45702.81527777778</v>
      </c>
      <c r="E54" s="9">
        <v>120</v>
      </c>
      <c r="F54" s="5">
        <f t="shared" si="0"/>
        <v>2</v>
      </c>
      <c r="G54" s="6">
        <f t="shared" si="1"/>
        <v>36</v>
      </c>
      <c r="H54" s="3">
        <f t="shared" si="2"/>
        <v>45702</v>
      </c>
      <c r="I54" s="8">
        <f t="shared" si="3"/>
        <v>0.81527777777955635</v>
      </c>
      <c r="J54" s="7">
        <f t="shared" si="4"/>
        <v>45703</v>
      </c>
      <c r="K54" s="9">
        <v>87</v>
      </c>
      <c r="L54" s="6">
        <f t="shared" si="5"/>
        <v>84</v>
      </c>
      <c r="M54" s="6">
        <f t="shared" si="6"/>
        <v>33</v>
      </c>
      <c r="N54" s="6">
        <f t="shared" si="7"/>
        <v>33</v>
      </c>
    </row>
    <row r="55" spans="2:14" ht="19.899999999999999" customHeight="1">
      <c r="B55" s="4">
        <v>9</v>
      </c>
      <c r="C55" s="1" t="s">
        <v>10</v>
      </c>
      <c r="D55" s="2">
        <v>45661.064583333333</v>
      </c>
      <c r="E55" s="9">
        <v>32</v>
      </c>
      <c r="F55" s="5">
        <f t="shared" si="0"/>
        <v>0</v>
      </c>
      <c r="G55" s="6">
        <f t="shared" si="1"/>
        <v>32</v>
      </c>
      <c r="H55" s="3">
        <f t="shared" si="2"/>
        <v>45661</v>
      </c>
      <c r="I55" s="8">
        <f t="shared" si="3"/>
        <v>6.4583333332848269E-2</v>
      </c>
      <c r="J55" s="7">
        <f t="shared" si="4"/>
        <v>45668</v>
      </c>
      <c r="K55" s="9">
        <v>32</v>
      </c>
      <c r="L55" s="6">
        <f t="shared" si="5"/>
        <v>0</v>
      </c>
      <c r="M55" s="6">
        <f t="shared" si="6"/>
        <v>0</v>
      </c>
      <c r="N55" s="6">
        <f t="shared" si="7"/>
        <v>0</v>
      </c>
    </row>
    <row r="56" spans="2:14" ht="19.899999999999999" customHeight="1">
      <c r="B56" s="4">
        <v>10</v>
      </c>
      <c r="C56" s="1" t="s">
        <v>11</v>
      </c>
      <c r="D56" s="2">
        <v>45872.338194444441</v>
      </c>
      <c r="E56" s="9">
        <v>159</v>
      </c>
      <c r="F56" s="5">
        <f t="shared" si="0"/>
        <v>3</v>
      </c>
      <c r="G56" s="6">
        <f t="shared" si="1"/>
        <v>33</v>
      </c>
      <c r="H56" s="3">
        <f t="shared" si="2"/>
        <v>45872</v>
      </c>
      <c r="I56" s="8">
        <f t="shared" si="3"/>
        <v>0.33819444444088731</v>
      </c>
      <c r="J56" s="7">
        <f t="shared" si="4"/>
        <v>45878</v>
      </c>
      <c r="K56" s="9">
        <v>41</v>
      </c>
      <c r="L56" s="6">
        <f t="shared" si="5"/>
        <v>0</v>
      </c>
      <c r="M56" s="6">
        <f t="shared" si="6"/>
        <v>1</v>
      </c>
      <c r="N56" s="6">
        <f t="shared" si="7"/>
        <v>118</v>
      </c>
    </row>
    <row r="57" spans="2:14" ht="19.899999999999999" customHeight="1">
      <c r="B57" s="4">
        <v>11</v>
      </c>
      <c r="C57" s="1" t="s">
        <v>12</v>
      </c>
      <c r="D57" s="2">
        <v>45929.386111111111</v>
      </c>
      <c r="E57" s="9">
        <v>187</v>
      </c>
      <c r="F57" s="5">
        <f t="shared" si="0"/>
        <v>4</v>
      </c>
      <c r="G57" s="6">
        <f t="shared" si="1"/>
        <v>19</v>
      </c>
      <c r="H57" s="3">
        <f t="shared" si="2"/>
        <v>45929</v>
      </c>
      <c r="I57" s="8">
        <f t="shared" si="3"/>
        <v>0.38611111111094942</v>
      </c>
      <c r="J57" s="7">
        <f t="shared" si="4"/>
        <v>45934</v>
      </c>
      <c r="K57" s="9">
        <v>150</v>
      </c>
      <c r="L57" s="6">
        <f t="shared" si="5"/>
        <v>126</v>
      </c>
      <c r="M57" s="6">
        <f t="shared" si="6"/>
        <v>18</v>
      </c>
      <c r="N57" s="6">
        <f t="shared" si="7"/>
        <v>37</v>
      </c>
    </row>
    <row r="58" spans="2:14" ht="19.899999999999999" customHeight="1">
      <c r="B58" s="4">
        <v>12</v>
      </c>
      <c r="C58" s="1" t="s">
        <v>13</v>
      </c>
      <c r="D58" s="2">
        <v>45662.739583333336</v>
      </c>
      <c r="E58" s="9">
        <v>66</v>
      </c>
      <c r="F58" s="5">
        <f t="shared" si="0"/>
        <v>1</v>
      </c>
      <c r="G58" s="6">
        <f t="shared" si="1"/>
        <v>24</v>
      </c>
      <c r="H58" s="3">
        <f t="shared" si="2"/>
        <v>45662</v>
      </c>
      <c r="I58" s="8">
        <f t="shared" si="3"/>
        <v>0.73958333333575865</v>
      </c>
      <c r="J58" s="7">
        <f t="shared" si="4"/>
        <v>45668</v>
      </c>
      <c r="K58" s="9">
        <v>45</v>
      </c>
      <c r="L58" s="6">
        <f t="shared" si="5"/>
        <v>42</v>
      </c>
      <c r="M58" s="6">
        <f t="shared" si="6"/>
        <v>21</v>
      </c>
      <c r="N58" s="6">
        <f t="shared" si="7"/>
        <v>21</v>
      </c>
    </row>
    <row r="59" spans="2:14" ht="19.899999999999999" customHeight="1">
      <c r="B59" s="4">
        <v>13</v>
      </c>
      <c r="C59" s="1" t="s">
        <v>14</v>
      </c>
      <c r="D59" s="2">
        <v>45822.675694444442</v>
      </c>
      <c r="E59" s="9">
        <v>135</v>
      </c>
      <c r="F59" s="5">
        <f t="shared" si="0"/>
        <v>3</v>
      </c>
      <c r="G59" s="6">
        <f t="shared" si="1"/>
        <v>9</v>
      </c>
      <c r="H59" s="3">
        <f t="shared" si="2"/>
        <v>45822</v>
      </c>
      <c r="I59" s="8">
        <f t="shared" si="3"/>
        <v>0.6756944444423425</v>
      </c>
      <c r="J59" s="7">
        <f t="shared" si="4"/>
        <v>45829</v>
      </c>
      <c r="K59" s="9">
        <v>125</v>
      </c>
      <c r="L59" s="6">
        <f t="shared" si="5"/>
        <v>84</v>
      </c>
      <c r="M59" s="6">
        <f t="shared" si="6"/>
        <v>1</v>
      </c>
      <c r="N59" s="6">
        <f t="shared" si="7"/>
        <v>10</v>
      </c>
    </row>
    <row r="60" spans="2:14" ht="19.899999999999999" customHeight="1">
      <c r="B60" s="4">
        <v>14</v>
      </c>
      <c r="C60" s="1" t="s">
        <v>15</v>
      </c>
      <c r="D60" s="2">
        <v>45663.743055555555</v>
      </c>
      <c r="E60" s="9">
        <v>112</v>
      </c>
      <c r="F60" s="5">
        <f t="shared" si="0"/>
        <v>2</v>
      </c>
      <c r="G60" s="6">
        <f t="shared" si="1"/>
        <v>28</v>
      </c>
      <c r="H60" s="3">
        <f t="shared" si="2"/>
        <v>45663</v>
      </c>
      <c r="I60" s="8">
        <f t="shared" si="3"/>
        <v>0.74305555555474712</v>
      </c>
      <c r="J60" s="7">
        <f t="shared" si="4"/>
        <v>45668</v>
      </c>
      <c r="K60" s="9">
        <v>99</v>
      </c>
      <c r="L60" s="6">
        <f t="shared" si="5"/>
        <v>84</v>
      </c>
      <c r="M60" s="6">
        <f t="shared" si="6"/>
        <v>13</v>
      </c>
      <c r="N60" s="6">
        <f t="shared" si="7"/>
        <v>13</v>
      </c>
    </row>
    <row r="61" spans="2:14" ht="19.899999999999999" customHeight="1" thickBot="1">
      <c r="B61" s="10">
        <v>15</v>
      </c>
      <c r="C61" s="11" t="s">
        <v>16</v>
      </c>
      <c r="D61" s="12">
        <v>45955.993750000001</v>
      </c>
      <c r="E61" s="13">
        <v>177</v>
      </c>
      <c r="F61" s="5">
        <f t="shared" si="0"/>
        <v>4</v>
      </c>
      <c r="G61" s="6">
        <f t="shared" si="1"/>
        <v>9</v>
      </c>
      <c r="H61" s="3">
        <f t="shared" si="2"/>
        <v>45955</v>
      </c>
      <c r="I61" s="8">
        <f t="shared" si="3"/>
        <v>0.99375000000145519</v>
      </c>
      <c r="J61" s="7">
        <f t="shared" si="4"/>
        <v>45962</v>
      </c>
      <c r="K61" s="13">
        <v>169</v>
      </c>
      <c r="L61" s="6">
        <f t="shared" si="5"/>
        <v>168</v>
      </c>
      <c r="M61" s="6">
        <f t="shared" si="6"/>
        <v>8</v>
      </c>
      <c r="N61" s="6">
        <f t="shared" si="7"/>
        <v>8</v>
      </c>
    </row>
    <row r="62" spans="2:14" ht="15.75" thickTop="1"/>
    <row r="63" spans="2:14">
      <c r="B63" s="16"/>
      <c r="C63" s="16"/>
    </row>
  </sheetData>
  <mergeCells count="4">
    <mergeCell ref="A20:B20"/>
    <mergeCell ref="E20:F20"/>
    <mergeCell ref="A22:N22"/>
    <mergeCell ref="A42:N42"/>
  </mergeCells>
  <conditionalFormatting sqref="B47:N61">
    <cfRule type="expression" dxfId="0" priority="1">
      <formula>$B47=15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FC3B7-40BB-4E7B-ABE5-16EB875B4DEB}">
  <sheetPr codeName="Sheet3"/>
  <dimension ref="B1:P32"/>
  <sheetViews>
    <sheetView showGridLines="0" workbookViewId="0">
      <selection activeCell="N19" sqref="N19"/>
    </sheetView>
  </sheetViews>
  <sheetFormatPr defaultColWidth="8.85546875" defaultRowHeight="15"/>
  <cols>
    <col min="1" max="1" width="5.7109375" style="15" customWidth="1"/>
    <col min="2" max="2" width="10" style="15" customWidth="1"/>
    <col min="3" max="6" width="8.85546875" style="15"/>
    <col min="7" max="8" width="4.28515625" style="15" customWidth="1"/>
    <col min="9" max="9" width="8.85546875" style="15"/>
    <col min="10" max="10" width="10.42578125" style="15" customWidth="1"/>
    <col min="11" max="11" width="9.28515625" style="15" customWidth="1"/>
    <col min="12" max="13" width="8.85546875" style="15"/>
    <col min="14" max="14" width="26.42578125" style="15" customWidth="1"/>
    <col min="15" max="16384" width="8.85546875" style="15"/>
  </cols>
  <sheetData>
    <row r="1" spans="7:16">
      <c r="H1" s="14"/>
      <c r="I1" s="14"/>
      <c r="J1" s="14"/>
      <c r="K1" s="14"/>
      <c r="L1" s="14"/>
      <c r="M1" s="14"/>
      <c r="N1" s="14"/>
      <c r="O1" s="14"/>
      <c r="P1" s="14"/>
    </row>
    <row r="2" spans="7:16">
      <c r="H2" s="14"/>
      <c r="I2" s="14"/>
      <c r="J2" s="14"/>
      <c r="K2" s="14"/>
      <c r="L2" s="14"/>
      <c r="M2" s="14"/>
      <c r="N2" s="14"/>
      <c r="O2" s="14"/>
      <c r="P2" s="14"/>
    </row>
    <row r="3" spans="7:16">
      <c r="G3" s="39"/>
      <c r="H3" s="40"/>
      <c r="I3" s="14"/>
      <c r="J3" s="14"/>
      <c r="K3" s="14"/>
      <c r="L3" s="14"/>
      <c r="M3" s="14"/>
      <c r="N3" s="14"/>
      <c r="O3" s="14"/>
      <c r="P3" s="14"/>
    </row>
    <row r="4" spans="7:16">
      <c r="G4" s="39"/>
      <c r="H4" s="40"/>
      <c r="I4" s="14"/>
      <c r="J4" s="14"/>
      <c r="K4" s="14"/>
      <c r="L4" s="14"/>
      <c r="M4" s="14"/>
      <c r="N4" s="14"/>
      <c r="O4" s="14"/>
      <c r="P4" s="14"/>
    </row>
    <row r="5" spans="7:16">
      <c r="G5" s="39"/>
      <c r="H5" s="40"/>
      <c r="I5" s="14"/>
      <c r="J5" s="14"/>
      <c r="K5" s="14"/>
      <c r="L5" s="14"/>
      <c r="M5" s="14"/>
      <c r="N5" s="14"/>
      <c r="O5" s="14"/>
      <c r="P5" s="14"/>
    </row>
    <row r="6" spans="7:16">
      <c r="G6" s="39"/>
      <c r="H6" s="40"/>
      <c r="I6" s="14" t="s">
        <v>39</v>
      </c>
      <c r="J6" s="14"/>
      <c r="K6" s="14"/>
      <c r="L6" s="14"/>
      <c r="M6" s="14"/>
      <c r="N6" s="14"/>
      <c r="O6" s="14"/>
      <c r="P6" s="14"/>
    </row>
    <row r="7" spans="7:16">
      <c r="G7" s="39"/>
      <c r="H7" s="40"/>
      <c r="I7" s="14" t="s">
        <v>40</v>
      </c>
      <c r="J7" s="14"/>
      <c r="K7" s="14"/>
      <c r="L7" s="14"/>
      <c r="M7" s="14"/>
      <c r="N7" s="14"/>
      <c r="O7" s="14"/>
      <c r="P7" s="14"/>
    </row>
    <row r="8" spans="7:16">
      <c r="G8" s="39"/>
      <c r="H8" s="40"/>
      <c r="I8" s="14"/>
      <c r="J8" s="14"/>
      <c r="K8" s="14"/>
      <c r="L8" s="14"/>
      <c r="M8" s="14"/>
      <c r="N8" s="14"/>
      <c r="O8" s="14"/>
      <c r="P8" s="14"/>
    </row>
    <row r="9" spans="7:16">
      <c r="G9" s="39"/>
      <c r="H9" s="40"/>
      <c r="I9" s="14"/>
      <c r="J9" s="14"/>
      <c r="K9" s="14"/>
      <c r="L9" s="14"/>
      <c r="M9" s="14"/>
      <c r="N9" s="14"/>
      <c r="O9" s="14"/>
      <c r="P9" s="14"/>
    </row>
    <row r="10" spans="7:16">
      <c r="G10" s="39"/>
      <c r="H10" s="40"/>
      <c r="I10" s="14" t="s">
        <v>41</v>
      </c>
      <c r="J10" s="14"/>
      <c r="K10" s="14"/>
      <c r="L10" s="14"/>
      <c r="M10" s="14"/>
      <c r="N10" s="14"/>
      <c r="O10" s="14"/>
      <c r="P10" s="14"/>
    </row>
    <row r="11" spans="7:16">
      <c r="G11" s="39"/>
      <c r="H11" s="40"/>
      <c r="I11" s="14"/>
      <c r="J11" s="14"/>
      <c r="K11" s="14"/>
      <c r="L11" s="14"/>
      <c r="M11" s="14"/>
      <c r="N11" s="14"/>
      <c r="O11" s="14"/>
      <c r="P11" s="14"/>
    </row>
    <row r="12" spans="7:16">
      <c r="G12" s="39"/>
      <c r="H12" s="40"/>
      <c r="I12" s="41"/>
      <c r="J12" s="67" t="s">
        <v>42</v>
      </c>
      <c r="K12" s="67"/>
      <c r="L12" s="68" t="s">
        <v>43</v>
      </c>
      <c r="M12" s="68"/>
      <c r="N12" s="14"/>
      <c r="O12" s="14"/>
      <c r="P12" s="14"/>
    </row>
    <row r="13" spans="7:16">
      <c r="G13" s="39"/>
      <c r="H13" s="40"/>
      <c r="I13" s="41"/>
      <c r="J13" s="67" t="s">
        <v>44</v>
      </c>
      <c r="K13" s="67"/>
      <c r="L13" s="42" t="s">
        <v>45</v>
      </c>
      <c r="M13" s="42"/>
      <c r="N13" s="14"/>
      <c r="O13" s="14"/>
      <c r="P13" s="14"/>
    </row>
    <row r="14" spans="7:16">
      <c r="G14" s="39"/>
      <c r="H14" s="40"/>
      <c r="I14" s="41"/>
      <c r="J14" s="67" t="s">
        <v>46</v>
      </c>
      <c r="K14" s="67"/>
      <c r="L14" s="42" t="s">
        <v>47</v>
      </c>
      <c r="M14" s="43"/>
      <c r="N14" s="14"/>
      <c r="O14" s="14"/>
      <c r="P14" s="14"/>
    </row>
    <row r="15" spans="7:16">
      <c r="G15" s="39"/>
      <c r="H15" s="40"/>
      <c r="I15" s="41"/>
      <c r="J15" s="67" t="s">
        <v>48</v>
      </c>
      <c r="K15" s="67"/>
      <c r="L15" s="42" t="s">
        <v>49</v>
      </c>
      <c r="M15" s="43"/>
      <c r="N15" s="14"/>
      <c r="O15" s="14"/>
      <c r="P15" s="14"/>
    </row>
    <row r="16" spans="7:16">
      <c r="G16" s="39"/>
      <c r="H16" s="40"/>
      <c r="I16" s="41"/>
      <c r="J16" s="67" t="s">
        <v>50</v>
      </c>
      <c r="K16" s="67"/>
      <c r="L16" s="42" t="s">
        <v>51</v>
      </c>
      <c r="M16" s="43"/>
      <c r="N16" s="14"/>
      <c r="O16" s="14"/>
      <c r="P16" s="14"/>
    </row>
    <row r="17" spans="2:16" ht="54.6" customHeight="1">
      <c r="B17" s="61" t="s">
        <v>89</v>
      </c>
      <c r="C17" s="61"/>
      <c r="D17" s="61"/>
      <c r="E17" s="61"/>
      <c r="F17" s="62"/>
      <c r="G17" s="44"/>
      <c r="H17" s="40"/>
      <c r="I17" s="14" t="s">
        <v>52</v>
      </c>
      <c r="J17" s="14"/>
      <c r="K17" s="14"/>
      <c r="L17" s="14"/>
      <c r="M17" s="14"/>
      <c r="N17" s="14"/>
      <c r="O17" s="14"/>
      <c r="P17" s="14"/>
    </row>
    <row r="18" spans="2:16" ht="54.6" customHeight="1">
      <c r="B18" s="63" t="s">
        <v>90</v>
      </c>
      <c r="C18" s="63"/>
      <c r="D18" s="63"/>
      <c r="E18" s="63"/>
      <c r="F18" s="64"/>
      <c r="G18" s="45"/>
      <c r="H18" s="40"/>
      <c r="I18" s="46" t="s">
        <v>53</v>
      </c>
      <c r="J18" s="14"/>
      <c r="K18" s="14"/>
      <c r="L18" s="14"/>
      <c r="M18" s="14"/>
      <c r="N18" s="14"/>
      <c r="O18" s="14"/>
      <c r="P18" s="14"/>
    </row>
    <row r="19" spans="2:16">
      <c r="B19" s="47" t="s">
        <v>91</v>
      </c>
      <c r="H19" s="14"/>
      <c r="J19" s="14"/>
      <c r="K19" s="14"/>
      <c r="L19" s="14"/>
      <c r="M19" s="14"/>
      <c r="N19" s="14"/>
      <c r="O19" s="14"/>
      <c r="P19" s="14"/>
    </row>
    <row r="20" spans="2:16">
      <c r="B20" s="48" t="s">
        <v>92</v>
      </c>
      <c r="C20" s="49" t="s">
        <v>93</v>
      </c>
      <c r="H20" s="14"/>
      <c r="J20" s="14"/>
      <c r="K20" s="14"/>
      <c r="L20" s="14"/>
      <c r="M20" s="14"/>
      <c r="N20" s="14"/>
      <c r="O20" s="14"/>
      <c r="P20" s="14"/>
    </row>
    <row r="21" spans="2:16">
      <c r="B21" s="50" t="s">
        <v>94</v>
      </c>
      <c r="C21" s="49" t="s">
        <v>95</v>
      </c>
      <c r="H21" s="14"/>
      <c r="I21" s="14"/>
      <c r="J21" s="14"/>
      <c r="K21" s="14"/>
      <c r="L21" s="14"/>
      <c r="M21" s="14"/>
      <c r="N21" s="14"/>
      <c r="O21" s="14"/>
      <c r="P21" s="14"/>
    </row>
    <row r="22" spans="2:16">
      <c r="H22" s="14"/>
      <c r="I22" s="14"/>
      <c r="J22" s="14"/>
      <c r="K22" s="14"/>
      <c r="L22" s="14"/>
      <c r="M22" s="14"/>
      <c r="N22" s="14"/>
      <c r="O22" s="14"/>
      <c r="P22" s="14"/>
    </row>
    <row r="23" spans="2:16">
      <c r="N23" s="14"/>
      <c r="O23" s="14"/>
      <c r="P23" s="14"/>
    </row>
    <row r="24" spans="2:16">
      <c r="N24" s="14"/>
      <c r="O24" s="14"/>
      <c r="P24" s="14"/>
    </row>
    <row r="25" spans="2:16">
      <c r="B25" s="65"/>
      <c r="C25" s="66"/>
      <c r="D25" s="66"/>
      <c r="E25" s="66"/>
      <c r="F25" s="66"/>
      <c r="G25" s="66"/>
      <c r="H25" s="66"/>
      <c r="I25" s="66"/>
      <c r="N25" s="14"/>
      <c r="O25" s="14"/>
      <c r="P25" s="14"/>
    </row>
    <row r="26" spans="2:16">
      <c r="B26" s="51"/>
      <c r="C26" s="52"/>
      <c r="D26" s="51"/>
      <c r="E26" s="51"/>
      <c r="F26" s="51"/>
      <c r="G26" s="51"/>
      <c r="H26" s="51"/>
      <c r="I26" s="51"/>
    </row>
    <row r="27" spans="2:16">
      <c r="B27" s="51"/>
      <c r="C27" s="51"/>
      <c r="D27" s="53" t="s">
        <v>96</v>
      </c>
      <c r="E27" s="51"/>
      <c r="F27" s="51"/>
      <c r="G27" s="51"/>
      <c r="H27" s="51"/>
      <c r="I27" s="51"/>
    </row>
    <row r="28" spans="2:16">
      <c r="B28" s="51"/>
      <c r="C28" s="51"/>
      <c r="D28" s="54" t="s">
        <v>97</v>
      </c>
      <c r="E28" s="51"/>
      <c r="F28" s="51"/>
      <c r="G28" s="51"/>
      <c r="H28" s="51"/>
      <c r="I28" s="51"/>
    </row>
    <row r="29" spans="2:16">
      <c r="B29" s="51"/>
      <c r="C29" s="51"/>
      <c r="D29" s="55" t="s">
        <v>98</v>
      </c>
      <c r="E29" s="51"/>
      <c r="F29" s="51"/>
      <c r="G29" s="51"/>
      <c r="H29" s="51"/>
      <c r="I29" s="51"/>
    </row>
    <row r="30" spans="2:16">
      <c r="B30" s="51"/>
      <c r="C30" s="51"/>
      <c r="D30" s="51"/>
      <c r="E30" s="51"/>
      <c r="F30" s="51"/>
      <c r="G30" s="51"/>
      <c r="H30" s="51"/>
      <c r="I30" s="51"/>
    </row>
    <row r="31" spans="2:16">
      <c r="B31" s="51"/>
      <c r="C31" s="51"/>
      <c r="D31" s="51"/>
      <c r="E31" s="51"/>
      <c r="F31" s="51"/>
      <c r="G31" s="51"/>
      <c r="H31" s="51"/>
      <c r="I31" s="51"/>
    </row>
    <row r="32" spans="2:16">
      <c r="B32" s="65"/>
      <c r="C32" s="66"/>
      <c r="D32" s="66"/>
      <c r="E32" s="66"/>
      <c r="F32" s="66"/>
      <c r="G32" s="66"/>
      <c r="H32" s="66"/>
      <c r="I32" s="66"/>
    </row>
  </sheetData>
  <mergeCells count="10">
    <mergeCell ref="L12:M12"/>
    <mergeCell ref="J13:K13"/>
    <mergeCell ref="J14:K14"/>
    <mergeCell ref="J15:K15"/>
    <mergeCell ref="J16:K16"/>
    <mergeCell ref="B17:F17"/>
    <mergeCell ref="B18:F18"/>
    <mergeCell ref="B25:I25"/>
    <mergeCell ref="B32:I32"/>
    <mergeCell ref="J12:K12"/>
  </mergeCells>
  <hyperlinks>
    <hyperlink ref="I18" r:id="rId1" xr:uid="{7D62903D-9F6F-4134-B28E-FB77ADF91D12}"/>
    <hyperlink ref="C21" r:id="rId2" xr:uid="{95E3A0B1-5461-4B6F-B47A-B6669BA5223D}"/>
    <hyperlink ref="C20" r:id="rId3" xr:uid="{92BB59B7-D361-4F1B-BFE2-75F669E18966}"/>
    <hyperlink ref="D29" r:id="rId4" xr:uid="{4FC51800-A39C-4F06-AA2E-14AE1DDD75BB}"/>
  </hyperlinks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5711-16D0-4582-8474-73B73310CC30}">
  <sheetPr codeName="Sheet2"/>
  <dimension ref="A1:W66"/>
  <sheetViews>
    <sheetView topLeftCell="A34" workbookViewId="0">
      <selection activeCell="P21" sqref="P21"/>
    </sheetView>
  </sheetViews>
  <sheetFormatPr defaultRowHeight="15"/>
  <cols>
    <col min="2" max="2" width="12.85546875" customWidth="1"/>
    <col min="4" max="4" width="10" customWidth="1"/>
    <col min="5" max="5" width="10.5703125" customWidth="1"/>
    <col min="6" max="6" width="13" customWidth="1"/>
    <col min="16" max="16" width="19.42578125" customWidth="1"/>
  </cols>
  <sheetData>
    <row r="1" spans="1:23">
      <c r="A1" t="s">
        <v>21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P1">
        <v>1</v>
      </c>
      <c r="Q1">
        <v>2</v>
      </c>
      <c r="R1">
        <v>3</v>
      </c>
      <c r="S1">
        <v>4</v>
      </c>
      <c r="T1">
        <v>5</v>
      </c>
      <c r="U1">
        <v>6</v>
      </c>
      <c r="V1">
        <v>7</v>
      </c>
      <c r="W1">
        <v>8</v>
      </c>
    </row>
    <row r="2" spans="1:23">
      <c r="A2" t="s">
        <v>86</v>
      </c>
      <c r="B2">
        <v>1</v>
      </c>
      <c r="C2">
        <f>'XL-Test'!F47</f>
        <v>1</v>
      </c>
      <c r="D2">
        <f>'XL-Test'!G47</f>
        <v>10</v>
      </c>
      <c r="E2">
        <f>'XL-Test'!H47</f>
        <v>45673</v>
      </c>
      <c r="F2">
        <f>'XL-Test'!I47</f>
        <v>0.19722222222480923</v>
      </c>
      <c r="G2">
        <f>'XL-Test'!J47</f>
        <v>45675</v>
      </c>
      <c r="H2">
        <f>'XL-Test'!L47</f>
        <v>42</v>
      </c>
      <c r="I2">
        <f>'XL-Test'!M47</f>
        <v>2</v>
      </c>
      <c r="J2">
        <f>'XL-Test'!N47</f>
        <v>2</v>
      </c>
      <c r="O2">
        <v>1</v>
      </c>
      <c r="P2" t="str">
        <f ca="1">_xlfn.FORMULATEXT('XL-Test'!F47)</f>
        <v>=QUOTIENT(E47;42)</v>
      </c>
      <c r="Q2" t="str">
        <f ca="1">_xlfn.FORMULATEXT('XL-Test'!G47)</f>
        <v>=MOD(E47;42)</v>
      </c>
      <c r="R2" t="str">
        <f ca="1">_xlfn.FORMULATEXT('XL-Test'!H47)</f>
        <v>=INT(D47)</v>
      </c>
      <c r="S2" t="str">
        <f ca="1">_xlfn.FORMULATEXT('XL-Test'!I47)</f>
        <v>=MOD(D47;1)</v>
      </c>
      <c r="T2" t="str">
        <f ca="1">_xlfn.FORMULATEXT('XL-Test'!J47)</f>
        <v>=H47+MOD(13-H47;7)+1</v>
      </c>
      <c r="U2" t="str">
        <f ca="1">_xlfn.FORMULATEXT('XL-Test'!L47)</f>
        <v>=FLOOR(K47;42)</v>
      </c>
      <c r="V2" t="str">
        <f ca="1">_xlfn.FORMULATEXT('XL-Test'!M47)</f>
        <v>=MIN(CEILING(K47;42)-K47;E47-K47)</v>
      </c>
      <c r="W2" t="str">
        <f ca="1">_xlfn.FORMULATEXT('XL-Test'!N47)</f>
        <v>=E47-K47</v>
      </c>
    </row>
    <row r="3" spans="1:23">
      <c r="B3">
        <v>2</v>
      </c>
      <c r="C3">
        <f>'XL-Test'!F48</f>
        <v>5</v>
      </c>
      <c r="D3">
        <f>'XL-Test'!G48</f>
        <v>24</v>
      </c>
      <c r="E3">
        <f>'XL-Test'!H48</f>
        <v>45852</v>
      </c>
      <c r="F3">
        <f>'XL-Test'!I48</f>
        <v>0.63888888889050577</v>
      </c>
      <c r="G3">
        <f>'XL-Test'!J48</f>
        <v>45857</v>
      </c>
      <c r="H3">
        <f>'XL-Test'!L48</f>
        <v>84</v>
      </c>
      <c r="I3">
        <f>'XL-Test'!M48</f>
        <v>33</v>
      </c>
      <c r="J3">
        <f>'XL-Test'!N48</f>
        <v>141</v>
      </c>
      <c r="O3">
        <v>2</v>
      </c>
      <c r="P3" t="str">
        <f ca="1">Q2</f>
        <v>=MOD(E47;42)</v>
      </c>
    </row>
    <row r="4" spans="1:23">
      <c r="B4">
        <v>3</v>
      </c>
      <c r="C4">
        <f>'XL-Test'!F49</f>
        <v>3</v>
      </c>
      <c r="D4">
        <f>'XL-Test'!G49</f>
        <v>31</v>
      </c>
      <c r="E4">
        <f>'XL-Test'!H49</f>
        <v>45951</v>
      </c>
      <c r="F4">
        <f>'XL-Test'!I49</f>
        <v>0.43888888888614019</v>
      </c>
      <c r="G4">
        <f>'XL-Test'!J49</f>
        <v>45955</v>
      </c>
      <c r="H4">
        <f>'XL-Test'!L49</f>
        <v>126</v>
      </c>
      <c r="I4">
        <f>'XL-Test'!M49</f>
        <v>27</v>
      </c>
      <c r="J4">
        <f>'XL-Test'!N49</f>
        <v>27</v>
      </c>
      <c r="O4">
        <v>3</v>
      </c>
      <c r="P4" t="str">
        <f ca="1">R2</f>
        <v>=INT(D47)</v>
      </c>
    </row>
    <row r="5" spans="1:23">
      <c r="B5">
        <v>4</v>
      </c>
      <c r="C5">
        <f>'XL-Test'!F50</f>
        <v>4</v>
      </c>
      <c r="D5">
        <f>'XL-Test'!G50</f>
        <v>33</v>
      </c>
      <c r="E5">
        <f>'XL-Test'!H50</f>
        <v>45891</v>
      </c>
      <c r="F5">
        <f>'XL-Test'!I50</f>
        <v>0.82361111111094942</v>
      </c>
      <c r="G5">
        <f>'XL-Test'!J50</f>
        <v>45892</v>
      </c>
      <c r="H5">
        <f>'XL-Test'!L50</f>
        <v>126</v>
      </c>
      <c r="I5">
        <f>'XL-Test'!M50</f>
        <v>23</v>
      </c>
      <c r="J5">
        <f>'XL-Test'!N50</f>
        <v>56</v>
      </c>
      <c r="O5">
        <v>4</v>
      </c>
      <c r="P5" t="str">
        <f ca="1">S2</f>
        <v>=MOD(D47;1)</v>
      </c>
    </row>
    <row r="6" spans="1:23">
      <c r="B6">
        <v>5</v>
      </c>
      <c r="C6">
        <f>'XL-Test'!F51</f>
        <v>5</v>
      </c>
      <c r="D6">
        <f>'XL-Test'!G51</f>
        <v>15</v>
      </c>
      <c r="E6">
        <f>'XL-Test'!H51</f>
        <v>45725</v>
      </c>
      <c r="F6">
        <f>'XL-Test'!I51</f>
        <v>0.89930555555474712</v>
      </c>
      <c r="G6">
        <f>'XL-Test'!J51</f>
        <v>45731</v>
      </c>
      <c r="H6">
        <f>'XL-Test'!L51</f>
        <v>210</v>
      </c>
      <c r="I6">
        <f>'XL-Test'!M51</f>
        <v>5</v>
      </c>
      <c r="J6">
        <f>'XL-Test'!N51</f>
        <v>5</v>
      </c>
      <c r="O6">
        <v>5</v>
      </c>
      <c r="P6" t="str">
        <f ca="1">T2</f>
        <v>=H47+MOD(13-H47;7)+1</v>
      </c>
    </row>
    <row r="7" spans="1:23">
      <c r="B7">
        <v>6</v>
      </c>
      <c r="C7">
        <f>'XL-Test'!F52</f>
        <v>5</v>
      </c>
      <c r="D7">
        <f>'XL-Test'!G52</f>
        <v>9</v>
      </c>
      <c r="E7">
        <f>'XL-Test'!H52</f>
        <v>45685</v>
      </c>
      <c r="F7">
        <f>'XL-Test'!I52</f>
        <v>0.77222222222189885</v>
      </c>
      <c r="G7">
        <f>'XL-Test'!J52</f>
        <v>45689</v>
      </c>
      <c r="H7">
        <f>'XL-Test'!L52</f>
        <v>84</v>
      </c>
      <c r="I7">
        <f>'XL-Test'!M52</f>
        <v>7</v>
      </c>
      <c r="J7">
        <f>'XL-Test'!N52</f>
        <v>100</v>
      </c>
      <c r="O7">
        <v>6</v>
      </c>
      <c r="P7" t="str">
        <f ca="1">U2</f>
        <v>=FLOOR(K47;42)</v>
      </c>
    </row>
    <row r="8" spans="1:23">
      <c r="B8">
        <v>7</v>
      </c>
      <c r="C8">
        <f>'XL-Test'!F53</f>
        <v>1</v>
      </c>
      <c r="D8">
        <f>'XL-Test'!G53</f>
        <v>15</v>
      </c>
      <c r="E8">
        <f>'XL-Test'!H53</f>
        <v>45828</v>
      </c>
      <c r="F8">
        <f>'XL-Test'!I53</f>
        <v>0.16736111111094942</v>
      </c>
      <c r="G8">
        <f>'XL-Test'!J53</f>
        <v>45829</v>
      </c>
      <c r="H8">
        <f>'XL-Test'!L53</f>
        <v>0</v>
      </c>
      <c r="I8">
        <f>'XL-Test'!M53</f>
        <v>10</v>
      </c>
      <c r="J8">
        <f>'XL-Test'!N53</f>
        <v>25</v>
      </c>
      <c r="O8">
        <v>7</v>
      </c>
      <c r="P8" t="str">
        <f ca="1">V2</f>
        <v>=MIN(CEILING(K47;42)-K47;E47-K47)</v>
      </c>
    </row>
    <row r="9" spans="1:23">
      <c r="B9">
        <v>8</v>
      </c>
      <c r="C9">
        <f>'XL-Test'!F54</f>
        <v>2</v>
      </c>
      <c r="D9">
        <f>'XL-Test'!G54</f>
        <v>36</v>
      </c>
      <c r="E9">
        <f>'XL-Test'!H54</f>
        <v>45702</v>
      </c>
      <c r="F9">
        <f>'XL-Test'!I54</f>
        <v>0.81527777777955635</v>
      </c>
      <c r="G9">
        <f>'XL-Test'!J54</f>
        <v>45703</v>
      </c>
      <c r="H9">
        <f>'XL-Test'!L54</f>
        <v>84</v>
      </c>
      <c r="I9">
        <f>'XL-Test'!M54</f>
        <v>33</v>
      </c>
      <c r="J9">
        <f>'XL-Test'!N54</f>
        <v>33</v>
      </c>
      <c r="O9">
        <v>8</v>
      </c>
      <c r="P9" t="str">
        <f ca="1">W2</f>
        <v>=E47-K47</v>
      </c>
    </row>
    <row r="10" spans="1:23">
      <c r="B10">
        <v>9</v>
      </c>
      <c r="C10">
        <f>'XL-Test'!F55</f>
        <v>0</v>
      </c>
      <c r="D10">
        <f>'XL-Test'!G55</f>
        <v>32</v>
      </c>
      <c r="E10">
        <f>'XL-Test'!H55</f>
        <v>45661</v>
      </c>
      <c r="F10">
        <f>'XL-Test'!I55</f>
        <v>6.4583333332848269E-2</v>
      </c>
      <c r="G10">
        <f>'XL-Test'!J55</f>
        <v>45668</v>
      </c>
      <c r="H10">
        <f>'XL-Test'!L55</f>
        <v>0</v>
      </c>
      <c r="I10">
        <f>'XL-Test'!M55</f>
        <v>0</v>
      </c>
      <c r="J10">
        <f>'XL-Test'!N55</f>
        <v>0</v>
      </c>
    </row>
    <row r="11" spans="1:23">
      <c r="B11">
        <v>10</v>
      </c>
      <c r="C11">
        <f>'XL-Test'!F56</f>
        <v>3</v>
      </c>
      <c r="D11">
        <f>'XL-Test'!G56</f>
        <v>33</v>
      </c>
      <c r="E11">
        <f>'XL-Test'!H56</f>
        <v>45872</v>
      </c>
      <c r="F11">
        <f>'XL-Test'!I56</f>
        <v>0.33819444444088731</v>
      </c>
      <c r="G11">
        <f>'XL-Test'!J56</f>
        <v>45878</v>
      </c>
      <c r="H11">
        <f>'XL-Test'!L56</f>
        <v>0</v>
      </c>
      <c r="I11">
        <f>'XL-Test'!M56</f>
        <v>1</v>
      </c>
      <c r="J11">
        <f>'XL-Test'!N56</f>
        <v>118</v>
      </c>
    </row>
    <row r="12" spans="1:23">
      <c r="B12">
        <v>11</v>
      </c>
      <c r="C12">
        <f>'XL-Test'!F57</f>
        <v>4</v>
      </c>
      <c r="D12">
        <f>'XL-Test'!G57</f>
        <v>19</v>
      </c>
      <c r="E12">
        <f>'XL-Test'!H57</f>
        <v>45929</v>
      </c>
      <c r="F12">
        <f>'XL-Test'!I57</f>
        <v>0.38611111111094942</v>
      </c>
      <c r="G12">
        <f>'XL-Test'!J57</f>
        <v>45934</v>
      </c>
      <c r="H12">
        <f>'XL-Test'!L57</f>
        <v>126</v>
      </c>
      <c r="I12">
        <f>'XL-Test'!M57</f>
        <v>18</v>
      </c>
      <c r="J12">
        <f>'XL-Test'!N57</f>
        <v>37</v>
      </c>
    </row>
    <row r="13" spans="1:23">
      <c r="B13">
        <v>12</v>
      </c>
      <c r="C13">
        <f>'XL-Test'!F58</f>
        <v>1</v>
      </c>
      <c r="D13">
        <f>'XL-Test'!G58</f>
        <v>24</v>
      </c>
      <c r="E13">
        <f>'XL-Test'!H58</f>
        <v>45662</v>
      </c>
      <c r="F13">
        <f>'XL-Test'!I58</f>
        <v>0.73958333333575865</v>
      </c>
      <c r="G13">
        <f>'XL-Test'!J58</f>
        <v>45668</v>
      </c>
      <c r="H13">
        <f>'XL-Test'!L58</f>
        <v>42</v>
      </c>
      <c r="I13">
        <f>'XL-Test'!M58</f>
        <v>21</v>
      </c>
      <c r="J13">
        <f>'XL-Test'!N58</f>
        <v>21</v>
      </c>
    </row>
    <row r="14" spans="1:23">
      <c r="B14">
        <v>13</v>
      </c>
      <c r="C14">
        <f>'XL-Test'!F59</f>
        <v>3</v>
      </c>
      <c r="D14">
        <f>'XL-Test'!G59</f>
        <v>9</v>
      </c>
      <c r="E14">
        <f>'XL-Test'!H59</f>
        <v>45822</v>
      </c>
      <c r="F14">
        <f>'XL-Test'!I59</f>
        <v>0.6756944444423425</v>
      </c>
      <c r="G14">
        <f>'XL-Test'!J59</f>
        <v>45829</v>
      </c>
      <c r="H14">
        <f>'XL-Test'!L59</f>
        <v>84</v>
      </c>
      <c r="I14">
        <f>'XL-Test'!M59</f>
        <v>1</v>
      </c>
      <c r="J14">
        <f>'XL-Test'!N59</f>
        <v>10</v>
      </c>
    </row>
    <row r="15" spans="1:23">
      <c r="B15">
        <v>14</v>
      </c>
      <c r="C15">
        <f>'XL-Test'!F60</f>
        <v>2</v>
      </c>
      <c r="D15">
        <f>'XL-Test'!G60</f>
        <v>28</v>
      </c>
      <c r="E15">
        <f>'XL-Test'!H60</f>
        <v>45663</v>
      </c>
      <c r="F15">
        <f>'XL-Test'!I60</f>
        <v>0.74305555555474712</v>
      </c>
      <c r="G15">
        <f>'XL-Test'!J60</f>
        <v>45668</v>
      </c>
      <c r="H15">
        <f>'XL-Test'!L60</f>
        <v>84</v>
      </c>
      <c r="I15">
        <f>'XL-Test'!M60</f>
        <v>13</v>
      </c>
      <c r="J15">
        <f>'XL-Test'!N60</f>
        <v>13</v>
      </c>
    </row>
    <row r="16" spans="1:23">
      <c r="B16">
        <v>15</v>
      </c>
      <c r="C16">
        <f>'XL-Test'!F61</f>
        <v>4</v>
      </c>
      <c r="D16">
        <f>'XL-Test'!G61</f>
        <v>9</v>
      </c>
      <c r="E16">
        <f>'XL-Test'!H61</f>
        <v>45955</v>
      </c>
      <c r="F16">
        <f>'XL-Test'!I61</f>
        <v>0.99375000000145519</v>
      </c>
      <c r="G16">
        <f>'XL-Test'!J61</f>
        <v>45962</v>
      </c>
      <c r="H16">
        <f>'XL-Test'!L61</f>
        <v>168</v>
      </c>
      <c r="I16">
        <f>'XL-Test'!M61</f>
        <v>8</v>
      </c>
      <c r="J16">
        <f>'XL-Test'!N61</f>
        <v>8</v>
      </c>
    </row>
    <row r="18" spans="1:15">
      <c r="B18" t="s">
        <v>22</v>
      </c>
      <c r="C18">
        <f>SUM(C2:C16)+C4+C7+C10+C12+C15+C2</f>
        <v>58</v>
      </c>
      <c r="D18">
        <f t="shared" ref="D18:H18" si="0">SUM(D2:D16)+D4+D7+D10+D12+D15+D2</f>
        <v>456</v>
      </c>
      <c r="E18">
        <f t="shared" si="0"/>
        <v>961433</v>
      </c>
      <c r="F18">
        <f t="shared" si="0"/>
        <v>11.295833333329938</v>
      </c>
      <c r="G18">
        <f t="shared" si="0"/>
        <v>961527</v>
      </c>
      <c r="H18">
        <f t="shared" si="0"/>
        <v>1722</v>
      </c>
      <c r="I18">
        <f t="shared" ref="I18:J18" si="1">SUM(I2:I16)+I4+I7+I10+I12+I15+I2</f>
        <v>269</v>
      </c>
      <c r="J18">
        <f t="shared" si="1"/>
        <v>775</v>
      </c>
    </row>
    <row r="19" spans="1:15">
      <c r="C19">
        <f>C18*122</f>
        <v>7076</v>
      </c>
      <c r="D19">
        <f>D18*122</f>
        <v>55632</v>
      </c>
      <c r="F19">
        <f>INT(F18*100000)</f>
        <v>1129583</v>
      </c>
      <c r="H19">
        <f>H18*122</f>
        <v>210084</v>
      </c>
      <c r="I19">
        <f t="shared" ref="I19:J19" si="2">I18*122</f>
        <v>32818</v>
      </c>
      <c r="J19">
        <f t="shared" si="2"/>
        <v>94550</v>
      </c>
    </row>
    <row r="20" spans="1:15">
      <c r="B20" t="s">
        <v>23</v>
      </c>
      <c r="C20">
        <f>IF(C19=0,C18,C19)</f>
        <v>7076</v>
      </c>
      <c r="D20">
        <f t="shared" ref="D20:H20" si="3">IF(D19=0,D18,D19)</f>
        <v>55632</v>
      </c>
      <c r="E20">
        <f t="shared" si="3"/>
        <v>961433</v>
      </c>
      <c r="F20">
        <f t="shared" si="3"/>
        <v>1129583</v>
      </c>
      <c r="G20">
        <f t="shared" si="3"/>
        <v>961527</v>
      </c>
      <c r="H20">
        <f t="shared" si="3"/>
        <v>210084</v>
      </c>
      <c r="I20">
        <f t="shared" ref="I20" si="4">IF(I19=0,I18,I19)</f>
        <v>32818</v>
      </c>
      <c r="J20">
        <f t="shared" ref="J20" si="5">IF(J19=0,J18,J19)</f>
        <v>94550</v>
      </c>
    </row>
    <row r="21" spans="1:15">
      <c r="B21" t="s">
        <v>25</v>
      </c>
      <c r="C21">
        <v>1561</v>
      </c>
      <c r="D21">
        <v>8776</v>
      </c>
      <c r="E21">
        <v>3934</v>
      </c>
      <c r="F21">
        <v>2936</v>
      </c>
      <c r="G21">
        <v>9671</v>
      </c>
      <c r="H21">
        <v>3019</v>
      </c>
      <c r="I21">
        <v>3020</v>
      </c>
      <c r="J21">
        <v>3021</v>
      </c>
    </row>
    <row r="23" spans="1:15">
      <c r="B23" t="s">
        <v>28</v>
      </c>
      <c r="C23" t="b">
        <f>NOT(OR(C2="",C2=0))</f>
        <v>1</v>
      </c>
      <c r="D23" t="b">
        <f t="shared" ref="D23:H23" si="6">NOT(OR(D2="",D2=0))</f>
        <v>1</v>
      </c>
      <c r="E23" t="b">
        <f t="shared" si="6"/>
        <v>1</v>
      </c>
      <c r="F23" t="b">
        <f t="shared" si="6"/>
        <v>1</v>
      </c>
      <c r="G23" t="b">
        <f t="shared" si="6"/>
        <v>1</v>
      </c>
      <c r="H23" t="b">
        <f t="shared" si="6"/>
        <v>1</v>
      </c>
      <c r="I23" t="b">
        <f t="shared" ref="I23:J23" si="7">NOT(OR(I2="",I2=0))</f>
        <v>1</v>
      </c>
      <c r="J23" t="b">
        <f t="shared" si="7"/>
        <v>1</v>
      </c>
    </row>
    <row r="24" spans="1:15">
      <c r="B24" t="s">
        <v>24</v>
      </c>
      <c r="C24" t="b">
        <f t="shared" ref="C24:H24" ca="1" si="8">AND(ISNUMBER(FIND("=",P2)),ISNUMBER(FIND("(",P2)),ISNUMBER(C2))</f>
        <v>1</v>
      </c>
      <c r="D24" t="b">
        <f t="shared" ca="1" si="8"/>
        <v>1</v>
      </c>
      <c r="E24" t="b">
        <f t="shared" ca="1" si="8"/>
        <v>1</v>
      </c>
      <c r="F24" t="b">
        <f t="shared" ca="1" si="8"/>
        <v>1</v>
      </c>
      <c r="G24" t="b">
        <f t="shared" ca="1" si="8"/>
        <v>1</v>
      </c>
      <c r="H24" t="b">
        <f t="shared" ca="1" si="8"/>
        <v>1</v>
      </c>
      <c r="I24" t="b">
        <f t="shared" ref="I24" ca="1" si="9">AND(ISNUMBER(FIND("=",V2)),ISNUMBER(FIND("(",V2)),ISNUMBER(I2))</f>
        <v>1</v>
      </c>
      <c r="J24" t="b">
        <f ca="1">AND(ISNUMBER(FIND("=",W2)),ISNUMBER(J2))</f>
        <v>1</v>
      </c>
    </row>
    <row r="26" spans="1:15">
      <c r="A26" t="s">
        <v>37</v>
      </c>
      <c r="B26" t="s">
        <v>36</v>
      </c>
      <c r="C26" t="str">
        <f ca="1">IFERROR(DEC2HEX(IF(AND(C23,C24,C66),C20,C21)),"EEE")</f>
        <v>1BA4</v>
      </c>
      <c r="D26" t="str">
        <f t="shared" ref="D26:H26" ca="1" si="10">IFERROR(DEC2HEX(IF(AND(D23,D24,D66),D20,D21)),"EEE")</f>
        <v>D950</v>
      </c>
      <c r="E26" t="str">
        <f t="shared" ca="1" si="10"/>
        <v>EAB99</v>
      </c>
      <c r="F26" t="str">
        <f t="shared" ca="1" si="10"/>
        <v>113C6F</v>
      </c>
      <c r="G26" t="str">
        <f t="shared" ca="1" si="10"/>
        <v>EABF7</v>
      </c>
      <c r="H26" t="str">
        <f t="shared" ca="1" si="10"/>
        <v>334A4</v>
      </c>
      <c r="I26" t="str">
        <f t="shared" ref="I26:J26" ca="1" si="11">IFERROR(DEC2HEX(IF(AND(I23,I24,I66),I20,I21)),"EEE")</f>
        <v>8032</v>
      </c>
      <c r="J26" t="str">
        <f t="shared" ca="1" si="11"/>
        <v>17156</v>
      </c>
    </row>
    <row r="27" spans="1:15">
      <c r="M27" t="s">
        <v>55</v>
      </c>
      <c r="N27" t="s">
        <v>59</v>
      </c>
      <c r="O27">
        <v>1</v>
      </c>
    </row>
    <row r="28" spans="1:15">
      <c r="B28" t="b">
        <v>1</v>
      </c>
      <c r="C28" t="str">
        <f>DEC2HEX(LEFT(C21,2)+COLUMN())</f>
        <v>12</v>
      </c>
      <c r="D28" t="str">
        <f t="shared" ref="D28:H28" si="12">DEC2HEX(LEFT(D21,2)+COLUMN())</f>
        <v>5B</v>
      </c>
      <c r="E28" t="str">
        <f t="shared" si="12"/>
        <v>2C</v>
      </c>
      <c r="F28" t="str">
        <f t="shared" si="12"/>
        <v>23</v>
      </c>
      <c r="G28" t="str">
        <f t="shared" si="12"/>
        <v>67</v>
      </c>
      <c r="H28" t="str">
        <f t="shared" si="12"/>
        <v>26</v>
      </c>
      <c r="I28" t="str">
        <f t="shared" ref="I28:J28" si="13">DEC2HEX(LEFT(I21,2)+COLUMN())</f>
        <v>27</v>
      </c>
      <c r="J28" t="str">
        <f t="shared" si="13"/>
        <v>28</v>
      </c>
      <c r="M28" t="s">
        <v>63</v>
      </c>
      <c r="N28" t="s">
        <v>60</v>
      </c>
      <c r="O28">
        <v>2</v>
      </c>
    </row>
    <row r="29" spans="1:15">
      <c r="B29" t="b">
        <v>0</v>
      </c>
      <c r="C29" t="str">
        <f>DEC2HEX(RIGHT(C21,2)+COLUMN())</f>
        <v>40</v>
      </c>
      <c r="D29" t="str">
        <f t="shared" ref="D29:H29" si="14">DEC2HEX(RIGHT(D21,2)+COLUMN())</f>
        <v>50</v>
      </c>
      <c r="E29" t="str">
        <f t="shared" si="14"/>
        <v>27</v>
      </c>
      <c r="F29" t="str">
        <f t="shared" si="14"/>
        <v>2A</v>
      </c>
      <c r="G29" t="str">
        <f t="shared" si="14"/>
        <v>4E</v>
      </c>
      <c r="H29" t="str">
        <f t="shared" si="14"/>
        <v>1B</v>
      </c>
      <c r="I29" t="str">
        <f t="shared" ref="I29:J29" si="15">DEC2HEX(RIGHT(I21,2)+COLUMN())</f>
        <v>1D</v>
      </c>
      <c r="J29" t="str">
        <f t="shared" si="15"/>
        <v>1F</v>
      </c>
      <c r="M29" t="s">
        <v>57</v>
      </c>
      <c r="N29" t="s">
        <v>61</v>
      </c>
      <c r="O29">
        <v>3</v>
      </c>
    </row>
    <row r="30" spans="1:15">
      <c r="M30" t="s">
        <v>58</v>
      </c>
      <c r="N30" t="s">
        <v>62</v>
      </c>
      <c r="O30">
        <v>38</v>
      </c>
    </row>
    <row r="31" spans="1:15">
      <c r="B31" t="s">
        <v>26</v>
      </c>
      <c r="C31">
        <f ca="1">IFERROR(LEN(P2)-LEN(SUBSTITUTE(P2,"(","")),99)</f>
        <v>1</v>
      </c>
      <c r="D31">
        <f t="shared" ref="D31:H31" ca="1" si="16">IFERROR(LEN(Q2)-LEN(SUBSTITUTE(Q2,"(","")),99)</f>
        <v>1</v>
      </c>
      <c r="E31">
        <f t="shared" ca="1" si="16"/>
        <v>1</v>
      </c>
      <c r="F31">
        <f t="shared" ca="1" si="16"/>
        <v>1</v>
      </c>
      <c r="G31">
        <f t="shared" ca="1" si="16"/>
        <v>1</v>
      </c>
      <c r="H31">
        <f t="shared" ca="1" si="16"/>
        <v>1</v>
      </c>
      <c r="I31">
        <f t="shared" ref="I31" ca="1" si="17">IFERROR(LEN(V2)-LEN(SUBSTITUTE(V2,"(","")),99)</f>
        <v>2</v>
      </c>
      <c r="J31">
        <f t="shared" ref="J31" ca="1" si="18">IFERROR(LEN(W2)-LEN(SUBSTITUTE(W2,"(","")),99)</f>
        <v>0</v>
      </c>
      <c r="M31" t="s">
        <v>56</v>
      </c>
      <c r="N31" t="s">
        <v>58</v>
      </c>
      <c r="O31">
        <v>2</v>
      </c>
    </row>
    <row r="32" spans="1:15"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2</v>
      </c>
      <c r="J32">
        <v>1</v>
      </c>
    </row>
    <row r="33" spans="1:13">
      <c r="B33" t="s">
        <v>27</v>
      </c>
      <c r="C33" t="b">
        <f ca="1">C31&lt;=C32</f>
        <v>1</v>
      </c>
      <c r="D33" t="b">
        <f t="shared" ref="D33:H33" ca="1" si="19">D31&lt;=D32</f>
        <v>1</v>
      </c>
      <c r="E33" t="b">
        <f t="shared" ca="1" si="19"/>
        <v>1</v>
      </c>
      <c r="F33" t="b">
        <f t="shared" ca="1" si="19"/>
        <v>1</v>
      </c>
      <c r="G33" t="b">
        <f t="shared" ca="1" si="19"/>
        <v>1</v>
      </c>
      <c r="H33" t="b">
        <f t="shared" ca="1" si="19"/>
        <v>1</v>
      </c>
      <c r="I33" t="b">
        <f t="shared" ref="I33" ca="1" si="20">I31&lt;=I32</f>
        <v>1</v>
      </c>
      <c r="J33" t="b">
        <f t="shared" ref="J33" ca="1" si="21">J31&lt;=J32</f>
        <v>1</v>
      </c>
    </row>
    <row r="35" spans="1:13">
      <c r="B35" t="s">
        <v>29</v>
      </c>
      <c r="C35" t="b">
        <f ca="1">ISNUMBER(FIND("UOTI",P2))</f>
        <v>1</v>
      </c>
      <c r="D35" t="b">
        <f ca="1">ISNUMBER(FIND("MOD",Q2))</f>
        <v>1</v>
      </c>
      <c r="E35" t="b">
        <f ca="1">ISNUMBER(FIND("INT",R2))</f>
        <v>1</v>
      </c>
      <c r="F35" t="b">
        <f ca="1">ISNUMBER(FIND("MOD",S2))</f>
        <v>1</v>
      </c>
      <c r="G35" t="b">
        <f ca="1">ISNUMBER(FIND("MOD",T2))</f>
        <v>1</v>
      </c>
      <c r="H35" t="b">
        <f ca="1">ISNUMBER(FIND("LOOR",U2))</f>
        <v>1</v>
      </c>
      <c r="I35" t="b">
        <f ca="1">OR(ISNUMBER(FIND("CEI",V2)),ISNUMBER(FIND("MOD",V2)))</f>
        <v>1</v>
      </c>
      <c r="J35" t="b">
        <f ca="1">ISNUMBER(FIND("-",W2))</f>
        <v>1</v>
      </c>
    </row>
    <row r="37" spans="1:13">
      <c r="B37" t="s">
        <v>38</v>
      </c>
      <c r="C37" t="str">
        <f ca="1">IF(AND(C35,C33),C28,C29)&amp;"-"&amp;C26&amp;";"</f>
        <v>12-1BA4;</v>
      </c>
      <c r="D37" t="str">
        <f t="shared" ref="D37:H37" ca="1" si="22">IF(AND(D35,D33),D28,D29)&amp;"-"&amp;D26&amp;";"</f>
        <v>5B-D950;</v>
      </c>
      <c r="E37" t="str">
        <f t="shared" ca="1" si="22"/>
        <v>2C-EAB99;</v>
      </c>
      <c r="F37" t="str">
        <f t="shared" ca="1" si="22"/>
        <v>23-113C6F;</v>
      </c>
      <c r="G37" t="str">
        <f t="shared" ca="1" si="22"/>
        <v>67-EABF7;</v>
      </c>
      <c r="H37" t="str">
        <f t="shared" ca="1" si="22"/>
        <v>26-334A4;</v>
      </c>
      <c r="I37" t="str">
        <f t="shared" ref="I37" ca="1" si="23">IF(AND(I35,I33),I28,I29)&amp;"-"&amp;I26&amp;";"</f>
        <v>27-8032;</v>
      </c>
      <c r="J37" t="str">
        <f ca="1">IF(AND(J35,J33),J28,J29)&amp;"-"&amp;J26</f>
        <v>28-17156</v>
      </c>
    </row>
    <row r="38" spans="1:13">
      <c r="C38" t="str">
        <f ca="1">A2&amp;"|"&amp;C37&amp;D37&amp;E37&amp;F37&amp;G37&amp;H37&amp;I37&amp;J37</f>
        <v>MK4|12-1BA4;5B-D950;2C-EAB99;23-113C6F;67-EABF7;26-334A4;27-8032;28-17156</v>
      </c>
      <c r="M38" t="str">
        <f ca="1">C38</f>
        <v>MK4|12-1BA4;5B-D950;2C-EAB99;23-113C6F;67-EABF7;26-334A4;27-8032;28-17156</v>
      </c>
    </row>
    <row r="39" spans="1:13">
      <c r="M39" t="str" cm="1">
        <f t="array" aca="1" ref="M39" ca="1">INDIRECT(VLOOKUP("E",M27:O31,2,0)&amp;VLOOKUP("M",M27:O31,3,0))</f>
        <v>MK4|12-1BA4;5B-D950;2C-EAB99;23-113C6F;67-EABF7;26-334A4;27-8032;28-17156</v>
      </c>
    </row>
    <row r="40" spans="1:13">
      <c r="B40" t="s">
        <v>30</v>
      </c>
    </row>
    <row r="41" spans="1:13">
      <c r="A41">
        <v>1</v>
      </c>
      <c r="B41">
        <v>6</v>
      </c>
      <c r="C41">
        <f ca="1">IFERROR(LEN(_xlfn.FORMULATEXT('XL-Test'!F47)),0)</f>
        <v>17</v>
      </c>
      <c r="D41">
        <f ca="1">IFERROR(LEN(_xlfn.FORMULATEXT('XL-Test'!G47)),0)</f>
        <v>12</v>
      </c>
      <c r="E41">
        <f ca="1">IFERROR(LEN(_xlfn.FORMULATEXT('XL-Test'!H47)),0)</f>
        <v>9</v>
      </c>
      <c r="F41">
        <f ca="1">IFERROR(LEN(_xlfn.FORMULATEXT('XL-Test'!I47)),0)</f>
        <v>11</v>
      </c>
      <c r="G41">
        <f ca="1">IFERROR(LEN(_xlfn.FORMULATEXT('XL-Test'!J47)),0)</f>
        <v>20</v>
      </c>
      <c r="H41">
        <f ca="1">IFERROR(LEN(_xlfn.FORMULATEXT('XL-Test'!L47)),0)</f>
        <v>14</v>
      </c>
      <c r="I41">
        <f ca="1">IFERROR(LEN(_xlfn.FORMULATEXT('XL-Test'!M47)),0)</f>
        <v>33</v>
      </c>
      <c r="J41">
        <f ca="1">IFERROR(LEN(_xlfn.FORMULATEXT('XL-Test'!N47)),0)</f>
        <v>8</v>
      </c>
    </row>
    <row r="42" spans="1:13">
      <c r="A42">
        <v>2</v>
      </c>
      <c r="B42">
        <v>7</v>
      </c>
      <c r="C42">
        <f ca="1">IFERROR(LEN(_xlfn.FORMULATEXT('XL-Test'!F48)),0)</f>
        <v>17</v>
      </c>
      <c r="D42">
        <f ca="1">IFERROR(LEN(_xlfn.FORMULATEXT('XL-Test'!G48)),0)</f>
        <v>12</v>
      </c>
      <c r="E42">
        <f ca="1">IFERROR(LEN(_xlfn.FORMULATEXT('XL-Test'!H48)),0)</f>
        <v>9</v>
      </c>
      <c r="F42">
        <f ca="1">IFERROR(LEN(_xlfn.FORMULATEXT('XL-Test'!I48)),0)</f>
        <v>11</v>
      </c>
      <c r="G42">
        <f ca="1">IFERROR(LEN(_xlfn.FORMULATEXT('XL-Test'!J48)),0)</f>
        <v>20</v>
      </c>
      <c r="H42">
        <f ca="1">IFERROR(LEN(_xlfn.FORMULATEXT('XL-Test'!L48)),0)</f>
        <v>14</v>
      </c>
      <c r="I42">
        <f ca="1">IFERROR(LEN(_xlfn.FORMULATEXT('XL-Test'!M48)),0)</f>
        <v>33</v>
      </c>
      <c r="J42">
        <f ca="1">IFERROR(LEN(_xlfn.FORMULATEXT('XL-Test'!N48)),0)</f>
        <v>8</v>
      </c>
    </row>
    <row r="43" spans="1:13">
      <c r="A43">
        <v>3</v>
      </c>
      <c r="B43">
        <v>8</v>
      </c>
      <c r="C43">
        <f ca="1">IFERROR(LEN(_xlfn.FORMULATEXT('XL-Test'!F49)),0)</f>
        <v>17</v>
      </c>
      <c r="D43">
        <f ca="1">IFERROR(LEN(_xlfn.FORMULATEXT('XL-Test'!G49)),0)</f>
        <v>12</v>
      </c>
      <c r="E43">
        <f ca="1">IFERROR(LEN(_xlfn.FORMULATEXT('XL-Test'!H49)),0)</f>
        <v>9</v>
      </c>
      <c r="F43">
        <f ca="1">IFERROR(LEN(_xlfn.FORMULATEXT('XL-Test'!I49)),0)</f>
        <v>11</v>
      </c>
      <c r="G43">
        <f ca="1">IFERROR(LEN(_xlfn.FORMULATEXT('XL-Test'!J49)),0)</f>
        <v>20</v>
      </c>
      <c r="H43">
        <f ca="1">IFERROR(LEN(_xlfn.FORMULATEXT('XL-Test'!L49)),0)</f>
        <v>14</v>
      </c>
      <c r="I43">
        <f ca="1">IFERROR(LEN(_xlfn.FORMULATEXT('XL-Test'!M49)),0)</f>
        <v>33</v>
      </c>
      <c r="J43">
        <f ca="1">IFERROR(LEN(_xlfn.FORMULATEXT('XL-Test'!N49)),0)</f>
        <v>8</v>
      </c>
    </row>
    <row r="44" spans="1:13">
      <c r="A44">
        <v>4</v>
      </c>
      <c r="B44">
        <v>9</v>
      </c>
      <c r="C44">
        <f ca="1">IFERROR(LEN(_xlfn.FORMULATEXT('XL-Test'!F50)),0)</f>
        <v>17</v>
      </c>
      <c r="D44">
        <f ca="1">IFERROR(LEN(_xlfn.FORMULATEXT('XL-Test'!G50)),0)</f>
        <v>12</v>
      </c>
      <c r="E44">
        <f ca="1">IFERROR(LEN(_xlfn.FORMULATEXT('XL-Test'!H50)),0)</f>
        <v>9</v>
      </c>
      <c r="F44">
        <f ca="1">IFERROR(LEN(_xlfn.FORMULATEXT('XL-Test'!I50)),0)</f>
        <v>11</v>
      </c>
      <c r="G44">
        <f ca="1">IFERROR(LEN(_xlfn.FORMULATEXT('XL-Test'!J50)),0)</f>
        <v>20</v>
      </c>
      <c r="H44">
        <f ca="1">IFERROR(LEN(_xlfn.FORMULATEXT('XL-Test'!L50)),0)</f>
        <v>14</v>
      </c>
      <c r="I44">
        <f ca="1">IFERROR(LEN(_xlfn.FORMULATEXT('XL-Test'!M50)),0)</f>
        <v>33</v>
      </c>
      <c r="J44">
        <f ca="1">IFERROR(LEN(_xlfn.FORMULATEXT('XL-Test'!N50)),0)</f>
        <v>8</v>
      </c>
    </row>
    <row r="45" spans="1:13">
      <c r="A45">
        <v>5</v>
      </c>
      <c r="B45">
        <v>10</v>
      </c>
      <c r="C45">
        <f ca="1">IFERROR(LEN(_xlfn.FORMULATEXT('XL-Test'!F51)),0)</f>
        <v>17</v>
      </c>
      <c r="D45">
        <f ca="1">IFERROR(LEN(_xlfn.FORMULATEXT('XL-Test'!G51)),0)</f>
        <v>12</v>
      </c>
      <c r="E45">
        <f ca="1">IFERROR(LEN(_xlfn.FORMULATEXT('XL-Test'!H51)),0)</f>
        <v>9</v>
      </c>
      <c r="F45">
        <f ca="1">IFERROR(LEN(_xlfn.FORMULATEXT('XL-Test'!I51)),0)</f>
        <v>11</v>
      </c>
      <c r="G45">
        <f ca="1">IFERROR(LEN(_xlfn.FORMULATEXT('XL-Test'!J51)),0)</f>
        <v>20</v>
      </c>
      <c r="H45">
        <f ca="1">IFERROR(LEN(_xlfn.FORMULATEXT('XL-Test'!L51)),0)</f>
        <v>14</v>
      </c>
      <c r="I45">
        <f ca="1">IFERROR(LEN(_xlfn.FORMULATEXT('XL-Test'!M51)),0)</f>
        <v>33</v>
      </c>
      <c r="J45">
        <f ca="1">IFERROR(LEN(_xlfn.FORMULATEXT('XL-Test'!N51)),0)</f>
        <v>8</v>
      </c>
    </row>
    <row r="46" spans="1:13">
      <c r="A46">
        <v>6</v>
      </c>
      <c r="B46">
        <v>11</v>
      </c>
      <c r="C46">
        <f ca="1">IFERROR(LEN(_xlfn.FORMULATEXT('XL-Test'!F52)),0)</f>
        <v>17</v>
      </c>
      <c r="D46">
        <f ca="1">IFERROR(LEN(_xlfn.FORMULATEXT('XL-Test'!G52)),0)</f>
        <v>12</v>
      </c>
      <c r="E46">
        <f ca="1">IFERROR(LEN(_xlfn.FORMULATEXT('XL-Test'!H52)),0)</f>
        <v>9</v>
      </c>
      <c r="F46">
        <f ca="1">IFERROR(LEN(_xlfn.FORMULATEXT('XL-Test'!I52)),0)</f>
        <v>11</v>
      </c>
      <c r="G46">
        <f ca="1">IFERROR(LEN(_xlfn.FORMULATEXT('XL-Test'!J52)),0)</f>
        <v>20</v>
      </c>
      <c r="H46">
        <f ca="1">IFERROR(LEN(_xlfn.FORMULATEXT('XL-Test'!L52)),0)</f>
        <v>14</v>
      </c>
      <c r="I46">
        <f ca="1">IFERROR(LEN(_xlfn.FORMULATEXT('XL-Test'!M52)),0)</f>
        <v>33</v>
      </c>
      <c r="J46">
        <f ca="1">IFERROR(LEN(_xlfn.FORMULATEXT('XL-Test'!N52)),0)</f>
        <v>8</v>
      </c>
    </row>
    <row r="47" spans="1:13">
      <c r="A47">
        <v>7</v>
      </c>
      <c r="B47">
        <v>12</v>
      </c>
      <c r="C47">
        <f ca="1">IFERROR(LEN(_xlfn.FORMULATEXT('XL-Test'!F53)),0)</f>
        <v>17</v>
      </c>
      <c r="D47">
        <f ca="1">IFERROR(LEN(_xlfn.FORMULATEXT('XL-Test'!G53)),0)</f>
        <v>12</v>
      </c>
      <c r="E47">
        <f ca="1">IFERROR(LEN(_xlfn.FORMULATEXT('XL-Test'!H53)),0)</f>
        <v>9</v>
      </c>
      <c r="F47">
        <f ca="1">IFERROR(LEN(_xlfn.FORMULATEXT('XL-Test'!I53)),0)</f>
        <v>11</v>
      </c>
      <c r="G47">
        <f ca="1">IFERROR(LEN(_xlfn.FORMULATEXT('XL-Test'!J53)),0)</f>
        <v>20</v>
      </c>
      <c r="H47">
        <f ca="1">IFERROR(LEN(_xlfn.FORMULATEXT('XL-Test'!L53)),0)</f>
        <v>14</v>
      </c>
      <c r="I47">
        <f ca="1">IFERROR(LEN(_xlfn.FORMULATEXT('XL-Test'!M53)),0)</f>
        <v>33</v>
      </c>
      <c r="J47">
        <f ca="1">IFERROR(LEN(_xlfn.FORMULATEXT('XL-Test'!N53)),0)</f>
        <v>8</v>
      </c>
    </row>
    <row r="48" spans="1:13">
      <c r="A48">
        <v>8</v>
      </c>
      <c r="B48">
        <v>13</v>
      </c>
      <c r="C48">
        <f ca="1">IFERROR(LEN(_xlfn.FORMULATEXT('XL-Test'!F54)),0)</f>
        <v>17</v>
      </c>
      <c r="D48">
        <f ca="1">IFERROR(LEN(_xlfn.FORMULATEXT('XL-Test'!G54)),0)</f>
        <v>12</v>
      </c>
      <c r="E48">
        <f ca="1">IFERROR(LEN(_xlfn.FORMULATEXT('XL-Test'!H54)),0)</f>
        <v>9</v>
      </c>
      <c r="F48">
        <f ca="1">IFERROR(LEN(_xlfn.FORMULATEXT('XL-Test'!I54)),0)</f>
        <v>11</v>
      </c>
      <c r="G48">
        <f ca="1">IFERROR(LEN(_xlfn.FORMULATEXT('XL-Test'!J54)),0)</f>
        <v>20</v>
      </c>
      <c r="H48">
        <f ca="1">IFERROR(LEN(_xlfn.FORMULATEXT('XL-Test'!L54)),0)</f>
        <v>14</v>
      </c>
      <c r="I48">
        <f ca="1">IFERROR(LEN(_xlfn.FORMULATEXT('XL-Test'!M54)),0)</f>
        <v>33</v>
      </c>
      <c r="J48">
        <f ca="1">IFERROR(LEN(_xlfn.FORMULATEXT('XL-Test'!N54)),0)</f>
        <v>8</v>
      </c>
    </row>
    <row r="49" spans="1:10">
      <c r="A49">
        <v>9</v>
      </c>
      <c r="B49">
        <v>14</v>
      </c>
      <c r="C49">
        <f ca="1">IFERROR(LEN(_xlfn.FORMULATEXT('XL-Test'!F55)),0)</f>
        <v>17</v>
      </c>
      <c r="D49">
        <f ca="1">IFERROR(LEN(_xlfn.FORMULATEXT('XL-Test'!G55)),0)</f>
        <v>12</v>
      </c>
      <c r="E49">
        <f ca="1">IFERROR(LEN(_xlfn.FORMULATEXT('XL-Test'!H55)),0)</f>
        <v>9</v>
      </c>
      <c r="F49">
        <f ca="1">IFERROR(LEN(_xlfn.FORMULATEXT('XL-Test'!I55)),0)</f>
        <v>11</v>
      </c>
      <c r="G49">
        <f ca="1">IFERROR(LEN(_xlfn.FORMULATEXT('XL-Test'!J55)),0)</f>
        <v>20</v>
      </c>
      <c r="H49">
        <f ca="1">IFERROR(LEN(_xlfn.FORMULATEXT('XL-Test'!L55)),0)</f>
        <v>14</v>
      </c>
      <c r="I49">
        <f ca="1">IFERROR(LEN(_xlfn.FORMULATEXT('XL-Test'!M55)),0)</f>
        <v>33</v>
      </c>
      <c r="J49">
        <f ca="1">IFERROR(LEN(_xlfn.FORMULATEXT('XL-Test'!N55)),0)</f>
        <v>8</v>
      </c>
    </row>
    <row r="50" spans="1:10">
      <c r="A50">
        <v>10</v>
      </c>
      <c r="B50">
        <v>15</v>
      </c>
      <c r="C50">
        <f ca="1">IFERROR(LEN(_xlfn.FORMULATEXT('XL-Test'!F56)),0)</f>
        <v>17</v>
      </c>
      <c r="D50">
        <f ca="1">IFERROR(LEN(_xlfn.FORMULATEXT('XL-Test'!G56)),0)</f>
        <v>12</v>
      </c>
      <c r="E50">
        <f ca="1">IFERROR(LEN(_xlfn.FORMULATEXT('XL-Test'!H56)),0)</f>
        <v>9</v>
      </c>
      <c r="F50">
        <f ca="1">IFERROR(LEN(_xlfn.FORMULATEXT('XL-Test'!I56)),0)</f>
        <v>11</v>
      </c>
      <c r="G50">
        <f ca="1">IFERROR(LEN(_xlfn.FORMULATEXT('XL-Test'!J56)),0)</f>
        <v>20</v>
      </c>
      <c r="H50">
        <f ca="1">IFERROR(LEN(_xlfn.FORMULATEXT('XL-Test'!L56)),0)</f>
        <v>14</v>
      </c>
      <c r="I50">
        <f ca="1">IFERROR(LEN(_xlfn.FORMULATEXT('XL-Test'!M56)),0)</f>
        <v>33</v>
      </c>
      <c r="J50">
        <f ca="1">IFERROR(LEN(_xlfn.FORMULATEXT('XL-Test'!N56)),0)</f>
        <v>8</v>
      </c>
    </row>
    <row r="51" spans="1:10">
      <c r="A51">
        <v>11</v>
      </c>
      <c r="B51">
        <v>16</v>
      </c>
      <c r="C51">
        <f ca="1">IFERROR(LEN(_xlfn.FORMULATEXT('XL-Test'!F57)),0)</f>
        <v>17</v>
      </c>
      <c r="D51">
        <f ca="1">IFERROR(LEN(_xlfn.FORMULATEXT('XL-Test'!G57)),0)</f>
        <v>12</v>
      </c>
      <c r="E51">
        <f ca="1">IFERROR(LEN(_xlfn.FORMULATEXT('XL-Test'!H57)),0)</f>
        <v>9</v>
      </c>
      <c r="F51">
        <f ca="1">IFERROR(LEN(_xlfn.FORMULATEXT('XL-Test'!I57)),0)</f>
        <v>11</v>
      </c>
      <c r="G51">
        <f ca="1">IFERROR(LEN(_xlfn.FORMULATEXT('XL-Test'!J57)),0)</f>
        <v>20</v>
      </c>
      <c r="H51">
        <f ca="1">IFERROR(LEN(_xlfn.FORMULATEXT('XL-Test'!L57)),0)</f>
        <v>14</v>
      </c>
      <c r="I51">
        <f ca="1">IFERROR(LEN(_xlfn.FORMULATEXT('XL-Test'!M57)),0)</f>
        <v>33</v>
      </c>
      <c r="J51">
        <f ca="1">IFERROR(LEN(_xlfn.FORMULATEXT('XL-Test'!N57)),0)</f>
        <v>8</v>
      </c>
    </row>
    <row r="52" spans="1:10">
      <c r="A52">
        <v>12</v>
      </c>
      <c r="B52">
        <v>17</v>
      </c>
      <c r="C52">
        <f ca="1">IFERROR(LEN(_xlfn.FORMULATEXT('XL-Test'!F58)),0)</f>
        <v>17</v>
      </c>
      <c r="D52">
        <f ca="1">IFERROR(LEN(_xlfn.FORMULATEXT('XL-Test'!G58)),0)</f>
        <v>12</v>
      </c>
      <c r="E52">
        <f ca="1">IFERROR(LEN(_xlfn.FORMULATEXT('XL-Test'!H58)),0)</f>
        <v>9</v>
      </c>
      <c r="F52">
        <f ca="1">IFERROR(LEN(_xlfn.FORMULATEXT('XL-Test'!I58)),0)</f>
        <v>11</v>
      </c>
      <c r="G52">
        <f ca="1">IFERROR(LEN(_xlfn.FORMULATEXT('XL-Test'!J58)),0)</f>
        <v>20</v>
      </c>
      <c r="H52">
        <f ca="1">IFERROR(LEN(_xlfn.FORMULATEXT('XL-Test'!L58)),0)</f>
        <v>14</v>
      </c>
      <c r="I52">
        <f ca="1">IFERROR(LEN(_xlfn.FORMULATEXT('XL-Test'!M58)),0)</f>
        <v>33</v>
      </c>
      <c r="J52">
        <f ca="1">IFERROR(LEN(_xlfn.FORMULATEXT('XL-Test'!N58)),0)</f>
        <v>8</v>
      </c>
    </row>
    <row r="53" spans="1:10">
      <c r="A53">
        <v>13</v>
      </c>
      <c r="B53">
        <v>18</v>
      </c>
      <c r="C53">
        <f ca="1">IFERROR(LEN(_xlfn.FORMULATEXT('XL-Test'!F59)),0)</f>
        <v>17</v>
      </c>
      <c r="D53">
        <f ca="1">IFERROR(LEN(_xlfn.FORMULATEXT('XL-Test'!G59)),0)</f>
        <v>12</v>
      </c>
      <c r="E53">
        <f ca="1">IFERROR(LEN(_xlfn.FORMULATEXT('XL-Test'!H59)),0)</f>
        <v>9</v>
      </c>
      <c r="F53">
        <f ca="1">IFERROR(LEN(_xlfn.FORMULATEXT('XL-Test'!I59)),0)</f>
        <v>11</v>
      </c>
      <c r="G53">
        <f ca="1">IFERROR(LEN(_xlfn.FORMULATEXT('XL-Test'!J59)),0)</f>
        <v>20</v>
      </c>
      <c r="H53">
        <f ca="1">IFERROR(LEN(_xlfn.FORMULATEXT('XL-Test'!L59)),0)</f>
        <v>14</v>
      </c>
      <c r="I53">
        <f ca="1">IFERROR(LEN(_xlfn.FORMULATEXT('XL-Test'!M59)),0)</f>
        <v>33</v>
      </c>
      <c r="J53">
        <f ca="1">IFERROR(LEN(_xlfn.FORMULATEXT('XL-Test'!N59)),0)</f>
        <v>8</v>
      </c>
    </row>
    <row r="54" spans="1:10">
      <c r="A54">
        <v>14</v>
      </c>
      <c r="B54">
        <v>19</v>
      </c>
      <c r="C54">
        <f ca="1">IFERROR(LEN(_xlfn.FORMULATEXT('XL-Test'!F60)),0)</f>
        <v>17</v>
      </c>
      <c r="D54">
        <f ca="1">IFERROR(LEN(_xlfn.FORMULATEXT('XL-Test'!G60)),0)</f>
        <v>12</v>
      </c>
      <c r="E54">
        <f ca="1">IFERROR(LEN(_xlfn.FORMULATEXT('XL-Test'!H60)),0)</f>
        <v>9</v>
      </c>
      <c r="F54">
        <f ca="1">IFERROR(LEN(_xlfn.FORMULATEXT('XL-Test'!I60)),0)</f>
        <v>11</v>
      </c>
      <c r="G54">
        <f ca="1">IFERROR(LEN(_xlfn.FORMULATEXT('XL-Test'!J60)),0)</f>
        <v>20</v>
      </c>
      <c r="H54">
        <f ca="1">IFERROR(LEN(_xlfn.FORMULATEXT('XL-Test'!L60)),0)</f>
        <v>14</v>
      </c>
      <c r="I54">
        <f ca="1">IFERROR(LEN(_xlfn.FORMULATEXT('XL-Test'!M60)),0)</f>
        <v>33</v>
      </c>
      <c r="J54">
        <f ca="1">IFERROR(LEN(_xlfn.FORMULATEXT('XL-Test'!N60)),0)</f>
        <v>8</v>
      </c>
    </row>
    <row r="55" spans="1:10">
      <c r="A55">
        <v>15</v>
      </c>
      <c r="B55">
        <v>20</v>
      </c>
      <c r="C55">
        <f ca="1">IFERROR(LEN(_xlfn.FORMULATEXT('XL-Test'!F61)),0)</f>
        <v>17</v>
      </c>
      <c r="D55">
        <f ca="1">IFERROR(LEN(_xlfn.FORMULATEXT('XL-Test'!G61)),0)</f>
        <v>12</v>
      </c>
      <c r="E55">
        <f ca="1">IFERROR(LEN(_xlfn.FORMULATEXT('XL-Test'!H61)),0)</f>
        <v>9</v>
      </c>
      <c r="F55">
        <f ca="1">IFERROR(LEN(_xlfn.FORMULATEXT('XL-Test'!I61)),0)</f>
        <v>11</v>
      </c>
      <c r="G55">
        <f ca="1">IFERROR(LEN(_xlfn.FORMULATEXT('XL-Test'!J61)),0)</f>
        <v>20</v>
      </c>
      <c r="H55">
        <f ca="1">IFERROR(LEN(_xlfn.FORMULATEXT('XL-Test'!L61)),0)</f>
        <v>14</v>
      </c>
      <c r="I55">
        <f ca="1">IFERROR(LEN(_xlfn.FORMULATEXT('XL-Test'!M61)),0)</f>
        <v>33</v>
      </c>
      <c r="J55">
        <f ca="1">IFERROR(LEN(_xlfn.FORMULATEXT('XL-Test'!N61)),0)</f>
        <v>8</v>
      </c>
    </row>
    <row r="57" spans="1:10">
      <c r="B57" t="s">
        <v>31</v>
      </c>
      <c r="C57">
        <f ca="1">AVERAGE(C41:C44)</f>
        <v>17</v>
      </c>
      <c r="D57">
        <f t="shared" ref="D57:J57" ca="1" si="24">AVERAGE(D41:D44)</f>
        <v>12</v>
      </c>
      <c r="E57">
        <f t="shared" ca="1" si="24"/>
        <v>9</v>
      </c>
      <c r="F57">
        <f t="shared" ca="1" si="24"/>
        <v>11</v>
      </c>
      <c r="G57">
        <f t="shared" ca="1" si="24"/>
        <v>20</v>
      </c>
      <c r="H57">
        <f t="shared" ca="1" si="24"/>
        <v>14</v>
      </c>
      <c r="I57">
        <f t="shared" ca="1" si="24"/>
        <v>33</v>
      </c>
      <c r="J57">
        <f t="shared" ca="1" si="24"/>
        <v>8</v>
      </c>
    </row>
    <row r="58" spans="1:10">
      <c r="C58" t="b">
        <f ca="1">AND(C57=C41,C41&lt;&gt;0)</f>
        <v>1</v>
      </c>
      <c r="D58" t="b">
        <f t="shared" ref="D58:J58" ca="1" si="25">AND(D57=D41,D41&lt;&gt;0)</f>
        <v>1</v>
      </c>
      <c r="E58" t="b">
        <f t="shared" ca="1" si="25"/>
        <v>1</v>
      </c>
      <c r="F58" t="b">
        <f t="shared" ca="1" si="25"/>
        <v>1</v>
      </c>
      <c r="G58" t="b">
        <f t="shared" ca="1" si="25"/>
        <v>1</v>
      </c>
      <c r="H58" t="b">
        <f t="shared" ca="1" si="25"/>
        <v>1</v>
      </c>
      <c r="I58" t="b">
        <f t="shared" ca="1" si="25"/>
        <v>1</v>
      </c>
      <c r="J58" t="b">
        <f t="shared" ca="1" si="25"/>
        <v>1</v>
      </c>
    </row>
    <row r="60" spans="1:10">
      <c r="B60" t="s">
        <v>32</v>
      </c>
      <c r="C60">
        <f ca="1">AVERAGE(C45:C55)</f>
        <v>17</v>
      </c>
      <c r="D60">
        <f t="shared" ref="D60:J60" ca="1" si="26">AVERAGE(D45:D55)</f>
        <v>12</v>
      </c>
      <c r="E60">
        <f t="shared" ca="1" si="26"/>
        <v>9</v>
      </c>
      <c r="F60">
        <f t="shared" ca="1" si="26"/>
        <v>11</v>
      </c>
      <c r="G60">
        <f t="shared" ca="1" si="26"/>
        <v>20</v>
      </c>
      <c r="H60">
        <f t="shared" ca="1" si="26"/>
        <v>14</v>
      </c>
      <c r="I60">
        <f t="shared" ca="1" si="26"/>
        <v>33</v>
      </c>
      <c r="J60">
        <f t="shared" ca="1" si="26"/>
        <v>8</v>
      </c>
    </row>
    <row r="61" spans="1:10">
      <c r="C61" t="b">
        <f ca="1">AND(C60=C45,C45&lt;&gt;0)</f>
        <v>1</v>
      </c>
      <c r="D61" t="b">
        <f t="shared" ref="D61:J61" ca="1" si="27">AND(D60=D45,D45&lt;&gt;0)</f>
        <v>1</v>
      </c>
      <c r="E61" t="b">
        <f t="shared" ca="1" si="27"/>
        <v>1</v>
      </c>
      <c r="F61" t="b">
        <f t="shared" ca="1" si="27"/>
        <v>1</v>
      </c>
      <c r="G61" t="b">
        <f t="shared" ca="1" si="27"/>
        <v>1</v>
      </c>
      <c r="H61" t="b">
        <f t="shared" ca="1" si="27"/>
        <v>1</v>
      </c>
      <c r="I61" t="b">
        <f t="shared" ca="1" si="27"/>
        <v>1</v>
      </c>
      <c r="J61" t="b">
        <f t="shared" ca="1" si="27"/>
        <v>1</v>
      </c>
    </row>
    <row r="62" spans="1:10">
      <c r="B62" t="s">
        <v>33</v>
      </c>
      <c r="C62" t="b">
        <f ca="1">IFERROR(AND(C61,C58),FALSE)</f>
        <v>1</v>
      </c>
      <c r="D62" t="b">
        <f t="shared" ref="D62:H62" ca="1" si="28">IFERROR(AND(D61,D58),FALSE)</f>
        <v>1</v>
      </c>
      <c r="E62" t="b">
        <f t="shared" ca="1" si="28"/>
        <v>1</v>
      </c>
      <c r="F62" t="b">
        <f t="shared" ca="1" si="28"/>
        <v>1</v>
      </c>
      <c r="G62" t="b">
        <f t="shared" ca="1" si="28"/>
        <v>1</v>
      </c>
      <c r="H62" t="b">
        <f t="shared" ca="1" si="28"/>
        <v>1</v>
      </c>
      <c r="I62" t="b">
        <f t="shared" ref="I62" ca="1" si="29">IFERROR(AND(I61,I58),FALSE)</f>
        <v>1</v>
      </c>
      <c r="J62" t="b">
        <f t="shared" ref="J62" ca="1" si="30">IFERROR(AND(J61,J58),FALSE)</f>
        <v>1</v>
      </c>
    </row>
    <row r="64" spans="1:10">
      <c r="B64" t="s">
        <v>34</v>
      </c>
      <c r="C64" t="b">
        <f ca="1">IF(C41&gt;0,C44=0,C5&gt;0)</f>
        <v>0</v>
      </c>
      <c r="D64" t="b">
        <f t="shared" ref="D64:J64" ca="1" si="31">IF(D41&gt;0,D44=0,D5&gt;0)</f>
        <v>0</v>
      </c>
      <c r="E64" t="b">
        <f t="shared" ca="1" si="31"/>
        <v>0</v>
      </c>
      <c r="F64" t="b">
        <f t="shared" ca="1" si="31"/>
        <v>0</v>
      </c>
      <c r="G64" t="b">
        <f t="shared" ca="1" si="31"/>
        <v>0</v>
      </c>
      <c r="H64" t="b">
        <f t="shared" ca="1" si="31"/>
        <v>0</v>
      </c>
      <c r="I64" t="b">
        <f t="shared" ca="1" si="31"/>
        <v>0</v>
      </c>
      <c r="J64" t="b">
        <f t="shared" ca="1" si="31"/>
        <v>0</v>
      </c>
    </row>
    <row r="66" spans="2:10">
      <c r="B66" t="s">
        <v>35</v>
      </c>
      <c r="C66" t="b">
        <f ca="1">IFERROR(OR(C64,C62),FALSE)</f>
        <v>1</v>
      </c>
      <c r="D66" t="b">
        <f t="shared" ref="D66:H66" ca="1" si="32">IFERROR(OR(D64,D62),FALSE)</f>
        <v>1</v>
      </c>
      <c r="E66" t="b">
        <f t="shared" ca="1" si="32"/>
        <v>1</v>
      </c>
      <c r="F66" t="b">
        <f t="shared" ca="1" si="32"/>
        <v>1</v>
      </c>
      <c r="G66" t="b">
        <f t="shared" ca="1" si="32"/>
        <v>1</v>
      </c>
      <c r="H66" t="b">
        <f t="shared" ca="1" si="32"/>
        <v>1</v>
      </c>
      <c r="I66" t="b">
        <f t="shared" ref="I66:J66" ca="1" si="33">IFERROR(OR(I64,I62),FALSE)</f>
        <v>1</v>
      </c>
      <c r="J66" t="b">
        <f t="shared" ca="1" si="33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XL-Test</vt:lpstr>
      <vt:lpstr>About</vt:lpstr>
      <vt:lpstr>kode_jawaban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 setiadi</dc:creator>
  <cp:lastModifiedBy>Siti Rukoyah Al Munazalah</cp:lastModifiedBy>
  <dcterms:created xsi:type="dcterms:W3CDTF">2025-10-15T15:35:29Z</dcterms:created>
  <dcterms:modified xsi:type="dcterms:W3CDTF">2026-06-10T03:23:56Z</dcterms:modified>
</cp:coreProperties>
</file>