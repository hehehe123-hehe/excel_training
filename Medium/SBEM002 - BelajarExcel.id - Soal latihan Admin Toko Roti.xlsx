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Portofolio Project\Excel\Easy\"/>
    </mc:Choice>
  </mc:AlternateContent>
  <xr:revisionPtr revIDLastSave="0" documentId="13_ncr:1_{3970DE1B-9BE4-4F78-87C9-D516C34193D0}" xr6:coauthVersionLast="47" xr6:coauthVersionMax="47" xr10:uidLastSave="{00000000-0000-0000-0000-000000000000}"/>
  <workbookProtection workbookAlgorithmName="SHA-512" workbookHashValue="TE6Rin6M5OFqGPq5JpKOk+6kCjqDKcLjXhO1bARXPZ7YQR0Iw0O6RWuxP73PiighExHbEI/yjQaFfPj0tjimLA==" workbookSaltValue="4LtX34cvUjawYI3OwWxWoQ==" workbookSpinCount="100000" lockStructure="1"/>
  <bookViews>
    <workbookView xWindow="-120" yWindow="-120" windowWidth="20730" windowHeight="11760" xr2:uid="{00000000-000D-0000-FFFF-FFFF00000000}"/>
  </bookViews>
  <sheets>
    <sheet name="Case" sheetId="1" r:id="rId1"/>
    <sheet name="About" sheetId="4" r:id="rId2"/>
    <sheet name="DF" sheetId="3" state="veryHidden" r:id="rId3"/>
  </sheets>
  <definedNames>
    <definedName name="Kode_jawaban">DF!$C$60</definedName>
    <definedName name="saya" localSheetId="2">DF!$C$56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3" i="1" l="1"/>
  <c r="F64" i="1"/>
  <c r="F65" i="1"/>
  <c r="F62" i="1"/>
  <c r="E63" i="1"/>
  <c r="E64" i="1"/>
  <c r="E65" i="1"/>
  <c r="E62" i="1"/>
  <c r="D63" i="1"/>
  <c r="D64" i="1"/>
  <c r="D65" i="1"/>
  <c r="D62" i="1"/>
  <c r="L61" i="1"/>
  <c r="L60" i="1"/>
  <c r="L59" i="1"/>
  <c r="L58" i="1"/>
  <c r="L47" i="1"/>
  <c r="L48" i="1"/>
  <c r="L49" i="1"/>
  <c r="L50" i="1"/>
  <c r="L51" i="1"/>
  <c r="L52" i="1"/>
  <c r="L53" i="1"/>
  <c r="L54" i="1"/>
  <c r="L55" i="1"/>
  <c r="L56" i="1"/>
  <c r="L57" i="1"/>
  <c r="L46" i="1"/>
  <c r="K47" i="1"/>
  <c r="K48" i="1"/>
  <c r="K49" i="1"/>
  <c r="K50" i="1"/>
  <c r="K51" i="1"/>
  <c r="K52" i="1"/>
  <c r="K53" i="1"/>
  <c r="K54" i="1"/>
  <c r="K55" i="1"/>
  <c r="K56" i="1"/>
  <c r="K57" i="1"/>
  <c r="K46" i="1"/>
  <c r="J47" i="1" a="1"/>
  <c r="J48" i="1" a="1"/>
  <c r="J49" i="1" a="1"/>
  <c r="J49" i="1"/>
  <c r="J50" i="1" a="1"/>
  <c r="J51" i="1" a="1"/>
  <c r="J52" i="1" a="1"/>
  <c r="J52" i="1"/>
  <c r="J53" i="1" a="1"/>
  <c r="J54" i="1" a="1"/>
  <c r="J55" i="1" a="1"/>
  <c r="J56" i="1" a="1"/>
  <c r="J57" i="1" a="1"/>
  <c r="G47" i="1"/>
  <c r="G48" i="1"/>
  <c r="G49" i="1"/>
  <c r="G50" i="1"/>
  <c r="G51" i="1"/>
  <c r="G52" i="1"/>
  <c r="G53" i="1"/>
  <c r="G54" i="1"/>
  <c r="G55" i="1"/>
  <c r="G56" i="1"/>
  <c r="G57" i="1"/>
  <c r="E47" i="1"/>
  <c r="E48" i="1"/>
  <c r="E49" i="1"/>
  <c r="E50" i="1"/>
  <c r="E51" i="1"/>
  <c r="E52" i="1"/>
  <c r="E53" i="1"/>
  <c r="E54" i="1"/>
  <c r="E55" i="1"/>
  <c r="E56" i="1"/>
  <c r="E57" i="1"/>
  <c r="D48" i="1"/>
  <c r="D49" i="1"/>
  <c r="D50" i="1"/>
  <c r="D51" i="1"/>
  <c r="D52" i="1"/>
  <c r="D53" i="1"/>
  <c r="D54" i="1"/>
  <c r="D55" i="1"/>
  <c r="D56" i="1"/>
  <c r="D57" i="1"/>
  <c r="D47" i="1"/>
  <c r="J46" i="1" a="1"/>
  <c r="G46" i="1"/>
  <c r="E46" i="1"/>
  <c r="D46" i="1"/>
  <c r="H47" i="1"/>
  <c r="H48" i="1"/>
  <c r="H49" i="1"/>
  <c r="H50" i="1"/>
  <c r="H51" i="1"/>
  <c r="H52" i="1"/>
  <c r="H53" i="1"/>
  <c r="H54" i="1"/>
  <c r="H55" i="1"/>
  <c r="H56" i="1"/>
  <c r="H57" i="1"/>
  <c r="H46" i="1"/>
  <c r="I47" i="1" a="1"/>
  <c r="I48" i="1" a="1"/>
  <c r="I49" i="1" a="1"/>
  <c r="I49" i="1"/>
  <c r="I50" i="1" a="1"/>
  <c r="I51" i="1" a="1"/>
  <c r="I52" i="1" a="1"/>
  <c r="I53" i="1" a="1"/>
  <c r="I54" i="1" a="1"/>
  <c r="I55" i="1" a="1"/>
  <c r="I56" i="1" a="1"/>
  <c r="I57" i="1" a="1"/>
  <c r="I57" i="1"/>
  <c r="I46" i="1" a="1"/>
  <c r="G5" i="3"/>
  <c r="G13" i="3"/>
  <c r="K40" i="3"/>
  <c r="S43" i="3"/>
  <c r="T43" i="3"/>
  <c r="U43" i="3"/>
  <c r="R43" i="3"/>
  <c r="Y19" i="3"/>
  <c r="AA2" i="3"/>
  <c r="AB2" i="3"/>
  <c r="AA3" i="3"/>
  <c r="AB3" i="3"/>
  <c r="AA4" i="3"/>
  <c r="AB4" i="3"/>
  <c r="AA5" i="3"/>
  <c r="AB5" i="3"/>
  <c r="Z3" i="3"/>
  <c r="Z4" i="3"/>
  <c r="Z5" i="3"/>
  <c r="Z2" i="3"/>
  <c r="T2" i="3"/>
  <c r="U2" i="3"/>
  <c r="V2" i="3"/>
  <c r="W2" i="3"/>
  <c r="X2" i="3"/>
  <c r="T3" i="3"/>
  <c r="U3" i="3"/>
  <c r="V3" i="3"/>
  <c r="W3" i="3"/>
  <c r="X3" i="3"/>
  <c r="T4" i="3"/>
  <c r="U4" i="3"/>
  <c r="V4" i="3"/>
  <c r="W4" i="3"/>
  <c r="X4" i="3"/>
  <c r="T5" i="3"/>
  <c r="U5" i="3"/>
  <c r="V5" i="3"/>
  <c r="W5" i="3"/>
  <c r="X5" i="3"/>
  <c r="T6" i="3"/>
  <c r="U6" i="3"/>
  <c r="V6" i="3"/>
  <c r="W6" i="3"/>
  <c r="X6" i="3"/>
  <c r="T7" i="3"/>
  <c r="U7" i="3"/>
  <c r="V7" i="3"/>
  <c r="W7" i="3"/>
  <c r="X7" i="3"/>
  <c r="T8" i="3"/>
  <c r="U8" i="3"/>
  <c r="V8" i="3"/>
  <c r="W8" i="3"/>
  <c r="X8" i="3"/>
  <c r="T9" i="3"/>
  <c r="U9" i="3"/>
  <c r="V9" i="3"/>
  <c r="W9" i="3"/>
  <c r="X9" i="3"/>
  <c r="T10" i="3"/>
  <c r="U10" i="3"/>
  <c r="V10" i="3"/>
  <c r="W10" i="3"/>
  <c r="X10" i="3"/>
  <c r="T11" i="3"/>
  <c r="U11" i="3"/>
  <c r="V11" i="3"/>
  <c r="W11" i="3"/>
  <c r="X11" i="3"/>
  <c r="T12" i="3"/>
  <c r="U12" i="3"/>
  <c r="V12" i="3"/>
  <c r="W12" i="3"/>
  <c r="X12" i="3"/>
  <c r="T13" i="3"/>
  <c r="U13" i="3"/>
  <c r="V13" i="3"/>
  <c r="W13" i="3"/>
  <c r="X13" i="3"/>
  <c r="R2" i="3"/>
  <c r="S2" i="3"/>
  <c r="R3" i="3"/>
  <c r="S3" i="3"/>
  <c r="R4" i="3"/>
  <c r="S4" i="3"/>
  <c r="R5" i="3"/>
  <c r="S5" i="3"/>
  <c r="R6" i="3"/>
  <c r="S6" i="3"/>
  <c r="R7" i="3"/>
  <c r="S7" i="3"/>
  <c r="R8" i="3"/>
  <c r="S8" i="3"/>
  <c r="R9" i="3"/>
  <c r="S9" i="3"/>
  <c r="R10" i="3"/>
  <c r="S10" i="3"/>
  <c r="R11" i="3"/>
  <c r="S11" i="3"/>
  <c r="R12" i="3"/>
  <c r="S12" i="3"/>
  <c r="R13" i="3"/>
  <c r="S13" i="3"/>
  <c r="Q3" i="3"/>
  <c r="Q4" i="3"/>
  <c r="Q5" i="3"/>
  <c r="Q6" i="3"/>
  <c r="Q7" i="3"/>
  <c r="Q8" i="3"/>
  <c r="Q9" i="3"/>
  <c r="Q10" i="3"/>
  <c r="Q11" i="3"/>
  <c r="Q12" i="3"/>
  <c r="Q13" i="3"/>
  <c r="Q2" i="3"/>
  <c r="AB28" i="3"/>
  <c r="AC28" i="3"/>
  <c r="AA28" i="3"/>
  <c r="L46" i="3" s="1"/>
  <c r="L48" i="3" s="1"/>
  <c r="S28" i="3"/>
  <c r="T28" i="3"/>
  <c r="U28" i="3"/>
  <c r="V28" i="3"/>
  <c r="W28" i="3"/>
  <c r="X28" i="3"/>
  <c r="Y28" i="3"/>
  <c r="J46" i="3" s="1"/>
  <c r="J48" i="3" s="1"/>
  <c r="R38" i="3"/>
  <c r="R39" i="3"/>
  <c r="R37" i="3"/>
  <c r="R29" i="3"/>
  <c r="R30" i="3"/>
  <c r="R31" i="3"/>
  <c r="R32" i="3"/>
  <c r="R33" i="3"/>
  <c r="R34" i="3"/>
  <c r="R35" i="3"/>
  <c r="R28" i="3"/>
  <c r="C46" i="3" s="1"/>
  <c r="C48" i="3" s="1"/>
  <c r="D35" i="3"/>
  <c r="E35" i="3"/>
  <c r="F35" i="3"/>
  <c r="G35" i="3"/>
  <c r="H35" i="3"/>
  <c r="I35" i="3"/>
  <c r="J35" i="3"/>
  <c r="K35" i="3"/>
  <c r="L35" i="3"/>
  <c r="M35" i="3"/>
  <c r="N35" i="3"/>
  <c r="C35" i="3"/>
  <c r="N34" i="3"/>
  <c r="M34" i="3"/>
  <c r="L34" i="3"/>
  <c r="K34" i="3"/>
  <c r="J34" i="3"/>
  <c r="I34" i="3"/>
  <c r="H34" i="3"/>
  <c r="G34" i="3"/>
  <c r="F34" i="3"/>
  <c r="E34" i="3"/>
  <c r="D34" i="3"/>
  <c r="C34" i="3"/>
  <c r="E4" i="3"/>
  <c r="E7" i="3"/>
  <c r="E13" i="3"/>
  <c r="C13" i="3"/>
  <c r="C27" i="3" s="1"/>
  <c r="C12" i="3"/>
  <c r="C26" i="3" s="1"/>
  <c r="C11" i="3"/>
  <c r="C25" i="3" s="1"/>
  <c r="C10" i="3"/>
  <c r="C24" i="3" s="1"/>
  <c r="C8" i="3"/>
  <c r="C22" i="3" s="1"/>
  <c r="C7" i="3"/>
  <c r="C21" i="3" s="1"/>
  <c r="C6" i="3"/>
  <c r="C20" i="3" s="1"/>
  <c r="C5" i="3"/>
  <c r="C19" i="3" s="1"/>
  <c r="C3" i="3"/>
  <c r="C17" i="3" s="1"/>
  <c r="C2" i="3"/>
  <c r="D3" i="3"/>
  <c r="D4" i="3"/>
  <c r="D5" i="3"/>
  <c r="M5" i="3" l="1"/>
  <c r="AA17" i="3" s="1"/>
  <c r="M2" i="3"/>
  <c r="J53" i="1"/>
  <c r="J55" i="1"/>
  <c r="J57" i="1"/>
  <c r="J47" i="1"/>
  <c r="J54" i="1"/>
  <c r="J48" i="1"/>
  <c r="J50" i="1"/>
  <c r="J51" i="1"/>
  <c r="J56" i="1"/>
  <c r="J46" i="1"/>
  <c r="C9" i="3" s="1"/>
  <c r="C23" i="3" s="1"/>
  <c r="C4" i="3"/>
  <c r="C18" i="3" s="1"/>
  <c r="I51" i="1"/>
  <c r="G7" i="3" s="1"/>
  <c r="I54" i="1"/>
  <c r="G10" i="3" s="1"/>
  <c r="I47" i="1"/>
  <c r="G3" i="3" s="1"/>
  <c r="I50" i="1"/>
  <c r="G6" i="3" s="1"/>
  <c r="I52" i="1"/>
  <c r="G8" i="3" s="1"/>
  <c r="I56" i="1"/>
  <c r="G12" i="3" s="1"/>
  <c r="I48" i="1"/>
  <c r="G4" i="3" s="1"/>
  <c r="I53" i="1"/>
  <c r="G9" i="3" s="1"/>
  <c r="I55" i="1"/>
  <c r="G11" i="3" s="1"/>
  <c r="I46" i="1"/>
  <c r="G2" i="3" s="1"/>
  <c r="M39" i="3"/>
  <c r="G17" i="3"/>
  <c r="G18" i="3"/>
  <c r="I5" i="3"/>
  <c r="G19" i="3"/>
  <c r="I6" i="3"/>
  <c r="W17" i="3" s="1"/>
  <c r="G21" i="3"/>
  <c r="G22" i="3"/>
  <c r="G23" i="3"/>
  <c r="G24" i="3"/>
  <c r="G25" i="3"/>
  <c r="G26" i="3"/>
  <c r="G27" i="3"/>
  <c r="I3" i="3"/>
  <c r="F3" i="3"/>
  <c r="F17" i="3" s="1"/>
  <c r="F4" i="3"/>
  <c r="F18" i="3" s="1"/>
  <c r="I4" i="3"/>
  <c r="F5" i="3"/>
  <c r="F19" i="3" s="1"/>
  <c r="F6" i="3"/>
  <c r="F7" i="3"/>
  <c r="F21" i="3" s="1"/>
  <c r="I7" i="3"/>
  <c r="F8" i="3"/>
  <c r="F22" i="3" s="1"/>
  <c r="I8" i="3"/>
  <c r="F9" i="3"/>
  <c r="F23" i="3" s="1"/>
  <c r="I9" i="3"/>
  <c r="F10" i="3"/>
  <c r="F24" i="3" s="1"/>
  <c r="I10" i="3"/>
  <c r="I11" i="3"/>
  <c r="F11" i="3"/>
  <c r="F25" i="3" s="1"/>
  <c r="I12" i="3"/>
  <c r="F12" i="3"/>
  <c r="F26" i="3" s="1"/>
  <c r="F13" i="3"/>
  <c r="F27" i="3" s="1"/>
  <c r="I13" i="3"/>
  <c r="M4" i="3"/>
  <c r="M3" i="3"/>
  <c r="I2" i="3"/>
  <c r="F2" i="3"/>
  <c r="E3" i="3"/>
  <c r="L3" i="3"/>
  <c r="E5" i="3"/>
  <c r="L4" i="3"/>
  <c r="D6" i="3"/>
  <c r="R17" i="3" s="1"/>
  <c r="D8" i="3"/>
  <c r="E8" i="3"/>
  <c r="D9" i="3"/>
  <c r="E9" i="3"/>
  <c r="D10" i="3"/>
  <c r="E10" i="3"/>
  <c r="D11" i="3"/>
  <c r="E11" i="3"/>
  <c r="D12" i="3"/>
  <c r="E12" i="3"/>
  <c r="E2" i="3"/>
  <c r="L2" i="3"/>
  <c r="C16" i="3"/>
  <c r="C39" i="3"/>
  <c r="S46" i="3"/>
  <c r="S47" i="3"/>
  <c r="S49" i="3" s="1"/>
  <c r="T46" i="3"/>
  <c r="T47" i="3"/>
  <c r="T49" i="3" s="1"/>
  <c r="U46" i="3"/>
  <c r="U47" i="3"/>
  <c r="U49" i="3" s="1"/>
  <c r="R46" i="3"/>
  <c r="R47" i="3"/>
  <c r="R49" i="3" s="1"/>
  <c r="N45" i="3"/>
  <c r="N46" i="3"/>
  <c r="N48" i="3" s="1"/>
  <c r="M45" i="3"/>
  <c r="M46" i="3"/>
  <c r="M48" i="3" s="1"/>
  <c r="D45" i="3"/>
  <c r="D46" i="3"/>
  <c r="D48" i="3" s="1"/>
  <c r="E45" i="3"/>
  <c r="E46" i="3"/>
  <c r="E48" i="3" s="1"/>
  <c r="F45" i="3"/>
  <c r="F46" i="3"/>
  <c r="F48" i="3" s="1"/>
  <c r="G45" i="3"/>
  <c r="G46" i="3"/>
  <c r="G48" i="3" s="1"/>
  <c r="H45" i="3"/>
  <c r="H46" i="3"/>
  <c r="H48" i="3" s="1"/>
  <c r="I45" i="3"/>
  <c r="I46" i="3"/>
  <c r="I48" i="3" s="1"/>
  <c r="C45" i="3"/>
  <c r="C50" i="3" s="1"/>
  <c r="N38" i="3"/>
  <c r="M38" i="3"/>
  <c r="L38" i="3"/>
  <c r="L45" i="3"/>
  <c r="L50" i="3" s="1"/>
  <c r="U45" i="3"/>
  <c r="T45" i="3"/>
  <c r="S45" i="3"/>
  <c r="R45" i="3"/>
  <c r="J38" i="3"/>
  <c r="J45" i="3"/>
  <c r="J50" i="3" s="1"/>
  <c r="I38" i="3"/>
  <c r="H38" i="3"/>
  <c r="G38" i="3"/>
  <c r="F38" i="3"/>
  <c r="E38" i="3"/>
  <c r="D38" i="3"/>
  <c r="C38" i="3"/>
  <c r="AB16" i="3"/>
  <c r="AA16" i="3"/>
  <c r="AA19" i="3" s="1"/>
  <c r="M40" i="3" s="1"/>
  <c r="Z16" i="3"/>
  <c r="T16" i="3"/>
  <c r="U16" i="3"/>
  <c r="V16" i="3"/>
  <c r="W16" i="3"/>
  <c r="X16" i="3"/>
  <c r="R16" i="3"/>
  <c r="S16" i="3"/>
  <c r="Q16" i="3"/>
  <c r="Q17" i="3"/>
  <c r="D7" i="3"/>
  <c r="D13" i="3"/>
  <c r="D2" i="3"/>
  <c r="M30" i="3" l="1"/>
  <c r="C30" i="3"/>
  <c r="M50" i="3"/>
  <c r="G50" i="3"/>
  <c r="N50" i="3"/>
  <c r="E50" i="3"/>
  <c r="K48" i="3"/>
  <c r="F50" i="3"/>
  <c r="H3" i="3"/>
  <c r="J4" i="3"/>
  <c r="H4" i="3"/>
  <c r="H5" i="3"/>
  <c r="H6" i="3"/>
  <c r="V17" i="3" s="1"/>
  <c r="V19" i="3" s="1"/>
  <c r="H40" i="3" s="1"/>
  <c r="J7" i="3"/>
  <c r="H7" i="3"/>
  <c r="J8" i="3"/>
  <c r="H8" i="3"/>
  <c r="J9" i="3"/>
  <c r="H9" i="3"/>
  <c r="J10" i="3"/>
  <c r="H10" i="3"/>
  <c r="J11" i="3"/>
  <c r="H11" i="3"/>
  <c r="J12" i="3"/>
  <c r="H12" i="3"/>
  <c r="J13" i="3"/>
  <c r="H13" i="3"/>
  <c r="H2" i="3"/>
  <c r="G16" i="3"/>
  <c r="G39" i="3"/>
  <c r="I30" i="3"/>
  <c r="I39" i="3"/>
  <c r="F16" i="3"/>
  <c r="F39" i="3"/>
  <c r="L5" i="3"/>
  <c r="E6" i="3"/>
  <c r="E39" i="3"/>
  <c r="L39" i="3"/>
  <c r="G20" i="3"/>
  <c r="U17" i="3"/>
  <c r="U19" i="3" s="1"/>
  <c r="G40" i="3" s="1"/>
  <c r="F20" i="3"/>
  <c r="T17" i="3"/>
  <c r="D39" i="3"/>
  <c r="D30" i="3"/>
  <c r="I50" i="3"/>
  <c r="D50" i="3"/>
  <c r="H50" i="3"/>
  <c r="K45" i="3"/>
  <c r="K38" i="3"/>
  <c r="M42" i="3"/>
  <c r="W19" i="3"/>
  <c r="I40" i="3" s="1"/>
  <c r="R19" i="3"/>
  <c r="D40" i="3" s="1"/>
  <c r="Q19" i="3"/>
  <c r="C40" i="3" s="1"/>
  <c r="C42" i="3" s="1"/>
  <c r="C53" i="3" s="1"/>
  <c r="I42" i="3" l="1"/>
  <c r="T19" i="3"/>
  <c r="F40" i="3" s="1"/>
  <c r="F30" i="3"/>
  <c r="G42" i="3"/>
  <c r="G30" i="3"/>
  <c r="G53" i="3" s="1"/>
  <c r="M53" i="3"/>
  <c r="K50" i="3"/>
  <c r="D42" i="3"/>
  <c r="D53" i="3" s="1"/>
  <c r="S17" i="3"/>
  <c r="S19" i="3" s="1"/>
  <c r="E40" i="3" s="1"/>
  <c r="E42" i="3" s="1"/>
  <c r="E30" i="3"/>
  <c r="N3" i="3"/>
  <c r="J3" i="3"/>
  <c r="N4" i="3"/>
  <c r="J5" i="3"/>
  <c r="N5" i="3"/>
  <c r="AB17" i="3" s="1"/>
  <c r="AB19" i="3" s="1"/>
  <c r="N40" i="3" s="1"/>
  <c r="J6" i="3"/>
  <c r="X17" i="3" s="1"/>
  <c r="X19" i="3" s="1"/>
  <c r="J40" i="3" s="1"/>
  <c r="N2" i="3"/>
  <c r="K5" i="3"/>
  <c r="J2" i="3"/>
  <c r="K3" i="3"/>
  <c r="K4" i="3"/>
  <c r="K2" i="3"/>
  <c r="H30" i="3"/>
  <c r="H39" i="3"/>
  <c r="H42" i="3" s="1"/>
  <c r="H53" i="3" s="1"/>
  <c r="Z17" i="3"/>
  <c r="Z19" i="3" s="1"/>
  <c r="L40" i="3" s="1"/>
  <c r="L42" i="3" s="1"/>
  <c r="L30" i="3"/>
  <c r="F42" i="3" l="1"/>
  <c r="F53" i="3" s="1"/>
  <c r="I53" i="3"/>
  <c r="E53" i="3"/>
  <c r="L53" i="3"/>
  <c r="N39" i="3"/>
  <c r="N42" i="3" s="1"/>
  <c r="N30" i="3"/>
  <c r="J30" i="3"/>
  <c r="J39" i="3"/>
  <c r="J42" i="3" s="1"/>
  <c r="J53" i="3" s="1"/>
  <c r="K30" i="3"/>
  <c r="K39" i="3"/>
  <c r="K42" i="3" s="1"/>
  <c r="N53" i="3" l="1"/>
  <c r="K53" i="3"/>
  <c r="C56" i="3" l="1"/>
  <c r="C58" i="3" s="1" a="1"/>
  <c r="C58" i="3" s="1"/>
  <c r="C60" i="3" s="1"/>
  <c r="G1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<sst xmlns="http://schemas.openxmlformats.org/spreadsheetml/2006/main" count="140" uniqueCount="117">
  <si>
    <t>NO</t>
  </si>
  <si>
    <t>NAMA PELANGGAN</t>
  </si>
  <si>
    <t>KODE</t>
  </si>
  <si>
    <t>VOUCHER</t>
  </si>
  <si>
    <t>GOLONGAN</t>
  </si>
  <si>
    <t>PEMBELI</t>
  </si>
  <si>
    <t>TANGGAL</t>
  </si>
  <si>
    <t>BELI</t>
  </si>
  <si>
    <t>LAMA TUKAR</t>
  </si>
  <si>
    <t>RASA</t>
  </si>
  <si>
    <t>JENIS ROTI</t>
  </si>
  <si>
    <t>HARGA ROTI</t>
  </si>
  <si>
    <t>DISKON</t>
  </si>
  <si>
    <t>TOTAL BAYAR</t>
  </si>
  <si>
    <t>Donny Donna</t>
  </si>
  <si>
    <t>Stella Meriana</t>
  </si>
  <si>
    <t>Wallace Firdaus</t>
  </si>
  <si>
    <t>Penny Hidayat</t>
  </si>
  <si>
    <t>Angela Mursyid</t>
  </si>
  <si>
    <t>Rubby Batubara</t>
  </si>
  <si>
    <t>Arie Sujadnorwanto</t>
  </si>
  <si>
    <t>Cristalia Muriah</t>
  </si>
  <si>
    <t>Jesica Iskandar</t>
  </si>
  <si>
    <t>Kawoko Hendrik</t>
  </si>
  <si>
    <t>Sinar Untari</t>
  </si>
  <si>
    <t>Jajat Nuhasyim</t>
  </si>
  <si>
    <t>REKAPITULASI RASA ROTI</t>
  </si>
  <si>
    <t>JUMLAH TOTAL BAYAR</t>
  </si>
  <si>
    <t>Keju</t>
  </si>
  <si>
    <t>Coklat</t>
  </si>
  <si>
    <t>Stroberi</t>
  </si>
  <si>
    <t>Susu</t>
  </si>
  <si>
    <t>TOTAL BAYAR TERTINGGI</t>
  </si>
  <si>
    <t>RATA-RATA TOTAL BAYAR</t>
  </si>
  <si>
    <t>TABEL 1. HARGA ROTI</t>
  </si>
  <si>
    <t>HARGA SATUAN</t>
  </si>
  <si>
    <t>TAWAR</t>
  </si>
  <si>
    <t>GANDUM</t>
  </si>
  <si>
    <t>BAKAR</t>
  </si>
  <si>
    <t>TABEL 2. RASA dan DISKON</t>
  </si>
  <si>
    <t>KODE VOUCHER</t>
  </si>
  <si>
    <t>JUMLAH TOTAL</t>
  </si>
  <si>
    <t>MAT/1/01/11/24</t>
  </si>
  <si>
    <t>UMG/2/04/11/24</t>
  </si>
  <si>
    <t>PEB/1/03/11/24</t>
  </si>
  <si>
    <t>MAT/3/09/11/24</t>
  </si>
  <si>
    <t>PEG/4/17/11/24</t>
  </si>
  <si>
    <t>UMG/2/12/11/24</t>
  </si>
  <si>
    <t>MAB/3/20/11/24</t>
  </si>
  <si>
    <t>MAG/1/13/11/24</t>
  </si>
  <si>
    <t>PET/4/10/11/24</t>
  </si>
  <si>
    <t>UMB/3/13/11/24</t>
  </si>
  <si>
    <t>UMT/1/17/11/24</t>
  </si>
  <si>
    <t>PEB/2/24/11/24</t>
  </si>
  <si>
    <t>Banyak Terjual</t>
  </si>
  <si>
    <t>SBEM002</t>
  </si>
  <si>
    <t>Isi Tanggal VOUCHER berdasarkan Kode VOUCHER dari Hurup ke 7 sampai hurup Akhir</t>
  </si>
  <si>
    <t>Isi Lama Tukar VOUCHER dari tanggal VOUCHER hingga VOUCHER tersebut di digunakan (Beli)</t>
  </si>
  <si>
    <t>Isi Rasa Berdasarkan KODE VOUCHER hurup ke 5, dari tabel acuan Table.2</t>
  </si>
  <si>
    <t>Isi Harga Roti sesuai dengan Table.1</t>
  </si>
  <si>
    <t>Isi Diskon sesuai dengan Table.2 diskon didapatkan dari Harga Roti</t>
  </si>
  <si>
    <t>Isi Total Bayar dari Harga roti dikurangi Diskon</t>
  </si>
  <si>
    <t>Isi Jumlah Total, Total Bayar Tertingi, Terendah dan juga Total Bayar Rata-rata</t>
  </si>
  <si>
    <t>TOTAL BAYAR TERENDAH</t>
  </si>
  <si>
    <t>Isi rata-rata lama penggunaan Voucher Berdasarkan rasa roti</t>
  </si>
  <si>
    <t>Isi Jumlah Total bayar sesuai dengan rasa roti</t>
  </si>
  <si>
    <t>Isi banyak roti terjual berdasarkan rasa roti</t>
  </si>
  <si>
    <t>KODE SOAL</t>
  </si>
  <si>
    <t>KODE JAWABAN</t>
  </si>
  <si>
    <t>Intruksi</t>
  </si>
  <si>
    <t>Soal  :</t>
  </si>
  <si>
    <r>
      <rPr>
        <b/>
        <i/>
        <sz val="11"/>
        <color rgb="FF0070C0"/>
        <rFont val="Calibri"/>
        <family val="2"/>
        <scheme val="minor"/>
      </rPr>
      <t>Sudah selesai mengerjakan?</t>
    </r>
    <r>
      <rPr>
        <i/>
        <sz val="11"/>
        <color rgb="FF0070C0"/>
        <rFont val="Calibri"/>
        <family val="2"/>
        <scheme val="minor"/>
      </rPr>
      <t xml:space="preserve"> kirim </t>
    </r>
    <r>
      <rPr>
        <b/>
        <i/>
        <sz val="11"/>
        <color rgb="FF0070C0"/>
        <rFont val="Calibri"/>
        <family val="2"/>
        <scheme val="minor"/>
      </rPr>
      <t>Kode Soal</t>
    </r>
    <r>
      <rPr>
        <i/>
        <sz val="11"/>
        <color rgb="FF0070C0"/>
        <rFont val="Calibri"/>
        <family val="2"/>
        <scheme val="minor"/>
      </rPr>
      <t xml:space="preserve"> dan </t>
    </r>
    <r>
      <rPr>
        <b/>
        <i/>
        <sz val="11"/>
        <color rgb="FF0070C0"/>
        <rFont val="Calibri"/>
        <family val="2"/>
        <scheme val="minor"/>
      </rPr>
      <t>Kode Jawaban</t>
    </r>
    <r>
      <rPr>
        <i/>
        <sz val="11"/>
        <color rgb="FF0070C0"/>
        <rFont val="Calibri"/>
        <family val="2"/>
        <scheme val="minor"/>
      </rPr>
      <t xml:space="preserve"> diatas ke alamat :  </t>
    </r>
    <r>
      <rPr>
        <b/>
        <i/>
        <sz val="11"/>
        <color rgb="FF0070C0"/>
        <rFont val="Calibri"/>
        <family val="2"/>
        <scheme val="minor"/>
      </rPr>
      <t>https://belajarexcel.id/xl-test/jawaban</t>
    </r>
    <r>
      <rPr>
        <i/>
        <sz val="11"/>
        <color rgb="FF0070C0"/>
        <rFont val="Calibri"/>
        <family val="2"/>
        <scheme val="minor"/>
      </rPr>
      <t xml:space="preserve">  untuk mengecek hasilnya</t>
    </r>
  </si>
  <si>
    <t>atau klik tombol disamping</t>
  </si>
  <si>
    <r>
      <rPr>
        <b/>
        <sz val="12"/>
        <color rgb="FF00B050"/>
        <rFont val="Calibri"/>
        <family val="2"/>
        <scheme val="minor"/>
      </rPr>
      <t>Medium Level</t>
    </r>
    <r>
      <rPr>
        <b/>
        <sz val="12"/>
        <color theme="1"/>
        <rFont val="Calibri"/>
        <family val="2"/>
        <scheme val="minor"/>
      </rPr>
      <t xml:space="preserve"> - Latihan Soal Excel Admin Toko Roti</t>
    </r>
  </si>
  <si>
    <t>Rata-rata lama Voucher</t>
  </si>
  <si>
    <t>Gunakan Fungsi Excel (Function) untuk menyelsaikan kasus dibawah ini, tidak disarankan menggunakan cara manual</t>
  </si>
  <si>
    <r>
      <t xml:space="preserve">Isi kolom pembeli dengan MA= </t>
    </r>
    <r>
      <rPr>
        <b/>
        <sz val="11"/>
        <color rgb="FF00B050"/>
        <rFont val="Calibri"/>
        <family val="2"/>
        <scheme val="minor"/>
      </rPr>
      <t>Mahasisw</t>
    </r>
    <r>
      <rPr>
        <sz val="11"/>
        <color theme="1"/>
        <rFont val="Calibri"/>
        <family val="2"/>
        <charset val="1"/>
        <scheme val="minor"/>
      </rPr>
      <t>a, UM=</t>
    </r>
    <r>
      <rPr>
        <b/>
        <sz val="11"/>
        <color rgb="FF00B050"/>
        <rFont val="Calibri"/>
        <family val="2"/>
        <scheme val="minor"/>
      </rPr>
      <t>Umum</t>
    </r>
    <r>
      <rPr>
        <sz val="11"/>
        <color theme="1"/>
        <rFont val="Calibri"/>
        <family val="2"/>
        <charset val="1"/>
        <scheme val="minor"/>
      </rPr>
      <t xml:space="preserve"> atau PE=</t>
    </r>
    <r>
      <rPr>
        <b/>
        <sz val="11"/>
        <color rgb="FF00B050"/>
        <rFont val="Calibri"/>
        <family val="2"/>
        <scheme val="minor"/>
      </rPr>
      <t>Pelajar</t>
    </r>
    <r>
      <rPr>
        <sz val="11"/>
        <color theme="1"/>
        <rFont val="Calibri"/>
        <family val="2"/>
        <charset val="1"/>
        <scheme val="minor"/>
      </rPr>
      <t xml:space="preserve"> Berdasarkan Kode VOUCHER Hurup 1 dan 2</t>
    </r>
  </si>
  <si>
    <t>Dilarang mengubah Table atau Menambah Table Baru atau Menambah Kolom Bantuan !!, Gunakan Table seperti yang sudah di sediakan soal.</t>
  </si>
  <si>
    <t>DF</t>
  </si>
  <si>
    <t>Rand</t>
  </si>
  <si>
    <t>Cek Manual</t>
  </si>
  <si>
    <t>Cek Kosong</t>
  </si>
  <si>
    <t>Cek Drag</t>
  </si>
  <si>
    <t>Final Hasil</t>
  </si>
  <si>
    <t>Cek Formula</t>
  </si>
  <si>
    <t>Cek kurung</t>
  </si>
  <si>
    <t>xx</t>
  </si>
  <si>
    <t>Final Rumus</t>
  </si>
  <si>
    <t>sa</t>
  </si>
  <si>
    <t>ya</t>
  </si>
  <si>
    <t>XL-TEST adalah platform inovatif yang menyediakan latihan Excel interaktif dengan pemeriksaan otomatis,</t>
  </si>
  <si>
    <t>sehingga pengguna dapat langsung mengetahui jawaban yang benar maupun salah.</t>
  </si>
  <si>
    <t>Terdapat 5 Level soal :</t>
  </si>
  <si>
    <t xml:space="preserve">Easy Level  </t>
  </si>
  <si>
    <t>(⭐)</t>
  </si>
  <si>
    <t xml:space="preserve">Medium Level        </t>
  </si>
  <si>
    <t>(⭐⭐)</t>
  </si>
  <si>
    <t xml:space="preserve">Hard Level </t>
  </si>
  <si>
    <t>(⭐⭐⭐)</t>
  </si>
  <si>
    <t xml:space="preserve">Extreme Level </t>
  </si>
  <si>
    <t>(⭐⭐⭐⭐)</t>
  </si>
  <si>
    <t xml:space="preserve">Championship Level </t>
  </si>
  <si>
    <t>(⭐⭐⭐⭐⭐)</t>
  </si>
  <si>
    <t>Saya adalah seorang Excel Holic yang percaya bahwa setiap angka memiliki cerita yang bisa ditemukan dengan cara yang tepat.</t>
  </si>
  <si>
    <t>Free Access</t>
  </si>
  <si>
    <t>“Excel bukan cuma soal kerjaan tapi juga hobi yang aku nikmati.”</t>
  </si>
  <si>
    <t>https://belajarexcel.id/xl-test/</t>
  </si>
  <si>
    <t>Contact :</t>
  </si>
  <si>
    <t>🌐 Web</t>
  </si>
  <si>
    <t>https://setiadi.me</t>
  </si>
  <si>
    <t>🪡threads</t>
  </si>
  <si>
    <t>https://www.threads.com/@andisetiadi</t>
  </si>
  <si>
    <t>Perlu Video Penjelasan atau Kunci Jawaban ?</t>
  </si>
  <si>
    <t>Scan barcode atau kunjungi</t>
  </si>
  <si>
    <t>https://lynk.id/setiadi/page/jawaban-xl-test</t>
  </si>
  <si>
    <t>Isi Jenis Roti Berdasarkan KODE VOUCHER hurup ke 3, Jika T = Tawar, G = Gandum dan B = Bakar</t>
  </si>
  <si>
    <t>MB2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</si>
</sst>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General\ &quot;Hari&quot;"/>
    <numFmt numFmtId="167" formatCode="_-[$Rp-421]* #,##0_-;\-[$Rp-421]* #,##0_-;_-[$Rp-421]* &quot;-&quot;_-;_-@_-"/>
    <numFmt numFmtId="168" formatCode="0.0\ &quot;Hari&quot;"/>
    <numFmt numFmtId="169" formatCode="#,##0;\(#,##0\);\-"/>
    <numFmt numFmtId="170" formatCode="[$-409]d\-mmm\-yyyy;@"/>
  </numFmts>
  <fonts count="37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ROBOTECH GP"/>
      <family val="2"/>
    </font>
    <font>
      <b/>
      <sz val="14"/>
      <color theme="0"/>
      <name val="Roboto"/>
    </font>
    <font>
      <b/>
      <sz val="18"/>
      <color theme="0"/>
      <name val="Roboto"/>
    </font>
    <font>
      <b/>
      <sz val="18"/>
      <color theme="0"/>
      <name val="ROBOTECH GP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B050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i/>
      <sz val="9"/>
      <color theme="4" tint="-0.249977111117893"/>
      <name val="Calibri"/>
      <family val="2"/>
      <scheme val="minor"/>
    </font>
    <font>
      <i/>
      <sz val="11"/>
      <color rgb="FF0070C0"/>
      <name val="Calibri"/>
      <family val="2"/>
      <scheme val="minor"/>
    </font>
    <font>
      <b/>
      <sz val="12"/>
      <color theme="0"/>
      <name val="Roboto"/>
    </font>
    <font>
      <b/>
      <sz val="11"/>
      <color rgb="FF00B050"/>
      <name val="Calibri"/>
      <family val="2"/>
      <scheme val="minor"/>
    </font>
    <font>
      <b/>
      <sz val="11"/>
      <color theme="0"/>
      <name val="ROBOTECH GP"/>
      <family val="2"/>
    </font>
    <font>
      <b/>
      <sz val="11"/>
      <color theme="3" tint="0.249977111117893"/>
      <name val="Calibri"/>
      <family val="2"/>
      <scheme val="minor"/>
    </font>
    <font>
      <sz val="10"/>
      <color rgb="FF0070C0"/>
      <name val="Calibri"/>
      <family val="2"/>
      <scheme val="minor"/>
    </font>
    <font>
      <sz val="9"/>
      <color rgb="FF0070C0"/>
      <name val="Calibri"/>
      <family val="2"/>
      <scheme val="minor"/>
    </font>
    <font>
      <sz val="10"/>
      <color rgb="FF3D3D4E"/>
      <name val="Arial"/>
      <family val="2"/>
    </font>
    <font>
      <b/>
      <sz val="10"/>
      <color rgb="FF1D1F45"/>
      <name val="Arial"/>
      <family val="2"/>
    </font>
    <font>
      <sz val="10"/>
      <color rgb="FF1D1F45"/>
      <name val="Arial"/>
      <family val="2"/>
    </font>
    <font>
      <u/>
      <sz val="11"/>
      <color theme="10"/>
      <name val="Calibri"/>
      <family val="2"/>
      <scheme val="minor"/>
    </font>
    <font>
      <sz val="11"/>
      <color theme="4" tint="0.39997558519241921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gradientFill>
        <stop position="0">
          <color rgb="FF0A9085"/>
        </stop>
        <stop position="1">
          <color rgb="FF020024"/>
        </stop>
      </gradientFill>
    </fill>
    <fill>
      <patternFill patternType="solid">
        <fgColor rgb="FF0A90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/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0" fontId="2" fillId="0" borderId="0"/>
    <xf numFmtId="0" fontId="32" fillId="0" borderId="0" applyNumberFormat="0" applyFill="0" applyBorder="0" applyAlignment="0" applyProtection="0"/>
  </cellStyleXfs>
  <cellXfs count="9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64" fontId="0" fillId="0" borderId="1" xfId="1" applyNumberFormat="1" applyFont="1" applyBorder="1"/>
    <xf numFmtId="9" fontId="0" fillId="0" borderId="1" xfId="0" applyNumberFormat="1" applyBorder="1"/>
    <xf numFmtId="165" fontId="0" fillId="0" borderId="1" xfId="0" applyNumberFormat="1" applyBorder="1"/>
    <xf numFmtId="0" fontId="0" fillId="3" borderId="2" xfId="0" applyFill="1" applyBorder="1" applyAlignment="1">
      <alignment horizontal="center" vertical="center"/>
    </xf>
    <xf numFmtId="0" fontId="0" fillId="3" borderId="2" xfId="0" applyFill="1" applyBorder="1"/>
    <xf numFmtId="166" fontId="0" fillId="4" borderId="2" xfId="0" applyNumberFormat="1" applyFill="1" applyBorder="1" applyAlignment="1">
      <alignment horizontal="center"/>
    </xf>
    <xf numFmtId="167" fontId="0" fillId="4" borderId="2" xfId="1" applyNumberFormat="1" applyFont="1" applyFill="1" applyBorder="1"/>
    <xf numFmtId="167" fontId="0" fillId="4" borderId="2" xfId="0" applyNumberFormat="1" applyFill="1" applyBorder="1"/>
    <xf numFmtId="0" fontId="0" fillId="6" borderId="2" xfId="0" applyFill="1" applyBorder="1" applyAlignment="1">
      <alignment horizontal="center"/>
    </xf>
    <xf numFmtId="0" fontId="0" fillId="7" borderId="2" xfId="0" applyFill="1" applyBorder="1"/>
    <xf numFmtId="168" fontId="0" fillId="7" borderId="2" xfId="0" applyNumberFormat="1" applyFill="1" applyBorder="1"/>
    <xf numFmtId="167" fontId="0" fillId="7" borderId="2" xfId="0" applyNumberFormat="1" applyFill="1" applyBorder="1"/>
    <xf numFmtId="0" fontId="0" fillId="4" borderId="2" xfId="0" applyFill="1" applyBorder="1" applyAlignment="1">
      <alignment horizontal="left" indent="1"/>
    </xf>
    <xf numFmtId="0" fontId="7" fillId="0" borderId="0" xfId="0" applyFont="1"/>
    <xf numFmtId="169" fontId="11" fillId="9" borderId="0" xfId="0" applyNumberFormat="1" applyFont="1" applyFill="1" applyAlignment="1">
      <alignment horizontal="center" vertical="center"/>
    </xf>
    <xf numFmtId="169" fontId="11" fillId="9" borderId="4" xfId="0" applyNumberFormat="1" applyFont="1" applyFill="1" applyBorder="1" applyAlignment="1">
      <alignment horizontal="left" vertical="center"/>
    </xf>
    <xf numFmtId="169" fontId="12" fillId="9" borderId="0" xfId="0" applyNumberFormat="1" applyFont="1" applyFill="1" applyAlignment="1">
      <alignment horizontal="left" vertical="center"/>
    </xf>
    <xf numFmtId="0" fontId="14" fillId="10" borderId="8" xfId="0" applyFont="1" applyFill="1" applyBorder="1" applyAlignment="1">
      <alignment vertical="top" wrapText="1"/>
    </xf>
    <xf numFmtId="0" fontId="14" fillId="10" borderId="0" xfId="0" applyFont="1" applyFill="1" applyAlignment="1">
      <alignment vertical="top" wrapText="1"/>
    </xf>
    <xf numFmtId="0" fontId="0" fillId="10" borderId="0" xfId="0" applyFill="1"/>
    <xf numFmtId="0" fontId="14" fillId="10" borderId="9" xfId="0" applyFont="1" applyFill="1" applyBorder="1" applyAlignment="1">
      <alignment vertical="top" wrapText="1"/>
    </xf>
    <xf numFmtId="0" fontId="15" fillId="10" borderId="0" xfId="0" applyFont="1" applyFill="1" applyAlignment="1">
      <alignment horizontal="left" vertical="top"/>
    </xf>
    <xf numFmtId="0" fontId="15" fillId="10" borderId="0" xfId="0" applyFont="1" applyFill="1" applyAlignment="1">
      <alignment vertical="top"/>
    </xf>
    <xf numFmtId="0" fontId="17" fillId="10" borderId="0" xfId="0" applyFont="1" applyFill="1" applyAlignment="1">
      <alignment horizontal="center" vertical="top" wrapText="1"/>
    </xf>
    <xf numFmtId="0" fontId="18" fillId="10" borderId="0" xfId="0" applyFont="1" applyFill="1" applyAlignment="1">
      <alignment horizontal="right"/>
    </xf>
    <xf numFmtId="0" fontId="19" fillId="10" borderId="0" xfId="0" applyFont="1" applyFill="1" applyAlignment="1">
      <alignment vertical="top"/>
    </xf>
    <xf numFmtId="0" fontId="21" fillId="10" borderId="0" xfId="0" applyFont="1" applyFill="1" applyAlignment="1">
      <alignment wrapText="1"/>
    </xf>
    <xf numFmtId="0" fontId="21" fillId="10" borderId="9" xfId="0" applyFont="1" applyFill="1" applyBorder="1" applyAlignment="1">
      <alignment wrapText="1"/>
    </xf>
    <xf numFmtId="0" fontId="21" fillId="0" borderId="0" xfId="0" applyFont="1" applyAlignment="1">
      <alignment wrapText="1"/>
    </xf>
    <xf numFmtId="0" fontId="8" fillId="10" borderId="0" xfId="0" applyFont="1" applyFill="1"/>
    <xf numFmtId="0" fontId="8" fillId="10" borderId="0" xfId="0" applyFont="1" applyFill="1" applyAlignment="1">
      <alignment horizontal="center" vertical="center"/>
    </xf>
    <xf numFmtId="0" fontId="22" fillId="10" borderId="0" xfId="0" applyFont="1" applyFill="1"/>
    <xf numFmtId="0" fontId="5" fillId="11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left" indent="2"/>
    </xf>
    <xf numFmtId="169" fontId="23" fillId="9" borderId="12" xfId="0" applyNumberFormat="1" applyFont="1" applyFill="1" applyBorder="1" applyAlignment="1">
      <alignment horizontal="center" vertical="center"/>
    </xf>
    <xf numFmtId="169" fontId="23" fillId="9" borderId="13" xfId="0" applyNumberFormat="1" applyFont="1" applyFill="1" applyBorder="1" applyAlignment="1">
      <alignment horizontal="center" vertical="center"/>
    </xf>
    <xf numFmtId="170" fontId="0" fillId="3" borderId="2" xfId="0" applyNumberFormat="1" applyFill="1" applyBorder="1" applyAlignment="1">
      <alignment horizontal="right" indent="1"/>
    </xf>
    <xf numFmtId="0" fontId="2" fillId="0" borderId="0" xfId="2"/>
    <xf numFmtId="0" fontId="2" fillId="0" borderId="2" xfId="2" applyBorder="1"/>
    <xf numFmtId="0" fontId="2" fillId="0" borderId="14" xfId="2" applyBorder="1"/>
    <xf numFmtId="0" fontId="2" fillId="0" borderId="15" xfId="2" applyBorder="1"/>
    <xf numFmtId="0" fontId="26" fillId="0" borderId="2" xfId="2" applyFont="1" applyBorder="1"/>
    <xf numFmtId="0" fontId="28" fillId="0" borderId="2" xfId="2" applyFont="1" applyBorder="1" applyAlignment="1">
      <alignment horizontal="left"/>
    </xf>
    <xf numFmtId="0" fontId="28" fillId="0" borderId="2" xfId="2" applyFont="1" applyBorder="1"/>
    <xf numFmtId="0" fontId="29" fillId="0" borderId="14" xfId="2" applyFont="1" applyBorder="1" applyAlignment="1">
      <alignment horizontal="left" vertical="top" wrapText="1"/>
    </xf>
    <xf numFmtId="0" fontId="31" fillId="0" borderId="14" xfId="2" applyFont="1" applyBorder="1" applyAlignment="1">
      <alignment horizontal="left" vertical="top" wrapText="1"/>
    </xf>
    <xf numFmtId="0" fontId="32" fillId="0" borderId="2" xfId="3" applyBorder="1" applyAlignment="1">
      <alignment vertical="top"/>
    </xf>
    <xf numFmtId="0" fontId="5" fillId="0" borderId="0" xfId="2" applyFont="1"/>
    <xf numFmtId="0" fontId="33" fillId="0" borderId="0" xfId="2" applyFont="1"/>
    <xf numFmtId="0" fontId="32" fillId="0" borderId="0" xfId="3"/>
    <xf numFmtId="0" fontId="33" fillId="0" borderId="0" xfId="2" quotePrefix="1" applyFont="1"/>
    <xf numFmtId="0" fontId="2" fillId="9" borderId="0" xfId="2" applyFill="1"/>
    <xf numFmtId="0" fontId="34" fillId="9" borderId="0" xfId="2" applyFont="1" applyFill="1"/>
    <xf numFmtId="0" fontId="9" fillId="9" borderId="0" xfId="2" applyFont="1" applyFill="1"/>
    <xf numFmtId="0" fontId="35" fillId="9" borderId="0" xfId="2" applyFont="1" applyFill="1"/>
    <xf numFmtId="0" fontId="36" fillId="9" borderId="0" xfId="3" applyFont="1" applyFill="1"/>
    <xf numFmtId="0" fontId="5" fillId="11" borderId="10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25" fillId="8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/>
    </xf>
    <xf numFmtId="0" fontId="13" fillId="8" borderId="6" xfId="0" applyFont="1" applyFill="1" applyBorder="1" applyAlignment="1">
      <alignment horizontal="center" vertical="center"/>
    </xf>
    <xf numFmtId="0" fontId="13" fillId="8" borderId="7" xfId="0" applyFont="1" applyFill="1" applyBorder="1" applyAlignment="1">
      <alignment horizontal="center" vertical="center"/>
    </xf>
    <xf numFmtId="0" fontId="13" fillId="8" borderId="8" xfId="0" applyFont="1" applyFill="1" applyBorder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/>
    </xf>
    <xf numFmtId="0" fontId="5" fillId="11" borderId="1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wrapText="1"/>
    </xf>
    <xf numFmtId="0" fontId="6" fillId="5" borderId="11" xfId="0" applyFont="1" applyFill="1" applyBorder="1" applyAlignment="1">
      <alignment horizontal="center" wrapText="1"/>
    </xf>
    <xf numFmtId="0" fontId="28" fillId="0" borderId="2" xfId="2" applyFont="1" applyBorder="1" applyAlignment="1">
      <alignment horizontal="left"/>
    </xf>
    <xf numFmtId="0" fontId="27" fillId="0" borderId="2" xfId="2" applyFont="1" applyBorder="1" applyAlignment="1">
      <alignment horizontal="left"/>
    </xf>
    <xf numFmtId="0" fontId="29" fillId="0" borderId="0" xfId="2" applyFont="1" applyAlignment="1">
      <alignment horizontal="left" vertical="top" wrapText="1"/>
    </xf>
    <xf numFmtId="0" fontId="29" fillId="0" borderId="16" xfId="2" applyFont="1" applyBorder="1" applyAlignment="1">
      <alignment horizontal="left" vertical="top" wrapText="1"/>
    </xf>
    <xf numFmtId="0" fontId="30" fillId="0" borderId="0" xfId="2" applyFont="1" applyAlignment="1">
      <alignment horizontal="left" vertical="top" wrapText="1"/>
    </xf>
    <xf numFmtId="0" fontId="30" fillId="0" borderId="16" xfId="2" applyFont="1" applyBorder="1" applyAlignment="1">
      <alignment horizontal="left" vertical="top" wrapText="1"/>
    </xf>
    <xf numFmtId="0" fontId="25" fillId="8" borderId="8" xfId="2" applyFont="1" applyFill="1" applyBorder="1" applyAlignment="1">
      <alignment horizontal="center" vertical="center"/>
    </xf>
    <xf numFmtId="0" fontId="25" fillId="8" borderId="0" xfId="2" applyFont="1" applyFill="1" applyAlignment="1">
      <alignment horizontal="center" vertical="center"/>
    </xf>
    <xf numFmtId="0" fontId="0" fillId="3" borderId="17" xfId="0" applyFill="1" applyBorder="1" applyAlignment="1">
      <alignment horizontal="left" indent="2"/>
    </xf>
    <xf numFmtId="170" fontId="0" fillId="4" borderId="18" xfId="0" applyNumberFormat="1" applyFill="1" applyBorder="1"/>
    <xf numFmtId="0" fontId="1" fillId="4" borderId="2" xfId="0" applyFont="1" applyFill="1" applyBorder="1" applyAlignment="1">
      <alignment wrapText="1"/>
    </xf>
    <xf numFmtId="0" fontId="1" fillId="4" borderId="19" xfId="0" applyFont="1" applyFill="1" applyBorder="1" applyAlignment="1">
      <alignment wrapText="1"/>
    </xf>
    <xf numFmtId="0" fontId="1" fillId="4" borderId="11" xfId="0" applyFont="1" applyFill="1" applyBorder="1" applyAlignment="1">
      <alignment wrapText="1"/>
    </xf>
  </cellXfs>
  <cellStyles count="4">
    <cellStyle name="Comma" xfId="1" builtinId="3"/>
    <cellStyle name="Hyperlink 2" xfId="3" xr:uid="{68BBD2B9-DF76-49EF-8577-8B87005A8F16}"/>
    <cellStyle name="Normal" xfId="0" builtinId="0"/>
    <cellStyle name="Normal 2" xfId="2" xr:uid="{0166412C-77AF-4AB5-9848-29B4E4670E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belajarexcel.id/xl-test/jawaban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9</xdr:col>
      <xdr:colOff>769620</xdr:colOff>
      <xdr:row>14</xdr:row>
      <xdr:rowOff>180975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064BE1-F5D5-48AD-8222-6D27A8A16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0965179" cy="2741295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12</xdr:row>
      <xdr:rowOff>68580</xdr:rowOff>
    </xdr:from>
    <xdr:to>
      <xdr:col>7</xdr:col>
      <xdr:colOff>421640</xdr:colOff>
      <xdr:row>15</xdr:row>
      <xdr:rowOff>167640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E9BE97-083E-402A-A903-A62156237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7060" y="2263140"/>
          <a:ext cx="1511300" cy="647700"/>
        </a:xfrm>
        <a:prstGeom prst="rect">
          <a:avLst/>
        </a:prstGeom>
      </xdr:spPr>
    </xdr:pic>
    <xdr:clientData/>
  </xdr:twoCellAnchor>
  <xdr:twoCellAnchor>
    <xdr:from>
      <xdr:col>3</xdr:col>
      <xdr:colOff>449580</xdr:colOff>
      <xdr:row>37</xdr:row>
      <xdr:rowOff>68580</xdr:rowOff>
    </xdr:from>
    <xdr:to>
      <xdr:col>4</xdr:col>
      <xdr:colOff>1097280</xdr:colOff>
      <xdr:row>39</xdr:row>
      <xdr:rowOff>22860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05047B8-4F4B-4466-80B7-5422BEB65D8C}"/>
            </a:ext>
          </a:extLst>
        </xdr:cNvPr>
        <xdr:cNvSpPr/>
      </xdr:nvSpPr>
      <xdr:spPr>
        <a:xfrm>
          <a:off x="3055620" y="7315200"/>
          <a:ext cx="1668780" cy="35052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Cek hasil Jawaban</a:t>
          </a:r>
        </a:p>
      </xdr:txBody>
    </xdr:sp>
    <xdr:clientData/>
  </xdr:twoCellAnchor>
  <xdr:oneCellAnchor>
    <xdr:from>
      <xdr:col>8</xdr:col>
      <xdr:colOff>373380</xdr:colOff>
      <xdr:row>0</xdr:row>
      <xdr:rowOff>114300</xdr:rowOff>
    </xdr:from>
    <xdr:ext cx="1173463" cy="28020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91539F1-9DB3-472F-8CA2-086E291C96D0}"/>
            </a:ext>
          </a:extLst>
        </xdr:cNvPr>
        <xdr:cNvSpPr txBox="1"/>
      </xdr:nvSpPr>
      <xdr:spPr>
        <a:xfrm>
          <a:off x="9601200" y="114300"/>
          <a:ext cx="1173463" cy="280205"/>
        </a:xfrm>
        <a:prstGeom prst="rect">
          <a:avLst/>
        </a:prstGeom>
        <a:noFill/>
        <a:ln>
          <a:noFill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200" b="1">
              <a:solidFill>
                <a:schemeClr val="bg1"/>
              </a:solidFill>
            </a:rPr>
            <a:t>MEDIUM</a:t>
          </a:r>
          <a:r>
            <a:rPr lang="en-ID" sz="1200" b="1" baseline="0">
              <a:solidFill>
                <a:srgbClr val="002060"/>
              </a:solidFill>
            </a:rPr>
            <a:t> </a:t>
          </a:r>
          <a:r>
            <a:rPr lang="en-ID" sz="1200" b="1" baseline="0">
              <a:solidFill>
                <a:schemeClr val="bg1"/>
              </a:solidFill>
            </a:rPr>
            <a:t>LEVEL</a:t>
          </a:r>
          <a:endParaRPr lang="en-ID" sz="1200" b="1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10</xdr:col>
      <xdr:colOff>91440</xdr:colOff>
      <xdr:row>0</xdr:row>
      <xdr:rowOff>0</xdr:rowOff>
    </xdr:from>
    <xdr:to>
      <xdr:col>11</xdr:col>
      <xdr:colOff>838200</xdr:colOff>
      <xdr:row>14</xdr:row>
      <xdr:rowOff>181841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7B946B-0D3D-496D-A122-E38F32273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209020" y="0"/>
          <a:ext cx="1760220" cy="27421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53340</xdr:rowOff>
    </xdr:from>
    <xdr:ext cx="1554479" cy="586842"/>
    <xdr:pic>
      <xdr:nvPicPr>
        <xdr:cNvPr id="2" name="Picture 1">
          <a:extLst>
            <a:ext uri="{FF2B5EF4-FFF2-40B4-BE49-F238E27FC236}">
              <a16:creationId xmlns:a16="http://schemas.microsoft.com/office/drawing/2014/main" id="{E4BCFD1E-B43E-4A82-ADC7-694A8B983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7180" y="236220"/>
          <a:ext cx="1554479" cy="586842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25</xdr:row>
      <xdr:rowOff>53340</xdr:rowOff>
    </xdr:from>
    <xdr:ext cx="960120" cy="960120"/>
    <xdr:pic>
      <xdr:nvPicPr>
        <xdr:cNvPr id="3" name="Picture 2">
          <a:extLst>
            <a:ext uri="{FF2B5EF4-FFF2-40B4-BE49-F238E27FC236}">
              <a16:creationId xmlns:a16="http://schemas.microsoft.com/office/drawing/2014/main" id="{A1684DA4-F123-4FA7-A65F-33597F997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2440" y="5646420"/>
          <a:ext cx="960120" cy="960120"/>
        </a:xfrm>
        <a:prstGeom prst="rect">
          <a:avLst/>
        </a:prstGeom>
      </xdr:spPr>
    </xdr:pic>
    <xdr:clientData/>
  </xdr:oneCellAnchor>
  <xdr:twoCellAnchor editAs="oneCell">
    <xdr:from>
      <xdr:col>1</xdr:col>
      <xdr:colOff>457200</xdr:colOff>
      <xdr:row>1</xdr:row>
      <xdr:rowOff>106680</xdr:rowOff>
    </xdr:from>
    <xdr:to>
      <xdr:col>4</xdr:col>
      <xdr:colOff>137160</xdr:colOff>
      <xdr:row>15</xdr:row>
      <xdr:rowOff>15492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2937D83-2545-42F4-A086-FFC7D6A33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" y="289560"/>
          <a:ext cx="1584960" cy="24691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etiadi.me/" TargetMode="External"/><Relationship Id="rId2" Type="http://schemas.openxmlformats.org/officeDocument/2006/relationships/hyperlink" Target="https://www.threads.com/@andisetiadi" TargetMode="External"/><Relationship Id="rId1" Type="http://schemas.openxmlformats.org/officeDocument/2006/relationships/hyperlink" Target="https://belajarexcel.id/xl-test/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https://lynk.id/setiadi/page/jawaban-xl-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7:M84"/>
  <sheetViews>
    <sheetView tabSelected="1" topLeftCell="B30" workbookViewId="0">
      <selection activeCell="G17" sqref="G17"/>
    </sheetView>
  </sheetViews>
  <sheetFormatPr defaultRowHeight="15"/>
  <cols>
    <col min="1" max="1" width="7.42578125" customWidth="1"/>
    <col min="2" max="2" width="19.28515625" customWidth="1"/>
    <col min="3" max="3" width="21.140625" customWidth="1"/>
    <col min="4" max="4" width="18.7109375" customWidth="1"/>
    <col min="5" max="5" width="14.85546875" customWidth="1"/>
    <col min="6" max="6" width="19" customWidth="1"/>
    <col min="7" max="7" width="17" customWidth="1"/>
    <col min="8" max="8" width="17.28515625" customWidth="1"/>
    <col min="9" max="9" width="14.140625" customWidth="1"/>
    <col min="10" max="10" width="13.42578125" customWidth="1"/>
    <col min="11" max="11" width="14.7109375" customWidth="1"/>
    <col min="12" max="12" width="15.140625" customWidth="1"/>
    <col min="13" max="13" width="15.42578125" customWidth="1"/>
    <col min="15" max="15" width="11.28515625" bestFit="1" customWidth="1"/>
  </cols>
  <sheetData>
    <row r="17" spans="1:13" ht="23.25">
      <c r="A17" s="64" t="s">
        <v>67</v>
      </c>
      <c r="B17" s="64"/>
      <c r="C17" s="18" t="s">
        <v>55</v>
      </c>
      <c r="E17" s="64" t="s">
        <v>68</v>
      </c>
      <c r="F17" s="65"/>
      <c r="G17" s="19" t="str">
        <f ca="1">Kode_jawaban</f>
        <v>MB2|61-1184;66-B2282;51-407;5B-181D;41-1656;63-664B8;27-73A0;36-5F118;45-AAC50;37-9D1;4B-5C2;53-80F7A</v>
      </c>
      <c r="H17" s="20"/>
      <c r="I17" s="20"/>
      <c r="J17" s="20"/>
      <c r="K17" s="20"/>
      <c r="L17" s="20"/>
    </row>
    <row r="19" spans="1:13" ht="23.25">
      <c r="A19" s="66" t="s">
        <v>69</v>
      </c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8"/>
    </row>
    <row r="20" spans="1:13" ht="15.75">
      <c r="A20" s="21"/>
      <c r="B20" s="22"/>
      <c r="C20" s="22"/>
      <c r="D20" s="22"/>
      <c r="E20" s="22"/>
      <c r="F20" s="22"/>
      <c r="G20" s="22"/>
      <c r="H20" s="22"/>
      <c r="I20" s="22"/>
      <c r="J20" s="23"/>
      <c r="K20" s="23"/>
      <c r="L20" s="24"/>
    </row>
    <row r="21" spans="1:13" ht="15.75">
      <c r="A21" s="23"/>
      <c r="B21" s="25" t="s">
        <v>73</v>
      </c>
      <c r="C21" s="23"/>
      <c r="D21" s="23"/>
      <c r="E21" s="22"/>
      <c r="F21" s="22"/>
      <c r="G21" s="22"/>
      <c r="H21" s="22"/>
      <c r="I21" s="22"/>
      <c r="J21" s="23"/>
      <c r="K21" s="23"/>
      <c r="L21" s="24"/>
    </row>
    <row r="22" spans="1:13" ht="15.75">
      <c r="A22" s="23"/>
      <c r="B22" s="23"/>
      <c r="C22" s="26"/>
      <c r="D22" s="23"/>
      <c r="E22" s="22"/>
      <c r="F22" s="22"/>
      <c r="G22" s="22"/>
      <c r="H22" s="27"/>
      <c r="I22" s="22"/>
      <c r="J22" s="23"/>
      <c r="K22" s="23"/>
      <c r="L22" s="24"/>
    </row>
    <row r="23" spans="1:13" ht="15.75">
      <c r="A23" s="23"/>
      <c r="B23" s="28" t="s">
        <v>70</v>
      </c>
      <c r="C23" s="29" t="s">
        <v>75</v>
      </c>
      <c r="D23" s="23"/>
      <c r="E23" s="23"/>
      <c r="F23" s="22"/>
      <c r="G23" s="23"/>
      <c r="H23" s="27"/>
      <c r="I23" s="30"/>
      <c r="J23" s="23"/>
      <c r="K23" s="23"/>
      <c r="L23" s="31"/>
      <c r="M23" s="32"/>
    </row>
    <row r="24" spans="1:13" ht="15.75">
      <c r="A24" s="23"/>
      <c r="B24" s="33">
        <v>1</v>
      </c>
      <c r="C24" s="23" t="s">
        <v>76</v>
      </c>
      <c r="D24" s="23"/>
      <c r="E24" s="23"/>
      <c r="F24" s="22"/>
      <c r="G24" s="23"/>
      <c r="H24" s="27"/>
      <c r="I24" s="30"/>
      <c r="J24" s="23"/>
      <c r="K24" s="23"/>
      <c r="L24" s="31"/>
      <c r="M24" s="32"/>
    </row>
    <row r="25" spans="1:13" ht="15.75">
      <c r="A25" s="23"/>
      <c r="B25" s="33">
        <v>2</v>
      </c>
      <c r="C25" s="23" t="s">
        <v>56</v>
      </c>
      <c r="D25" s="23"/>
      <c r="E25" s="23"/>
      <c r="F25" s="22"/>
      <c r="G25" s="23"/>
      <c r="H25" s="27"/>
      <c r="I25" s="22"/>
      <c r="J25" s="23"/>
      <c r="K25" s="23"/>
      <c r="L25" s="24"/>
    </row>
    <row r="26" spans="1:13" ht="15.75">
      <c r="A26" s="23"/>
      <c r="B26" s="33">
        <v>3</v>
      </c>
      <c r="C26" s="23" t="s">
        <v>57</v>
      </c>
      <c r="D26" s="23"/>
      <c r="E26" s="23"/>
      <c r="F26" s="22"/>
      <c r="G26" s="23"/>
      <c r="H26" s="27"/>
      <c r="I26" s="30"/>
      <c r="J26" s="23"/>
      <c r="K26" s="23"/>
      <c r="L26" s="31"/>
    </row>
    <row r="27" spans="1:13" ht="15.75">
      <c r="A27" s="23"/>
      <c r="B27" s="33">
        <v>4</v>
      </c>
      <c r="C27" s="23" t="s">
        <v>58</v>
      </c>
      <c r="D27" s="23"/>
      <c r="E27" s="23"/>
      <c r="F27" s="22"/>
      <c r="G27" s="23"/>
      <c r="H27" s="27"/>
      <c r="I27" s="30"/>
      <c r="J27" s="23"/>
      <c r="K27" s="23"/>
      <c r="L27" s="31"/>
    </row>
    <row r="28" spans="1:13" ht="15.75">
      <c r="A28" s="23"/>
      <c r="B28" s="33">
        <v>5</v>
      </c>
      <c r="C28" s="23" t="s">
        <v>115</v>
      </c>
      <c r="D28" s="23"/>
      <c r="E28" s="23"/>
      <c r="F28" s="22"/>
      <c r="G28" s="23"/>
      <c r="H28" s="27"/>
      <c r="I28" s="30"/>
      <c r="J28" s="23"/>
      <c r="K28" s="23"/>
      <c r="L28" s="31"/>
    </row>
    <row r="29" spans="1:13" ht="15.75">
      <c r="A29" s="23"/>
      <c r="B29" s="33">
        <v>6</v>
      </c>
      <c r="C29" s="23" t="s">
        <v>59</v>
      </c>
      <c r="D29" s="23"/>
      <c r="E29" s="23"/>
      <c r="F29" s="22"/>
      <c r="G29" s="23"/>
      <c r="H29" s="27"/>
      <c r="I29" s="30"/>
      <c r="J29" s="23"/>
      <c r="K29" s="23"/>
      <c r="L29" s="31"/>
    </row>
    <row r="30" spans="1:13" ht="15.75">
      <c r="A30" s="23"/>
      <c r="B30" s="33">
        <v>7</v>
      </c>
      <c r="C30" s="23" t="s">
        <v>60</v>
      </c>
      <c r="D30" s="23"/>
      <c r="E30" s="23"/>
      <c r="F30" s="22"/>
      <c r="G30" s="23"/>
      <c r="H30" s="27"/>
      <c r="I30" s="30"/>
      <c r="J30" s="23"/>
      <c r="K30" s="23"/>
      <c r="L30" s="31"/>
    </row>
    <row r="31" spans="1:13" ht="15.75">
      <c r="A31" s="23"/>
      <c r="B31" s="33">
        <v>8</v>
      </c>
      <c r="C31" s="23" t="s">
        <v>61</v>
      </c>
      <c r="D31" s="23"/>
      <c r="E31" s="23"/>
      <c r="F31" s="22"/>
      <c r="G31" s="23"/>
      <c r="H31" s="27"/>
      <c r="I31" s="30"/>
      <c r="J31" s="23"/>
      <c r="K31" s="23"/>
      <c r="L31" s="31"/>
    </row>
    <row r="32" spans="1:13" ht="15.75">
      <c r="A32" s="23"/>
      <c r="B32" s="33">
        <v>9</v>
      </c>
      <c r="C32" s="23" t="s">
        <v>62</v>
      </c>
      <c r="D32" s="23"/>
      <c r="E32" s="23"/>
      <c r="F32" s="22"/>
      <c r="G32" s="23"/>
      <c r="H32" s="27"/>
      <c r="I32" s="30"/>
      <c r="J32" s="23"/>
      <c r="K32" s="23"/>
      <c r="L32" s="31"/>
    </row>
    <row r="33" spans="1:12" ht="15.75">
      <c r="A33" s="23"/>
      <c r="B33" s="33">
        <v>10</v>
      </c>
      <c r="C33" s="23" t="s">
        <v>64</v>
      </c>
      <c r="D33" s="23"/>
      <c r="E33" s="23"/>
      <c r="F33" s="22"/>
      <c r="G33" s="23"/>
      <c r="H33" s="27"/>
      <c r="I33" s="30"/>
      <c r="J33" s="23"/>
      <c r="K33" s="23"/>
      <c r="L33" s="31"/>
    </row>
    <row r="34" spans="1:12" ht="15.75">
      <c r="A34" s="23"/>
      <c r="B34" s="33">
        <v>11</v>
      </c>
      <c r="C34" s="23" t="s">
        <v>66</v>
      </c>
      <c r="D34" s="23"/>
      <c r="E34" s="23"/>
      <c r="F34" s="22"/>
      <c r="G34" s="23"/>
      <c r="H34" s="27"/>
      <c r="I34" s="30"/>
      <c r="J34" s="23"/>
      <c r="K34" s="23"/>
      <c r="L34" s="31"/>
    </row>
    <row r="35" spans="1:12" ht="15.75">
      <c r="A35" s="23"/>
      <c r="B35" s="33">
        <v>12</v>
      </c>
      <c r="C35" s="23" t="s">
        <v>65</v>
      </c>
      <c r="D35" s="23"/>
      <c r="E35" s="23"/>
      <c r="F35" s="22"/>
      <c r="G35" s="23"/>
      <c r="H35" s="27"/>
      <c r="I35" s="30"/>
      <c r="J35" s="23"/>
      <c r="K35" s="23"/>
      <c r="L35" s="31"/>
    </row>
    <row r="36" spans="1:12" ht="15.75">
      <c r="A36" s="23"/>
      <c r="B36" s="34"/>
      <c r="C36" s="23"/>
      <c r="D36" s="23"/>
      <c r="E36" s="23"/>
      <c r="F36" s="22"/>
      <c r="G36" s="23"/>
      <c r="H36" s="23"/>
      <c r="I36" s="22"/>
      <c r="J36" s="23"/>
      <c r="K36" s="23"/>
      <c r="L36" s="24"/>
    </row>
    <row r="37" spans="1:12" ht="15.75">
      <c r="A37" s="23"/>
      <c r="B37" s="23"/>
      <c r="C37" s="35" t="s">
        <v>71</v>
      </c>
      <c r="D37" s="23"/>
      <c r="E37" s="23"/>
      <c r="F37" s="22"/>
      <c r="G37" s="23"/>
      <c r="H37" s="23"/>
      <c r="I37" s="22"/>
      <c r="J37" s="23"/>
      <c r="K37" s="23"/>
      <c r="L37" s="24"/>
    </row>
    <row r="38" spans="1:12" ht="15.75">
      <c r="A38" s="23"/>
      <c r="B38" s="23"/>
      <c r="C38" s="35" t="s">
        <v>72</v>
      </c>
      <c r="D38" s="23"/>
      <c r="E38" s="22"/>
      <c r="F38" s="22"/>
      <c r="G38" s="23"/>
      <c r="H38" s="23"/>
      <c r="I38" s="22"/>
      <c r="J38" s="23"/>
      <c r="K38" s="23"/>
      <c r="L38" s="24"/>
    </row>
    <row r="39" spans="1:12" ht="15.7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4"/>
    </row>
    <row r="40" spans="1:12" ht="15.75">
      <c r="A40" s="23"/>
      <c r="B40" s="23"/>
      <c r="C40" s="23"/>
      <c r="D40" s="23"/>
      <c r="E40" s="23"/>
      <c r="F40" s="23"/>
      <c r="G40" s="23"/>
      <c r="H40" s="23"/>
      <c r="I40" s="23"/>
      <c r="L40" s="24"/>
    </row>
    <row r="41" spans="1:12" ht="23.25">
      <c r="A41" s="69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1"/>
    </row>
    <row r="42" spans="1:12" ht="15.75" thickBot="1"/>
    <row r="43" spans="1:12" ht="16.5" thickBot="1">
      <c r="D43" s="38">
        <v>1</v>
      </c>
      <c r="E43" s="38">
        <v>2</v>
      </c>
      <c r="G43" s="38">
        <v>3</v>
      </c>
      <c r="H43" s="38">
        <v>4</v>
      </c>
      <c r="I43" s="38">
        <v>5</v>
      </c>
      <c r="J43" s="38">
        <v>6</v>
      </c>
      <c r="K43" s="38">
        <v>7</v>
      </c>
      <c r="L43" s="38">
        <v>8</v>
      </c>
    </row>
    <row r="44" spans="1:12" ht="20.45" customHeight="1">
      <c r="A44" s="61" t="s">
        <v>0</v>
      </c>
      <c r="B44" s="61" t="s">
        <v>1</v>
      </c>
      <c r="C44" s="36" t="s">
        <v>2</v>
      </c>
      <c r="D44" s="36" t="s">
        <v>4</v>
      </c>
      <c r="E44" s="36" t="s">
        <v>6</v>
      </c>
      <c r="F44" s="36" t="s">
        <v>6</v>
      </c>
      <c r="G44" s="36" t="s">
        <v>8</v>
      </c>
      <c r="H44" s="72" t="s">
        <v>9</v>
      </c>
      <c r="I44" s="72" t="s">
        <v>10</v>
      </c>
      <c r="J44" s="72" t="s">
        <v>11</v>
      </c>
      <c r="K44" s="72" t="s">
        <v>12</v>
      </c>
      <c r="L44" s="61" t="s">
        <v>13</v>
      </c>
    </row>
    <row r="45" spans="1:12" ht="18.600000000000001" customHeight="1">
      <c r="A45" s="61"/>
      <c r="B45" s="61"/>
      <c r="C45" s="36" t="s">
        <v>3</v>
      </c>
      <c r="D45" s="60" t="s">
        <v>5</v>
      </c>
      <c r="E45" s="36" t="s">
        <v>3</v>
      </c>
      <c r="F45" s="36" t="s">
        <v>7</v>
      </c>
      <c r="G45" s="36" t="s">
        <v>3</v>
      </c>
      <c r="H45" s="73"/>
      <c r="I45" s="73"/>
      <c r="J45" s="73"/>
      <c r="K45" s="73"/>
      <c r="L45" s="61"/>
    </row>
    <row r="46" spans="1:12" ht="19.899999999999999" customHeight="1">
      <c r="A46" s="7">
        <v>1</v>
      </c>
      <c r="B46" s="8" t="s">
        <v>14</v>
      </c>
      <c r="C46" s="86" t="s">
        <v>42</v>
      </c>
      <c r="D46" s="88" t="str">
        <f>IF(LEFT(C46,2)="MA","MAHASISWA",IF(LEFT(C46,2)="PE","PELAJAR","UMUM"))</f>
        <v>MAHASISWA</v>
      </c>
      <c r="E46" s="87">
        <f>DATE(2000+RIGHT(C46,2),MID(C46,10,2),MID(C46,7,2))</f>
        <v>45597</v>
      </c>
      <c r="F46" s="40">
        <v>45601</v>
      </c>
      <c r="G46" s="9">
        <f>F46-E46</f>
        <v>4</v>
      </c>
      <c r="H46" s="16" t="str">
        <f>VLOOKUP(MID(C46,5,1)*1,$F$73:$H$76,2,0)</f>
        <v>Keju</v>
      </c>
      <c r="I46" s="16" t="str" cm="1">
        <f t="array" ref="I46">_xlfn.SWITCH(MID(C46,3,1),"T","TAWAR","G","GANDUM","B","BAKAR")</f>
        <v>TAWAR</v>
      </c>
      <c r="J46" s="10" cm="1">
        <f t="array" ref="J46">INDEX($D$73:$D$84, MATCH(I46, $B$73:$B$84, 0) + MATCH(H46,$C$73:$C$76,0) - 1)</f>
        <v>25000</v>
      </c>
      <c r="K46" s="11">
        <f>VLOOKUP(H46,$G$73:$H$76,2,0)*J46</f>
        <v>2500</v>
      </c>
      <c r="L46" s="11">
        <f>J46-K46</f>
        <v>22500</v>
      </c>
    </row>
    <row r="47" spans="1:12" ht="19.899999999999999" customHeight="1">
      <c r="A47" s="7">
        <v>2</v>
      </c>
      <c r="B47" s="8" t="s">
        <v>15</v>
      </c>
      <c r="C47" s="86" t="s">
        <v>43</v>
      </c>
      <c r="D47" s="89" t="str">
        <f>IF(LEFT(C47,2)="MA","MAHASISWA",IF(LEFT(C47,2)="PE","PELAJAR","UMUM"))</f>
        <v>UMUM</v>
      </c>
      <c r="E47" s="87">
        <f t="shared" ref="E47:E57" si="0">DATE(2000+RIGHT(C47,2),MID(C47,10,2),MID(C47,7,2))</f>
        <v>45600</v>
      </c>
      <c r="F47" s="40">
        <v>45606</v>
      </c>
      <c r="G47" s="9">
        <f t="shared" ref="G47:G57" si="1">F47-E47</f>
        <v>6</v>
      </c>
      <c r="H47" s="16" t="str">
        <f t="shared" ref="H47:H57" si="2">VLOOKUP(MID(C47,5,1)*1,$F$73:$H$76,2,0)</f>
        <v>Coklat</v>
      </c>
      <c r="I47" s="16" t="str" cm="1">
        <f t="array" ref="I47">_xlfn.SWITCH(MID(C47,3,1),"T","TAWAR","G","GANDUM","B","BAKAR")</f>
        <v>GANDUM</v>
      </c>
      <c r="J47" s="10" cm="1">
        <f t="array" ref="J47">INDEX($D$73:$D$84, MATCH(I47, $B$73:$B$84, 0) + MATCH(H47,$C$73:$C$76,0) - 1)</f>
        <v>25000</v>
      </c>
      <c r="K47" s="11">
        <f t="shared" ref="K47:K57" si="3">VLOOKUP(H47,$G$73:$H$76,2,0)*J47</f>
        <v>1875</v>
      </c>
      <c r="L47" s="11">
        <f t="shared" ref="L47:L57" si="4">J47-K47</f>
        <v>23125</v>
      </c>
    </row>
    <row r="48" spans="1:12" ht="19.899999999999999" customHeight="1">
      <c r="A48" s="7">
        <v>3</v>
      </c>
      <c r="B48" s="8" t="s">
        <v>16</v>
      </c>
      <c r="C48" s="86" t="s">
        <v>44</v>
      </c>
      <c r="D48" s="88" t="str">
        <f t="shared" ref="D48:D57" si="5">IF(LEFT(C48,2)="MA","MAHASISWA",IF(LEFT(C48,2)="PE","PELAJAR","UMUM"))</f>
        <v>PELAJAR</v>
      </c>
      <c r="E48" s="87">
        <f t="shared" si="0"/>
        <v>45599</v>
      </c>
      <c r="F48" s="40">
        <v>45608</v>
      </c>
      <c r="G48" s="9">
        <f t="shared" si="1"/>
        <v>9</v>
      </c>
      <c r="H48" s="16" t="str">
        <f t="shared" si="2"/>
        <v>Keju</v>
      </c>
      <c r="I48" s="16" t="str" cm="1">
        <f t="array" ref="I48">_xlfn.SWITCH(MID(C48,3,1),"T","TAWAR","G","GANDUM","B","BAKAR")</f>
        <v>BAKAR</v>
      </c>
      <c r="J48" s="10" cm="1">
        <f t="array" ref="J48">INDEX($D$73:$D$84, MATCH(I48, $B$73:$B$84, 0) + MATCH(H48,$C$73:$C$76,0) - 1)</f>
        <v>28000</v>
      </c>
      <c r="K48" s="11">
        <f t="shared" si="3"/>
        <v>2800</v>
      </c>
      <c r="L48" s="11">
        <f t="shared" si="4"/>
        <v>25200</v>
      </c>
    </row>
    <row r="49" spans="1:13" ht="19.899999999999999" customHeight="1">
      <c r="A49" s="7">
        <v>4</v>
      </c>
      <c r="B49" s="8" t="s">
        <v>17</v>
      </c>
      <c r="C49" s="86" t="s">
        <v>45</v>
      </c>
      <c r="D49" s="89" t="str">
        <f t="shared" si="5"/>
        <v>MAHASISWA</v>
      </c>
      <c r="E49" s="87">
        <f t="shared" si="0"/>
        <v>45605</v>
      </c>
      <c r="F49" s="40">
        <v>45613</v>
      </c>
      <c r="G49" s="9">
        <f t="shared" si="1"/>
        <v>8</v>
      </c>
      <c r="H49" s="16" t="str">
        <f t="shared" si="2"/>
        <v>Stroberi</v>
      </c>
      <c r="I49" s="16" t="str" cm="1">
        <f t="array" ref="I49">_xlfn.SWITCH(MID(C49,3,1),"T","TAWAR","G","GANDUM","B","BAKAR")</f>
        <v>TAWAR</v>
      </c>
      <c r="J49" s="10" cm="1">
        <f t="array" ref="J49">INDEX($D$73:$D$84, MATCH(I49, $B$73:$B$84, 0) + MATCH(H49,$C$73:$C$76,0) - 1)</f>
        <v>22000</v>
      </c>
      <c r="K49" s="11">
        <f t="shared" si="3"/>
        <v>1100</v>
      </c>
      <c r="L49" s="11">
        <f t="shared" si="4"/>
        <v>20900</v>
      </c>
    </row>
    <row r="50" spans="1:13" ht="19.899999999999999" customHeight="1">
      <c r="A50" s="7">
        <v>5</v>
      </c>
      <c r="B50" s="8" t="s">
        <v>18</v>
      </c>
      <c r="C50" s="86" t="s">
        <v>46</v>
      </c>
      <c r="D50" s="88" t="str">
        <f t="shared" si="5"/>
        <v>PELAJAR</v>
      </c>
      <c r="E50" s="87">
        <f t="shared" si="0"/>
        <v>45613</v>
      </c>
      <c r="F50" s="40">
        <v>45616</v>
      </c>
      <c r="G50" s="9">
        <f t="shared" si="1"/>
        <v>3</v>
      </c>
      <c r="H50" s="16" t="str">
        <f t="shared" si="2"/>
        <v>Susu</v>
      </c>
      <c r="I50" s="16" t="str" cm="1">
        <f t="array" ref="I50">_xlfn.SWITCH(MID(C50,3,1),"T","TAWAR","G","GANDUM","B","BAKAR")</f>
        <v>GANDUM</v>
      </c>
      <c r="J50" s="10" cm="1">
        <f t="array" ref="J50">INDEX($D$73:$D$84, MATCH(I50, $B$73:$B$84, 0) + MATCH(H50,$C$73:$C$76,0) - 1)</f>
        <v>28000</v>
      </c>
      <c r="K50" s="11">
        <f t="shared" si="3"/>
        <v>700</v>
      </c>
      <c r="L50" s="11">
        <f t="shared" si="4"/>
        <v>27300</v>
      </c>
    </row>
    <row r="51" spans="1:13" ht="19.899999999999999" customHeight="1">
      <c r="A51" s="7">
        <v>6</v>
      </c>
      <c r="B51" s="8" t="s">
        <v>19</v>
      </c>
      <c r="C51" s="86" t="s">
        <v>47</v>
      </c>
      <c r="D51" s="89" t="str">
        <f t="shared" si="5"/>
        <v>UMUM</v>
      </c>
      <c r="E51" s="87">
        <f t="shared" si="0"/>
        <v>45608</v>
      </c>
      <c r="F51" s="40">
        <v>45616</v>
      </c>
      <c r="G51" s="9">
        <f t="shared" si="1"/>
        <v>8</v>
      </c>
      <c r="H51" s="16" t="str">
        <f t="shared" si="2"/>
        <v>Coklat</v>
      </c>
      <c r="I51" s="16" t="str" cm="1">
        <f t="array" ref="I51">_xlfn.SWITCH(MID(C51,3,1),"T","TAWAR","G","GANDUM","B","BAKAR")</f>
        <v>GANDUM</v>
      </c>
      <c r="J51" s="10" cm="1">
        <f t="array" ref="J51">INDEX($D$73:$D$84, MATCH(I51, $B$73:$B$84, 0) + MATCH(H51,$C$73:$C$76,0) - 1)</f>
        <v>25000</v>
      </c>
      <c r="K51" s="11">
        <f t="shared" si="3"/>
        <v>1875</v>
      </c>
      <c r="L51" s="11">
        <f t="shared" si="4"/>
        <v>23125</v>
      </c>
    </row>
    <row r="52" spans="1:13" ht="19.899999999999999" customHeight="1">
      <c r="A52" s="7">
        <v>7</v>
      </c>
      <c r="B52" s="8" t="s">
        <v>20</v>
      </c>
      <c r="C52" s="86" t="s">
        <v>48</v>
      </c>
      <c r="D52" s="88" t="str">
        <f t="shared" si="5"/>
        <v>MAHASISWA</v>
      </c>
      <c r="E52" s="87">
        <f t="shared" si="0"/>
        <v>45616</v>
      </c>
      <c r="F52" s="40">
        <v>45618</v>
      </c>
      <c r="G52" s="9">
        <f t="shared" si="1"/>
        <v>2</v>
      </c>
      <c r="H52" s="16" t="str">
        <f t="shared" si="2"/>
        <v>Stroberi</v>
      </c>
      <c r="I52" s="16" t="str" cm="1">
        <f t="array" ref="I52">_xlfn.SWITCH(MID(C52,3,1),"T","TAWAR","G","GANDUM","B","BAKAR")</f>
        <v>BAKAR</v>
      </c>
      <c r="J52" s="10" cm="1">
        <f t="array" ref="J52">INDEX($D$73:$D$84, MATCH(I52, $B$73:$B$84, 0) + MATCH(H52,$C$73:$C$76,0) - 1)</f>
        <v>27000</v>
      </c>
      <c r="K52" s="11">
        <f t="shared" si="3"/>
        <v>1350</v>
      </c>
      <c r="L52" s="11">
        <f t="shared" si="4"/>
        <v>25650</v>
      </c>
    </row>
    <row r="53" spans="1:13" ht="19.899999999999999" customHeight="1">
      <c r="A53" s="7">
        <v>8</v>
      </c>
      <c r="B53" s="8" t="s">
        <v>21</v>
      </c>
      <c r="C53" s="86" t="s">
        <v>49</v>
      </c>
      <c r="D53" s="90" t="str">
        <f t="shared" si="5"/>
        <v>MAHASISWA</v>
      </c>
      <c r="E53" s="87">
        <f t="shared" si="0"/>
        <v>45609</v>
      </c>
      <c r="F53" s="40">
        <v>45619</v>
      </c>
      <c r="G53" s="9">
        <f t="shared" si="1"/>
        <v>10</v>
      </c>
      <c r="H53" s="16" t="str">
        <f t="shared" si="2"/>
        <v>Keju</v>
      </c>
      <c r="I53" s="16" t="str" cm="1">
        <f t="array" ref="I53">_xlfn.SWITCH(MID(C53,3,1),"T","TAWAR","G","GANDUM","B","BAKAR")</f>
        <v>GANDUM</v>
      </c>
      <c r="J53" s="10" cm="1">
        <f t="array" ref="J53">INDEX($D$73:$D$84, MATCH(I53, $B$73:$B$84, 0) + MATCH(H53,$C$73:$C$76,0) - 1)</f>
        <v>30000</v>
      </c>
      <c r="K53" s="11">
        <f t="shared" si="3"/>
        <v>3000</v>
      </c>
      <c r="L53" s="11">
        <f t="shared" si="4"/>
        <v>27000</v>
      </c>
    </row>
    <row r="54" spans="1:13" ht="19.899999999999999" customHeight="1">
      <c r="A54" s="7">
        <v>9</v>
      </c>
      <c r="B54" s="8" t="s">
        <v>22</v>
      </c>
      <c r="C54" s="86" t="s">
        <v>50</v>
      </c>
      <c r="D54" s="90" t="str">
        <f t="shared" si="5"/>
        <v>PELAJAR</v>
      </c>
      <c r="E54" s="87">
        <f t="shared" si="0"/>
        <v>45606</v>
      </c>
      <c r="F54" s="40">
        <v>45621</v>
      </c>
      <c r="G54" s="9">
        <f t="shared" si="1"/>
        <v>15</v>
      </c>
      <c r="H54" s="16" t="str">
        <f t="shared" si="2"/>
        <v>Susu</v>
      </c>
      <c r="I54" s="16" t="str" cm="1">
        <f t="array" ref="I54">_xlfn.SWITCH(MID(C54,3,1),"T","TAWAR","G","GANDUM","B","BAKAR")</f>
        <v>TAWAR</v>
      </c>
      <c r="J54" s="10" cm="1">
        <f t="array" ref="J54">INDEX($D$73:$D$84, MATCH(I54, $B$73:$B$84, 0) + MATCH(H54,$C$73:$C$76,0) - 1)</f>
        <v>24000</v>
      </c>
      <c r="K54" s="11">
        <f t="shared" si="3"/>
        <v>600</v>
      </c>
      <c r="L54" s="11">
        <f t="shared" si="4"/>
        <v>23400</v>
      </c>
    </row>
    <row r="55" spans="1:13" ht="19.899999999999999" customHeight="1">
      <c r="A55" s="7">
        <v>10</v>
      </c>
      <c r="B55" s="8" t="s">
        <v>23</v>
      </c>
      <c r="C55" s="86" t="s">
        <v>51</v>
      </c>
      <c r="D55" s="89" t="str">
        <f t="shared" si="5"/>
        <v>UMUM</v>
      </c>
      <c r="E55" s="87">
        <f t="shared" si="0"/>
        <v>45609</v>
      </c>
      <c r="F55" s="40">
        <v>45624</v>
      </c>
      <c r="G55" s="9">
        <f t="shared" si="1"/>
        <v>15</v>
      </c>
      <c r="H55" s="16" t="str">
        <f t="shared" si="2"/>
        <v>Stroberi</v>
      </c>
      <c r="I55" s="16" t="str" cm="1">
        <f t="array" ref="I55">_xlfn.SWITCH(MID(C55,3,1),"T","TAWAR","G","GANDUM","B","BAKAR")</f>
        <v>BAKAR</v>
      </c>
      <c r="J55" s="10" cm="1">
        <f t="array" ref="J55">INDEX($D$73:$D$84, MATCH(I55, $B$73:$B$84, 0) + MATCH(H55,$C$73:$C$76,0) - 1)</f>
        <v>27000</v>
      </c>
      <c r="K55" s="11">
        <f t="shared" si="3"/>
        <v>1350</v>
      </c>
      <c r="L55" s="11">
        <f t="shared" si="4"/>
        <v>25650</v>
      </c>
    </row>
    <row r="56" spans="1:13" ht="19.899999999999999" customHeight="1">
      <c r="A56" s="7">
        <v>11</v>
      </c>
      <c r="B56" s="8" t="s">
        <v>24</v>
      </c>
      <c r="C56" s="86" t="s">
        <v>52</v>
      </c>
      <c r="D56" s="88" t="str">
        <f t="shared" si="5"/>
        <v>UMUM</v>
      </c>
      <c r="E56" s="87">
        <f t="shared" si="0"/>
        <v>45613</v>
      </c>
      <c r="F56" s="40">
        <v>45626</v>
      </c>
      <c r="G56" s="9">
        <f t="shared" si="1"/>
        <v>13</v>
      </c>
      <c r="H56" s="16" t="str">
        <f t="shared" si="2"/>
        <v>Keju</v>
      </c>
      <c r="I56" s="16" t="str" cm="1">
        <f t="array" ref="I56">_xlfn.SWITCH(MID(C56,3,1),"T","TAWAR","G","GANDUM","B","BAKAR")</f>
        <v>TAWAR</v>
      </c>
      <c r="J56" s="10" cm="1">
        <f t="array" ref="J56">INDEX($D$73:$D$84, MATCH(I56, $B$73:$B$84, 0) + MATCH(H56,$C$73:$C$76,0) - 1)</f>
        <v>25000</v>
      </c>
      <c r="K56" s="11">
        <f t="shared" si="3"/>
        <v>2500</v>
      </c>
      <c r="L56" s="11">
        <f t="shared" si="4"/>
        <v>22500</v>
      </c>
    </row>
    <row r="57" spans="1:13" ht="19.899999999999999" customHeight="1" thickBot="1">
      <c r="A57" s="7">
        <v>12</v>
      </c>
      <c r="B57" s="8" t="s">
        <v>25</v>
      </c>
      <c r="C57" s="86" t="s">
        <v>53</v>
      </c>
      <c r="D57" s="88" t="str">
        <f t="shared" si="5"/>
        <v>PELAJAR</v>
      </c>
      <c r="E57" s="87">
        <f t="shared" si="0"/>
        <v>45620</v>
      </c>
      <c r="F57" s="40">
        <v>45626</v>
      </c>
      <c r="G57" s="9">
        <f t="shared" si="1"/>
        <v>6</v>
      </c>
      <c r="H57" s="16" t="str">
        <f t="shared" si="2"/>
        <v>Coklat</v>
      </c>
      <c r="I57" s="16" t="str" cm="1">
        <f t="array" ref="I57">_xlfn.SWITCH(MID(C57,3,1),"T","TAWAR","G","GANDUM","B","BAKAR")</f>
        <v>BAKAR</v>
      </c>
      <c r="J57" s="10" cm="1">
        <f t="array" ref="J57">INDEX($D$73:$D$84, MATCH(I57, $B$73:$B$84, 0) + MATCH(H57,$C$73:$C$76,0) - 1)</f>
        <v>25000</v>
      </c>
      <c r="K57" s="11">
        <f t="shared" si="3"/>
        <v>1875</v>
      </c>
      <c r="L57" s="11">
        <f t="shared" si="4"/>
        <v>23125</v>
      </c>
    </row>
    <row r="58" spans="1:13" ht="16.5" thickBot="1">
      <c r="J58" s="37" t="s">
        <v>27</v>
      </c>
      <c r="K58" s="37"/>
      <c r="L58" s="11">
        <f>SUM($L$46:$L$57)</f>
        <v>289475</v>
      </c>
      <c r="M58" s="38">
        <v>9</v>
      </c>
    </row>
    <row r="59" spans="1:13" ht="19.899999999999999" customHeight="1" thickBot="1">
      <c r="D59" s="39">
        <v>10</v>
      </c>
      <c r="E59" s="39">
        <v>11</v>
      </c>
      <c r="F59" s="39">
        <v>12</v>
      </c>
      <c r="J59" s="37" t="s">
        <v>32</v>
      </c>
      <c r="K59" s="37"/>
      <c r="L59" s="11">
        <f>MAX($L$46:$L$57)</f>
        <v>27300</v>
      </c>
      <c r="M59" s="38">
        <v>9</v>
      </c>
    </row>
    <row r="60" spans="1:13" ht="19.899999999999999" customHeight="1" thickBot="1">
      <c r="C60" s="74" t="s">
        <v>26</v>
      </c>
      <c r="D60" s="76" t="s">
        <v>74</v>
      </c>
      <c r="E60" s="75" t="s">
        <v>54</v>
      </c>
      <c r="F60" s="75" t="s">
        <v>41</v>
      </c>
      <c r="J60" s="37" t="s">
        <v>63</v>
      </c>
      <c r="K60" s="37"/>
      <c r="L60" s="11">
        <f>MIN($L$46:$L$57)</f>
        <v>20900</v>
      </c>
      <c r="M60" s="38">
        <v>9</v>
      </c>
    </row>
    <row r="61" spans="1:13" ht="19.899999999999999" customHeight="1" thickBot="1">
      <c r="C61" s="74"/>
      <c r="D61" s="77"/>
      <c r="E61" s="75"/>
      <c r="F61" s="75"/>
      <c r="J61" s="37" t="s">
        <v>33</v>
      </c>
      <c r="K61" s="37"/>
      <c r="L61" s="11">
        <f>AVERAGE($L$46:$L$57)</f>
        <v>24122.916666666668</v>
      </c>
      <c r="M61" s="38">
        <v>9</v>
      </c>
    </row>
    <row r="62" spans="1:13" ht="19.899999999999999" customHeight="1">
      <c r="C62" s="12" t="s">
        <v>28</v>
      </c>
      <c r="D62" s="14">
        <f>AVERAGEIF($H$46:$H$57,C62,$G$46:$G$57)</f>
        <v>9</v>
      </c>
      <c r="E62" s="13">
        <f>COUNTIF($H$46:$H$57,C62)</f>
        <v>4</v>
      </c>
      <c r="F62" s="15">
        <f>SUMIF($H$46:$H$57,C62,$L$46:$L$57)</f>
        <v>97200</v>
      </c>
    </row>
    <row r="63" spans="1:13" ht="19.899999999999999" customHeight="1">
      <c r="C63" s="12" t="s">
        <v>29</v>
      </c>
      <c r="D63" s="14">
        <f t="shared" ref="D63:D65" si="6">AVERAGEIF($H$46:$H$57,C63,$G$46:$G$57)</f>
        <v>6.666666666666667</v>
      </c>
      <c r="E63" s="13">
        <f t="shared" ref="E63:E65" si="7">COUNTIF($H$46:$H$57,C63)</f>
        <v>3</v>
      </c>
      <c r="F63" s="15">
        <f t="shared" ref="F63:F65" si="8">SUMIF($H$46:$H$57,C63,$L$46:$L$57)</f>
        <v>69375</v>
      </c>
    </row>
    <row r="64" spans="1:13" ht="19.899999999999999" customHeight="1">
      <c r="C64" s="12" t="s">
        <v>30</v>
      </c>
      <c r="D64" s="14">
        <f t="shared" si="6"/>
        <v>8.3333333333333339</v>
      </c>
      <c r="E64" s="13">
        <f t="shared" si="7"/>
        <v>3</v>
      </c>
      <c r="F64" s="15">
        <f t="shared" si="8"/>
        <v>72200</v>
      </c>
    </row>
    <row r="65" spans="1:12" ht="19.899999999999999" customHeight="1">
      <c r="C65" s="12" t="s">
        <v>31</v>
      </c>
      <c r="D65" s="14">
        <f t="shared" si="6"/>
        <v>9</v>
      </c>
      <c r="E65" s="13">
        <f t="shared" si="7"/>
        <v>2</v>
      </c>
      <c r="F65" s="15">
        <f t="shared" si="8"/>
        <v>50700</v>
      </c>
    </row>
    <row r="68" spans="1:12">
      <c r="A68" s="62" t="s">
        <v>77</v>
      </c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</row>
    <row r="71" spans="1:12">
      <c r="B71" s="17" t="s">
        <v>34</v>
      </c>
      <c r="F71" s="17" t="s">
        <v>39</v>
      </c>
    </row>
    <row r="72" spans="1:12">
      <c r="B72" s="3" t="s">
        <v>10</v>
      </c>
      <c r="C72" s="3" t="s">
        <v>9</v>
      </c>
      <c r="D72" s="3" t="s">
        <v>35</v>
      </c>
      <c r="F72" s="3" t="s">
        <v>40</v>
      </c>
      <c r="G72" s="3" t="s">
        <v>9</v>
      </c>
      <c r="H72" s="3" t="s">
        <v>12</v>
      </c>
    </row>
    <row r="73" spans="1:12">
      <c r="B73" s="63" t="s">
        <v>36</v>
      </c>
      <c r="C73" s="1" t="s">
        <v>28</v>
      </c>
      <c r="D73" s="4">
        <v>25000</v>
      </c>
      <c r="F73" s="2">
        <v>1</v>
      </c>
      <c r="G73" s="1" t="s">
        <v>28</v>
      </c>
      <c r="H73" s="5">
        <v>0.1</v>
      </c>
    </row>
    <row r="74" spans="1:12">
      <c r="B74" s="63"/>
      <c r="C74" s="1" t="s">
        <v>29</v>
      </c>
      <c r="D74" s="4">
        <v>20000</v>
      </c>
      <c r="F74" s="2">
        <v>2</v>
      </c>
      <c r="G74" s="1" t="s">
        <v>29</v>
      </c>
      <c r="H74" s="6">
        <v>7.4999999999999997E-2</v>
      </c>
    </row>
    <row r="75" spans="1:12">
      <c r="B75" s="63"/>
      <c r="C75" s="1" t="s">
        <v>30</v>
      </c>
      <c r="D75" s="4">
        <v>22000</v>
      </c>
      <c r="F75" s="2">
        <v>3</v>
      </c>
      <c r="G75" s="1" t="s">
        <v>30</v>
      </c>
      <c r="H75" s="5">
        <v>0.05</v>
      </c>
    </row>
    <row r="76" spans="1:12">
      <c r="B76" s="63"/>
      <c r="C76" s="1" t="s">
        <v>31</v>
      </c>
      <c r="D76" s="4">
        <v>24000</v>
      </c>
      <c r="F76" s="2">
        <v>4</v>
      </c>
      <c r="G76" s="1" t="s">
        <v>31</v>
      </c>
      <c r="H76" s="6">
        <v>2.5000000000000001E-2</v>
      </c>
    </row>
    <row r="77" spans="1:12">
      <c r="B77" s="63" t="s">
        <v>37</v>
      </c>
      <c r="C77" s="1" t="s">
        <v>28</v>
      </c>
      <c r="D77" s="4">
        <v>30000</v>
      </c>
    </row>
    <row r="78" spans="1:12">
      <c r="B78" s="63"/>
      <c r="C78" s="1" t="s">
        <v>29</v>
      </c>
      <c r="D78" s="4">
        <v>25000</v>
      </c>
    </row>
    <row r="79" spans="1:12">
      <c r="B79" s="63"/>
      <c r="C79" s="1" t="s">
        <v>30</v>
      </c>
      <c r="D79" s="4">
        <v>26000</v>
      </c>
    </row>
    <row r="80" spans="1:12">
      <c r="B80" s="63"/>
      <c r="C80" s="1" t="s">
        <v>31</v>
      </c>
      <c r="D80" s="4">
        <v>28000</v>
      </c>
    </row>
    <row r="81" spans="2:4">
      <c r="B81" s="63" t="s">
        <v>38</v>
      </c>
      <c r="C81" s="1" t="s">
        <v>28</v>
      </c>
      <c r="D81" s="4">
        <v>28000</v>
      </c>
    </row>
    <row r="82" spans="2:4">
      <c r="B82" s="63"/>
      <c r="C82" s="1" t="s">
        <v>29</v>
      </c>
      <c r="D82" s="4">
        <v>25000</v>
      </c>
    </row>
    <row r="83" spans="2:4">
      <c r="B83" s="63"/>
      <c r="C83" s="1" t="s">
        <v>30</v>
      </c>
      <c r="D83" s="4">
        <v>27000</v>
      </c>
    </row>
    <row r="84" spans="2:4">
      <c r="B84" s="63"/>
      <c r="C84" s="1" t="s">
        <v>31</v>
      </c>
      <c r="D84" s="4">
        <v>29000</v>
      </c>
    </row>
  </sheetData>
  <mergeCells count="19">
    <mergeCell ref="A17:B17"/>
    <mergeCell ref="E17:F17"/>
    <mergeCell ref="A19:L19"/>
    <mergeCell ref="A41:L41"/>
    <mergeCell ref="A44:A45"/>
    <mergeCell ref="B44:B45"/>
    <mergeCell ref="H44:H45"/>
    <mergeCell ref="I44:I45"/>
    <mergeCell ref="J44:J45"/>
    <mergeCell ref="K44:K45"/>
    <mergeCell ref="L44:L45"/>
    <mergeCell ref="A68:L68"/>
    <mergeCell ref="B73:B76"/>
    <mergeCell ref="B77:B80"/>
    <mergeCell ref="B81:B84"/>
    <mergeCell ref="C60:C61"/>
    <mergeCell ref="E60:E61"/>
    <mergeCell ref="F60:F61"/>
    <mergeCell ref="D60:D6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3282E-AC53-4AD9-A02C-48BB01663704}">
  <sheetPr codeName="Sheet3"/>
  <dimension ref="B1:P32"/>
  <sheetViews>
    <sheetView showGridLines="0" workbookViewId="0">
      <selection activeCell="O22" sqref="O22"/>
    </sheetView>
  </sheetViews>
  <sheetFormatPr defaultColWidth="8.85546875" defaultRowHeight="15"/>
  <cols>
    <col min="1" max="1" width="5.7109375" style="41" customWidth="1"/>
    <col min="2" max="2" width="10" style="41" customWidth="1"/>
    <col min="3" max="6" width="8.85546875" style="41"/>
    <col min="7" max="8" width="4.28515625" style="41" customWidth="1"/>
    <col min="9" max="9" width="8.85546875" style="41"/>
    <col min="10" max="10" width="10.42578125" style="41" customWidth="1"/>
    <col min="11" max="11" width="9.28515625" style="41" customWidth="1"/>
    <col min="12" max="13" width="8.85546875" style="41"/>
    <col min="14" max="14" width="26.42578125" style="41" customWidth="1"/>
    <col min="15" max="16384" width="8.85546875" style="41"/>
  </cols>
  <sheetData>
    <row r="1" spans="7:16">
      <c r="H1" s="42"/>
      <c r="I1" s="42"/>
      <c r="J1" s="42"/>
      <c r="K1" s="42"/>
      <c r="L1" s="42"/>
      <c r="M1" s="42"/>
      <c r="N1" s="42"/>
      <c r="O1" s="42"/>
      <c r="P1" s="42"/>
    </row>
    <row r="2" spans="7:16">
      <c r="H2" s="42"/>
      <c r="I2" s="42"/>
      <c r="J2" s="42"/>
      <c r="K2" s="42"/>
      <c r="L2" s="42"/>
      <c r="M2" s="42"/>
      <c r="N2" s="42"/>
      <c r="O2" s="42"/>
      <c r="P2" s="42"/>
    </row>
    <row r="3" spans="7:16">
      <c r="G3" s="43"/>
      <c r="H3" s="44"/>
      <c r="I3" s="42"/>
      <c r="J3" s="42"/>
      <c r="K3" s="42"/>
      <c r="L3" s="42"/>
      <c r="M3" s="42"/>
      <c r="N3" s="42"/>
      <c r="O3" s="42"/>
      <c r="P3" s="42"/>
    </row>
    <row r="4" spans="7:16">
      <c r="G4" s="43"/>
      <c r="H4" s="44"/>
      <c r="I4" s="42"/>
      <c r="J4" s="42"/>
      <c r="K4" s="42"/>
      <c r="L4" s="42"/>
      <c r="M4" s="42"/>
      <c r="N4" s="42"/>
      <c r="O4" s="42"/>
      <c r="P4" s="42"/>
    </row>
    <row r="5" spans="7:16">
      <c r="G5" s="43"/>
      <c r="H5" s="44"/>
      <c r="I5" s="42"/>
      <c r="J5" s="42"/>
      <c r="K5" s="42"/>
      <c r="L5" s="42"/>
      <c r="M5" s="42"/>
      <c r="N5" s="42"/>
      <c r="O5" s="42"/>
      <c r="P5" s="42"/>
    </row>
    <row r="6" spans="7:16">
      <c r="G6" s="43"/>
      <c r="H6" s="44"/>
      <c r="I6" s="42" t="s">
        <v>90</v>
      </c>
      <c r="J6" s="42"/>
      <c r="K6" s="42"/>
      <c r="L6" s="42"/>
      <c r="M6" s="42"/>
      <c r="N6" s="42"/>
      <c r="O6" s="42"/>
      <c r="P6" s="42"/>
    </row>
    <row r="7" spans="7:16">
      <c r="G7" s="43"/>
      <c r="H7" s="44"/>
      <c r="I7" s="42" t="s">
        <v>91</v>
      </c>
      <c r="J7" s="42"/>
      <c r="K7" s="42"/>
      <c r="L7" s="42"/>
      <c r="M7" s="42"/>
      <c r="N7" s="42"/>
      <c r="O7" s="42"/>
      <c r="P7" s="42"/>
    </row>
    <row r="8" spans="7:16">
      <c r="G8" s="43"/>
      <c r="H8" s="44"/>
      <c r="I8" s="42"/>
      <c r="J8" s="42"/>
      <c r="K8" s="42"/>
      <c r="L8" s="42"/>
      <c r="M8" s="42"/>
      <c r="N8" s="42"/>
      <c r="O8" s="42"/>
      <c r="P8" s="42"/>
    </row>
    <row r="9" spans="7:16">
      <c r="G9" s="43"/>
      <c r="H9" s="44"/>
      <c r="I9" s="42"/>
      <c r="J9" s="42"/>
      <c r="K9" s="42"/>
      <c r="L9" s="42"/>
      <c r="M9" s="42"/>
      <c r="N9" s="42"/>
      <c r="O9" s="42"/>
      <c r="P9" s="42"/>
    </row>
    <row r="10" spans="7:16">
      <c r="G10" s="43"/>
      <c r="H10" s="44"/>
      <c r="I10" s="42" t="s">
        <v>92</v>
      </c>
      <c r="J10" s="42"/>
      <c r="K10" s="42"/>
      <c r="L10" s="42"/>
      <c r="M10" s="42"/>
      <c r="N10" s="42"/>
      <c r="O10" s="42"/>
      <c r="P10" s="42"/>
    </row>
    <row r="11" spans="7:16">
      <c r="G11" s="43"/>
      <c r="H11" s="44"/>
      <c r="I11" s="42"/>
      <c r="J11" s="42"/>
      <c r="K11" s="42"/>
      <c r="L11" s="42"/>
      <c r="M11" s="42"/>
      <c r="N11" s="42"/>
      <c r="O11" s="42"/>
      <c r="P11" s="42"/>
    </row>
    <row r="12" spans="7:16">
      <c r="G12" s="43"/>
      <c r="H12" s="44"/>
      <c r="I12" s="45"/>
      <c r="J12" s="79" t="s">
        <v>93</v>
      </c>
      <c r="K12" s="79"/>
      <c r="L12" s="78" t="s">
        <v>94</v>
      </c>
      <c r="M12" s="78"/>
      <c r="N12" s="42"/>
      <c r="O12" s="42"/>
      <c r="P12" s="42"/>
    </row>
    <row r="13" spans="7:16">
      <c r="G13" s="43"/>
      <c r="H13" s="44"/>
      <c r="I13" s="45"/>
      <c r="J13" s="79" t="s">
        <v>95</v>
      </c>
      <c r="K13" s="79"/>
      <c r="L13" s="46" t="s">
        <v>96</v>
      </c>
      <c r="M13" s="46"/>
      <c r="N13" s="42"/>
      <c r="O13" s="42"/>
      <c r="P13" s="42"/>
    </row>
    <row r="14" spans="7:16">
      <c r="G14" s="43"/>
      <c r="H14" s="44"/>
      <c r="I14" s="45"/>
      <c r="J14" s="79" t="s">
        <v>97</v>
      </c>
      <c r="K14" s="79"/>
      <c r="L14" s="46" t="s">
        <v>98</v>
      </c>
      <c r="M14" s="47"/>
      <c r="N14" s="42"/>
      <c r="O14" s="42"/>
      <c r="P14" s="42"/>
    </row>
    <row r="15" spans="7:16">
      <c r="G15" s="43"/>
      <c r="H15" s="44"/>
      <c r="I15" s="45"/>
      <c r="J15" s="79" t="s">
        <v>99</v>
      </c>
      <c r="K15" s="79"/>
      <c r="L15" s="46" t="s">
        <v>100</v>
      </c>
      <c r="M15" s="47"/>
      <c r="N15" s="42"/>
      <c r="O15" s="42"/>
      <c r="P15" s="42"/>
    </row>
    <row r="16" spans="7:16">
      <c r="G16" s="43"/>
      <c r="H16" s="44"/>
      <c r="I16" s="45"/>
      <c r="J16" s="79" t="s">
        <v>101</v>
      </c>
      <c r="K16" s="79"/>
      <c r="L16" s="46" t="s">
        <v>102</v>
      </c>
      <c r="M16" s="47"/>
      <c r="N16" s="42"/>
      <c r="O16" s="42"/>
      <c r="P16" s="42"/>
    </row>
    <row r="17" spans="2:16" ht="54.6" customHeight="1">
      <c r="B17" s="80" t="s">
        <v>103</v>
      </c>
      <c r="C17" s="80"/>
      <c r="D17" s="80"/>
      <c r="E17" s="80"/>
      <c r="F17" s="81"/>
      <c r="G17" s="48"/>
      <c r="H17" s="44"/>
      <c r="I17" s="42" t="s">
        <v>104</v>
      </c>
      <c r="J17" s="42"/>
      <c r="K17" s="42"/>
      <c r="L17" s="42"/>
      <c r="M17" s="42"/>
      <c r="N17" s="42"/>
      <c r="O17" s="42"/>
      <c r="P17" s="42"/>
    </row>
    <row r="18" spans="2:16" ht="54.6" customHeight="1">
      <c r="B18" s="82" t="s">
        <v>105</v>
      </c>
      <c r="C18" s="82"/>
      <c r="D18" s="82"/>
      <c r="E18" s="82"/>
      <c r="F18" s="83"/>
      <c r="G18" s="49"/>
      <c r="H18" s="44"/>
      <c r="I18" s="50" t="s">
        <v>106</v>
      </c>
      <c r="J18" s="42"/>
      <c r="K18" s="42"/>
      <c r="L18" s="42"/>
      <c r="M18" s="42"/>
      <c r="N18" s="42"/>
      <c r="O18" s="42"/>
      <c r="P18" s="42"/>
    </row>
    <row r="19" spans="2:16">
      <c r="B19" s="51" t="s">
        <v>107</v>
      </c>
      <c r="H19" s="42"/>
      <c r="J19" s="42"/>
      <c r="K19" s="42"/>
      <c r="L19" s="42"/>
      <c r="M19" s="42"/>
      <c r="N19" s="42"/>
      <c r="O19" s="42"/>
      <c r="P19" s="42"/>
    </row>
    <row r="20" spans="2:16">
      <c r="B20" s="52" t="s">
        <v>108</v>
      </c>
      <c r="C20" s="53" t="s">
        <v>109</v>
      </c>
      <c r="H20" s="42"/>
      <c r="J20" s="42"/>
      <c r="K20" s="42"/>
      <c r="L20" s="42"/>
      <c r="M20" s="42"/>
      <c r="N20" s="42"/>
      <c r="O20" s="42"/>
      <c r="P20" s="42"/>
    </row>
    <row r="21" spans="2:16">
      <c r="B21" s="54" t="s">
        <v>110</v>
      </c>
      <c r="C21" s="53" t="s">
        <v>111</v>
      </c>
      <c r="H21" s="42"/>
      <c r="I21" s="42"/>
      <c r="J21" s="42"/>
      <c r="K21" s="42"/>
      <c r="L21" s="42"/>
      <c r="M21" s="42"/>
      <c r="N21" s="42"/>
      <c r="O21" s="42"/>
      <c r="P21" s="42"/>
    </row>
    <row r="22" spans="2:16">
      <c r="H22" s="42"/>
      <c r="I22" s="42"/>
      <c r="J22" s="42"/>
      <c r="K22" s="42"/>
      <c r="L22" s="42"/>
      <c r="M22" s="42"/>
      <c r="N22" s="42"/>
      <c r="O22" s="42"/>
      <c r="P22" s="42"/>
    </row>
    <row r="23" spans="2:16">
      <c r="N23" s="42"/>
      <c r="O23" s="42"/>
      <c r="P23" s="42"/>
    </row>
    <row r="24" spans="2:16">
      <c r="N24" s="42"/>
      <c r="O24" s="42"/>
      <c r="P24" s="42"/>
    </row>
    <row r="25" spans="2:16">
      <c r="B25" s="84"/>
      <c r="C25" s="85"/>
      <c r="D25" s="85"/>
      <c r="E25" s="85"/>
      <c r="F25" s="85"/>
      <c r="G25" s="85"/>
      <c r="H25" s="85"/>
      <c r="I25" s="85"/>
      <c r="N25" s="42"/>
      <c r="O25" s="42"/>
      <c r="P25" s="42"/>
    </row>
    <row r="26" spans="2:16">
      <c r="B26" s="55"/>
      <c r="C26" s="56"/>
      <c r="D26" s="55"/>
      <c r="E26" s="55"/>
      <c r="F26" s="55"/>
      <c r="G26" s="55"/>
      <c r="H26" s="55"/>
      <c r="I26" s="55"/>
    </row>
    <row r="27" spans="2:16">
      <c r="B27" s="55"/>
      <c r="C27" s="55"/>
      <c r="D27" s="57" t="s">
        <v>112</v>
      </c>
      <c r="E27" s="55"/>
      <c r="F27" s="55"/>
      <c r="G27" s="55"/>
      <c r="H27" s="55"/>
      <c r="I27" s="55"/>
    </row>
    <row r="28" spans="2:16">
      <c r="B28" s="55"/>
      <c r="C28" s="55"/>
      <c r="D28" s="58" t="s">
        <v>113</v>
      </c>
      <c r="E28" s="55"/>
      <c r="F28" s="55"/>
      <c r="G28" s="55"/>
      <c r="H28" s="55"/>
      <c r="I28" s="55"/>
    </row>
    <row r="29" spans="2:16">
      <c r="B29" s="55"/>
      <c r="C29" s="55"/>
      <c r="D29" s="59" t="s">
        <v>114</v>
      </c>
      <c r="E29" s="55"/>
      <c r="F29" s="55"/>
      <c r="G29" s="55"/>
      <c r="H29" s="55"/>
      <c r="I29" s="55"/>
    </row>
    <row r="30" spans="2:16">
      <c r="B30" s="55"/>
      <c r="C30" s="55"/>
      <c r="D30" s="55"/>
      <c r="E30" s="55"/>
      <c r="F30" s="55"/>
      <c r="G30" s="55"/>
      <c r="H30" s="55"/>
      <c r="I30" s="55"/>
    </row>
    <row r="31" spans="2:16">
      <c r="B31" s="55"/>
      <c r="C31" s="55"/>
      <c r="D31" s="55"/>
      <c r="E31" s="55"/>
      <c r="F31" s="55"/>
      <c r="G31" s="55"/>
      <c r="H31" s="55"/>
      <c r="I31" s="55"/>
    </row>
    <row r="32" spans="2:16">
      <c r="B32" s="84"/>
      <c r="C32" s="85"/>
      <c r="D32" s="85"/>
      <c r="E32" s="85"/>
      <c r="F32" s="85"/>
      <c r="G32" s="85"/>
      <c r="H32" s="85"/>
      <c r="I32" s="85"/>
    </row>
  </sheetData>
  <mergeCells count="10">
    <mergeCell ref="B17:F17"/>
    <mergeCell ref="B18:F18"/>
    <mergeCell ref="B25:I25"/>
    <mergeCell ref="B32:I32"/>
    <mergeCell ref="J12:K12"/>
    <mergeCell ref="L12:M12"/>
    <mergeCell ref="J13:K13"/>
    <mergeCell ref="J14:K14"/>
    <mergeCell ref="J15:K15"/>
    <mergeCell ref="J16:K16"/>
  </mergeCells>
  <hyperlinks>
    <hyperlink ref="I18" r:id="rId1" xr:uid="{112D56A8-0E0E-41FB-814F-ED0B2434CB81}"/>
    <hyperlink ref="C21" r:id="rId2" xr:uid="{B054CDF8-C20C-4C1C-82BE-225A59170896}"/>
    <hyperlink ref="C20" r:id="rId3" xr:uid="{F8572053-CF80-4C2E-ABD3-0B0291695F82}"/>
    <hyperlink ref="D29" r:id="rId4" xr:uid="{801DD122-95E5-4F8B-81E2-523465CA13A9}"/>
  </hyperlinks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0557C-0C73-4B20-B504-BFF3073E21E7}">
  <sheetPr codeName="Sheet2"/>
  <dimension ref="A1:AC60"/>
  <sheetViews>
    <sheetView topLeftCell="A28" workbookViewId="0">
      <selection activeCell="J20" sqref="J20"/>
    </sheetView>
  </sheetViews>
  <sheetFormatPr defaultRowHeight="15"/>
  <cols>
    <col min="2" max="2" width="11.5703125" customWidth="1"/>
    <col min="3" max="3" width="11.85546875" customWidth="1"/>
    <col min="18" max="18" width="37.85546875" customWidth="1"/>
  </cols>
  <sheetData>
    <row r="1" spans="1:28">
      <c r="A1" t="s">
        <v>78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Q1">
        <v>1</v>
      </c>
      <c r="R1">
        <v>2</v>
      </c>
      <c r="S1">
        <v>3</v>
      </c>
      <c r="T1">
        <v>4</v>
      </c>
      <c r="U1">
        <v>5</v>
      </c>
      <c r="V1">
        <v>6</v>
      </c>
      <c r="W1">
        <v>7</v>
      </c>
      <c r="X1">
        <v>8</v>
      </c>
      <c r="Y1">
        <v>9</v>
      </c>
      <c r="Z1">
        <v>10</v>
      </c>
      <c r="AA1">
        <v>11</v>
      </c>
      <c r="AB1">
        <v>12</v>
      </c>
    </row>
    <row r="2" spans="1:28">
      <c r="A2" t="s">
        <v>116</v>
      </c>
      <c r="B2">
        <v>1</v>
      </c>
      <c r="C2" t="str">
        <f>UPPER(Case!D46)</f>
        <v>MAHASISWA</v>
      </c>
      <c r="D2">
        <f>Case!E46</f>
        <v>45597</v>
      </c>
      <c r="E2">
        <f>Case!G46</f>
        <v>4</v>
      </c>
      <c r="F2" t="str">
        <f>Case!H46</f>
        <v>Keju</v>
      </c>
      <c r="G2" t="str">
        <f>PROPER(Case!I46)</f>
        <v>Tawar</v>
      </c>
      <c r="H2">
        <f>Case!J46</f>
        <v>25000</v>
      </c>
      <c r="I2">
        <f>Case!K46</f>
        <v>2500</v>
      </c>
      <c r="J2">
        <f>Case!L46</f>
        <v>22500</v>
      </c>
      <c r="K2">
        <f>Case!L58</f>
        <v>289475</v>
      </c>
      <c r="L2">
        <f>Case!D62</f>
        <v>9</v>
      </c>
      <c r="M2">
        <f>Case!E62</f>
        <v>4</v>
      </c>
      <c r="N2">
        <f>Case!F62</f>
        <v>97200</v>
      </c>
      <c r="Q2">
        <f ca="1">LEN(_xlfn.FORMULATEXT(Case!D46))</f>
        <v>71</v>
      </c>
      <c r="R2">
        <f ca="1">LEN(_xlfn.FORMULATEXT(Case!E46))</f>
        <v>51</v>
      </c>
      <c r="S2">
        <f ca="1">LEN(_xlfn.FORMULATEXT(Case!G46))</f>
        <v>8</v>
      </c>
      <c r="T2">
        <f ca="1">LEN(_xlfn.FORMULATEXT(Case!H46))</f>
        <v>40</v>
      </c>
      <c r="U2">
        <f ca="1">LEN(_xlfn.FORMULATEXT(Case!I46))</f>
        <v>58</v>
      </c>
      <c r="V2">
        <f ca="1">LEN(_xlfn.FORMULATEXT(Case!J46))</f>
        <v>78</v>
      </c>
      <c r="W2">
        <f ca="1">LEN(_xlfn.FORMULATEXT(Case!K46))</f>
        <v>33</v>
      </c>
      <c r="X2">
        <f ca="1">LEN(_xlfn.FORMULATEXT(Case!L46))</f>
        <v>8</v>
      </c>
      <c r="Z2">
        <f ca="1">LEN(_xlfn.FORMULATEXT(Case!D62))</f>
        <v>39</v>
      </c>
      <c r="AA2">
        <f ca="1">LEN(_xlfn.FORMULATEXT(Case!E62))</f>
        <v>25</v>
      </c>
      <c r="AB2">
        <f ca="1">LEN(_xlfn.FORMULATEXT(Case!F62))</f>
        <v>35</v>
      </c>
    </row>
    <row r="3" spans="1:28">
      <c r="B3">
        <v>2</v>
      </c>
      <c r="C3" t="str">
        <f>UPPER(Case!D47)</f>
        <v>UMUM</v>
      </c>
      <c r="D3">
        <f>Case!E47</f>
        <v>45600</v>
      </c>
      <c r="E3">
        <f>Case!G47</f>
        <v>6</v>
      </c>
      <c r="F3" t="str">
        <f>Case!H47</f>
        <v>Coklat</v>
      </c>
      <c r="G3" t="str">
        <f>PROPER(Case!I47)</f>
        <v>Gandum</v>
      </c>
      <c r="H3">
        <f>Case!J47</f>
        <v>25000</v>
      </c>
      <c r="I3">
        <f>Case!K47</f>
        <v>1875</v>
      </c>
      <c r="J3">
        <f>Case!L47</f>
        <v>23125</v>
      </c>
      <c r="K3">
        <f>Case!L59</f>
        <v>27300</v>
      </c>
      <c r="L3">
        <f>Case!D63</f>
        <v>6.666666666666667</v>
      </c>
      <c r="M3">
        <f>Case!E63</f>
        <v>3</v>
      </c>
      <c r="N3">
        <f>Case!F63</f>
        <v>69375</v>
      </c>
      <c r="Q3">
        <f ca="1">LEN(_xlfn.FORMULATEXT(Case!D47))</f>
        <v>71</v>
      </c>
      <c r="R3">
        <f ca="1">LEN(_xlfn.FORMULATEXT(Case!E47))</f>
        <v>51</v>
      </c>
      <c r="S3">
        <f ca="1">LEN(_xlfn.FORMULATEXT(Case!G47))</f>
        <v>8</v>
      </c>
      <c r="T3">
        <f ca="1">LEN(_xlfn.FORMULATEXT(Case!H47))</f>
        <v>40</v>
      </c>
      <c r="U3">
        <f ca="1">LEN(_xlfn.FORMULATEXT(Case!I47))</f>
        <v>58</v>
      </c>
      <c r="V3">
        <f ca="1">LEN(_xlfn.FORMULATEXT(Case!J47))</f>
        <v>78</v>
      </c>
      <c r="W3">
        <f ca="1">LEN(_xlfn.FORMULATEXT(Case!K47))</f>
        <v>33</v>
      </c>
      <c r="X3">
        <f ca="1">LEN(_xlfn.FORMULATEXT(Case!L47))</f>
        <v>8</v>
      </c>
      <c r="Z3">
        <f ca="1">LEN(_xlfn.FORMULATEXT(Case!D63))</f>
        <v>39</v>
      </c>
      <c r="AA3">
        <f ca="1">LEN(_xlfn.FORMULATEXT(Case!E63))</f>
        <v>25</v>
      </c>
      <c r="AB3">
        <f ca="1">LEN(_xlfn.FORMULATEXT(Case!F63))</f>
        <v>35</v>
      </c>
    </row>
    <row r="4" spans="1:28">
      <c r="B4">
        <v>3</v>
      </c>
      <c r="C4" t="str">
        <f>UPPER(Case!D48)</f>
        <v>PELAJAR</v>
      </c>
      <c r="D4">
        <f>Case!E48</f>
        <v>45599</v>
      </c>
      <c r="E4">
        <f>Case!G48</f>
        <v>9</v>
      </c>
      <c r="F4" t="str">
        <f>Case!H48</f>
        <v>Keju</v>
      </c>
      <c r="G4" t="str">
        <f>PROPER(Case!I48)</f>
        <v>Bakar</v>
      </c>
      <c r="H4">
        <f>Case!J48</f>
        <v>28000</v>
      </c>
      <c r="I4">
        <f>Case!K48</f>
        <v>2800</v>
      </c>
      <c r="J4">
        <f>Case!L48</f>
        <v>25200</v>
      </c>
      <c r="K4">
        <f>Case!L60</f>
        <v>20900</v>
      </c>
      <c r="L4">
        <f>Case!D64</f>
        <v>8.3333333333333339</v>
      </c>
      <c r="M4">
        <f>Case!E64</f>
        <v>3</v>
      </c>
      <c r="N4">
        <f>Case!F64</f>
        <v>72200</v>
      </c>
      <c r="Q4">
        <f ca="1">LEN(_xlfn.FORMULATEXT(Case!D48))</f>
        <v>71</v>
      </c>
      <c r="R4">
        <f ca="1">LEN(_xlfn.FORMULATEXT(Case!E48))</f>
        <v>51</v>
      </c>
      <c r="S4">
        <f ca="1">LEN(_xlfn.FORMULATEXT(Case!G48))</f>
        <v>8</v>
      </c>
      <c r="T4">
        <f ca="1">LEN(_xlfn.FORMULATEXT(Case!H48))</f>
        <v>40</v>
      </c>
      <c r="U4">
        <f ca="1">LEN(_xlfn.FORMULATEXT(Case!I48))</f>
        <v>58</v>
      </c>
      <c r="V4">
        <f ca="1">LEN(_xlfn.FORMULATEXT(Case!J48))</f>
        <v>78</v>
      </c>
      <c r="W4">
        <f ca="1">LEN(_xlfn.FORMULATEXT(Case!K48))</f>
        <v>33</v>
      </c>
      <c r="X4">
        <f ca="1">LEN(_xlfn.FORMULATEXT(Case!L48))</f>
        <v>8</v>
      </c>
      <c r="Z4">
        <f ca="1">LEN(_xlfn.FORMULATEXT(Case!D64))</f>
        <v>39</v>
      </c>
      <c r="AA4">
        <f ca="1">LEN(_xlfn.FORMULATEXT(Case!E64))</f>
        <v>25</v>
      </c>
      <c r="AB4">
        <f ca="1">LEN(_xlfn.FORMULATEXT(Case!F64))</f>
        <v>35</v>
      </c>
    </row>
    <row r="5" spans="1:28">
      <c r="B5">
        <v>4</v>
      </c>
      <c r="C5" t="str">
        <f>UPPER(Case!D49)</f>
        <v>MAHASISWA</v>
      </c>
      <c r="D5">
        <f>Case!E49</f>
        <v>45605</v>
      </c>
      <c r="E5">
        <f>Case!G49</f>
        <v>8</v>
      </c>
      <c r="F5" t="str">
        <f>Case!H49</f>
        <v>Stroberi</v>
      </c>
      <c r="G5" t="str">
        <f>PROPER(Case!I49)</f>
        <v>Tawar</v>
      </c>
      <c r="H5">
        <f>Case!J49</f>
        <v>22000</v>
      </c>
      <c r="I5">
        <f>Case!K49</f>
        <v>1100</v>
      </c>
      <c r="J5">
        <f>Case!L49</f>
        <v>20900</v>
      </c>
      <c r="K5">
        <f>Case!L61</f>
        <v>24122.916666666668</v>
      </c>
      <c r="L5">
        <f>Case!D65</f>
        <v>9</v>
      </c>
      <c r="M5">
        <f>Case!E65</f>
        <v>2</v>
      </c>
      <c r="N5">
        <f>Case!F65</f>
        <v>50700</v>
      </c>
      <c r="Q5">
        <f ca="1">LEN(_xlfn.FORMULATEXT(Case!D49))</f>
        <v>71</v>
      </c>
      <c r="R5">
        <f ca="1">LEN(_xlfn.FORMULATEXT(Case!E49))</f>
        <v>51</v>
      </c>
      <c r="S5">
        <f ca="1">LEN(_xlfn.FORMULATEXT(Case!G49))</f>
        <v>8</v>
      </c>
      <c r="T5">
        <f ca="1">LEN(_xlfn.FORMULATEXT(Case!H49))</f>
        <v>40</v>
      </c>
      <c r="U5">
        <f ca="1">LEN(_xlfn.FORMULATEXT(Case!I49))</f>
        <v>58</v>
      </c>
      <c r="V5">
        <f ca="1">LEN(_xlfn.FORMULATEXT(Case!J49))</f>
        <v>78</v>
      </c>
      <c r="W5">
        <f ca="1">LEN(_xlfn.FORMULATEXT(Case!K49))</f>
        <v>33</v>
      </c>
      <c r="X5">
        <f ca="1">LEN(_xlfn.FORMULATEXT(Case!L49))</f>
        <v>8</v>
      </c>
      <c r="Z5">
        <f ca="1">LEN(_xlfn.FORMULATEXT(Case!D65))</f>
        <v>39</v>
      </c>
      <c r="AA5">
        <f ca="1">LEN(_xlfn.FORMULATEXT(Case!E65))</f>
        <v>25</v>
      </c>
      <c r="AB5">
        <f ca="1">LEN(_xlfn.FORMULATEXT(Case!F65))</f>
        <v>35</v>
      </c>
    </row>
    <row r="6" spans="1:28">
      <c r="B6">
        <v>5</v>
      </c>
      <c r="C6" t="str">
        <f>UPPER(Case!D50)</f>
        <v>PELAJAR</v>
      </c>
      <c r="D6">
        <f>Case!E50</f>
        <v>45613</v>
      </c>
      <c r="E6">
        <f>Case!G50</f>
        <v>3</v>
      </c>
      <c r="F6" t="str">
        <f>Case!H50</f>
        <v>Susu</v>
      </c>
      <c r="G6" t="str">
        <f>PROPER(Case!I50)</f>
        <v>Gandum</v>
      </c>
      <c r="H6">
        <f>Case!J50</f>
        <v>28000</v>
      </c>
      <c r="I6">
        <f>Case!K50</f>
        <v>700</v>
      </c>
      <c r="J6">
        <f>Case!L50</f>
        <v>27300</v>
      </c>
      <c r="Q6">
        <f ca="1">LEN(_xlfn.FORMULATEXT(Case!D50))</f>
        <v>71</v>
      </c>
      <c r="R6">
        <f ca="1">LEN(_xlfn.FORMULATEXT(Case!E50))</f>
        <v>51</v>
      </c>
      <c r="S6">
        <f ca="1">LEN(_xlfn.FORMULATEXT(Case!G50))</f>
        <v>8</v>
      </c>
      <c r="T6">
        <f ca="1">LEN(_xlfn.FORMULATEXT(Case!H50))</f>
        <v>40</v>
      </c>
      <c r="U6">
        <f ca="1">LEN(_xlfn.FORMULATEXT(Case!I50))</f>
        <v>58</v>
      </c>
      <c r="V6">
        <f ca="1">LEN(_xlfn.FORMULATEXT(Case!J50))</f>
        <v>78</v>
      </c>
      <c r="W6">
        <f ca="1">LEN(_xlfn.FORMULATEXT(Case!K50))</f>
        <v>33</v>
      </c>
      <c r="X6">
        <f ca="1">LEN(_xlfn.FORMULATEXT(Case!L50))</f>
        <v>8</v>
      </c>
    </row>
    <row r="7" spans="1:28">
      <c r="B7">
        <v>6</v>
      </c>
      <c r="C7" t="str">
        <f>UPPER(Case!D51)</f>
        <v>UMUM</v>
      </c>
      <c r="D7">
        <f>Case!E51</f>
        <v>45608</v>
      </c>
      <c r="E7">
        <f>Case!G51</f>
        <v>8</v>
      </c>
      <c r="F7" t="str">
        <f>Case!H51</f>
        <v>Coklat</v>
      </c>
      <c r="G7" t="str">
        <f>PROPER(Case!I51)</f>
        <v>Gandum</v>
      </c>
      <c r="H7">
        <f>Case!J51</f>
        <v>25000</v>
      </c>
      <c r="I7">
        <f>Case!K51</f>
        <v>1875</v>
      </c>
      <c r="J7">
        <f>Case!L51</f>
        <v>23125</v>
      </c>
      <c r="Q7">
        <f ca="1">LEN(_xlfn.FORMULATEXT(Case!D51))</f>
        <v>71</v>
      </c>
      <c r="R7">
        <f ca="1">LEN(_xlfn.FORMULATEXT(Case!E51))</f>
        <v>51</v>
      </c>
      <c r="S7">
        <f ca="1">LEN(_xlfn.FORMULATEXT(Case!G51))</f>
        <v>8</v>
      </c>
      <c r="T7">
        <f ca="1">LEN(_xlfn.FORMULATEXT(Case!H51))</f>
        <v>40</v>
      </c>
      <c r="U7">
        <f ca="1">LEN(_xlfn.FORMULATEXT(Case!I51))</f>
        <v>58</v>
      </c>
      <c r="V7">
        <f ca="1">LEN(_xlfn.FORMULATEXT(Case!J51))</f>
        <v>78</v>
      </c>
      <c r="W7">
        <f ca="1">LEN(_xlfn.FORMULATEXT(Case!K51))</f>
        <v>33</v>
      </c>
      <c r="X7">
        <f ca="1">LEN(_xlfn.FORMULATEXT(Case!L51))</f>
        <v>8</v>
      </c>
    </row>
    <row r="8" spans="1:28">
      <c r="B8">
        <v>7</v>
      </c>
      <c r="C8" t="str">
        <f>UPPER(Case!D52)</f>
        <v>MAHASISWA</v>
      </c>
      <c r="D8">
        <f>Case!E52</f>
        <v>45616</v>
      </c>
      <c r="E8">
        <f>Case!G52</f>
        <v>2</v>
      </c>
      <c r="F8" t="str">
        <f>Case!H52</f>
        <v>Stroberi</v>
      </c>
      <c r="G8" t="str">
        <f>PROPER(Case!I52)</f>
        <v>Bakar</v>
      </c>
      <c r="H8">
        <f>Case!J52</f>
        <v>27000</v>
      </c>
      <c r="I8">
        <f>Case!K52</f>
        <v>1350</v>
      </c>
      <c r="J8">
        <f>Case!L52</f>
        <v>25650</v>
      </c>
      <c r="Q8">
        <f ca="1">LEN(_xlfn.FORMULATEXT(Case!D52))</f>
        <v>71</v>
      </c>
      <c r="R8">
        <f ca="1">LEN(_xlfn.FORMULATEXT(Case!E52))</f>
        <v>51</v>
      </c>
      <c r="S8">
        <f ca="1">LEN(_xlfn.FORMULATEXT(Case!G52))</f>
        <v>8</v>
      </c>
      <c r="T8">
        <f ca="1">LEN(_xlfn.FORMULATEXT(Case!H52))</f>
        <v>40</v>
      </c>
      <c r="U8">
        <f ca="1">LEN(_xlfn.FORMULATEXT(Case!I52))</f>
        <v>58</v>
      </c>
      <c r="V8">
        <f ca="1">LEN(_xlfn.FORMULATEXT(Case!J52))</f>
        <v>78</v>
      </c>
      <c r="W8">
        <f ca="1">LEN(_xlfn.FORMULATEXT(Case!K52))</f>
        <v>33</v>
      </c>
      <c r="X8">
        <f ca="1">LEN(_xlfn.FORMULATEXT(Case!L52))</f>
        <v>8</v>
      </c>
    </row>
    <row r="9" spans="1:28">
      <c r="B9">
        <v>8</v>
      </c>
      <c r="C9" t="str">
        <f>UPPER(Case!D53)</f>
        <v>MAHASISWA</v>
      </c>
      <c r="D9">
        <f>Case!E53</f>
        <v>45609</v>
      </c>
      <c r="E9">
        <f>Case!G53</f>
        <v>10</v>
      </c>
      <c r="F9" t="str">
        <f>Case!H53</f>
        <v>Keju</v>
      </c>
      <c r="G9" t="str">
        <f>PROPER(Case!I53)</f>
        <v>Gandum</v>
      </c>
      <c r="H9">
        <f>Case!J53</f>
        <v>30000</v>
      </c>
      <c r="I9">
        <f>Case!K53</f>
        <v>3000</v>
      </c>
      <c r="J9">
        <f>Case!L53</f>
        <v>27000</v>
      </c>
      <c r="Q9">
        <f ca="1">LEN(_xlfn.FORMULATEXT(Case!D53))</f>
        <v>71</v>
      </c>
      <c r="R9">
        <f ca="1">LEN(_xlfn.FORMULATEXT(Case!E53))</f>
        <v>51</v>
      </c>
      <c r="S9">
        <f ca="1">LEN(_xlfn.FORMULATEXT(Case!G53))</f>
        <v>8</v>
      </c>
      <c r="T9">
        <f ca="1">LEN(_xlfn.FORMULATEXT(Case!H53))</f>
        <v>40</v>
      </c>
      <c r="U9">
        <f ca="1">LEN(_xlfn.FORMULATEXT(Case!I53))</f>
        <v>58</v>
      </c>
      <c r="V9">
        <f ca="1">LEN(_xlfn.FORMULATEXT(Case!J53))</f>
        <v>78</v>
      </c>
      <c r="W9">
        <f ca="1">LEN(_xlfn.FORMULATEXT(Case!K53))</f>
        <v>33</v>
      </c>
      <c r="X9">
        <f ca="1">LEN(_xlfn.FORMULATEXT(Case!L53))</f>
        <v>8</v>
      </c>
    </row>
    <row r="10" spans="1:28">
      <c r="B10">
        <v>9</v>
      </c>
      <c r="C10" t="str">
        <f>UPPER(Case!D54)</f>
        <v>PELAJAR</v>
      </c>
      <c r="D10">
        <f>Case!E54</f>
        <v>45606</v>
      </c>
      <c r="E10">
        <f>Case!G54</f>
        <v>15</v>
      </c>
      <c r="F10" t="str">
        <f>Case!H54</f>
        <v>Susu</v>
      </c>
      <c r="G10" t="str">
        <f>PROPER(Case!I54)</f>
        <v>Tawar</v>
      </c>
      <c r="H10">
        <f>Case!J54</f>
        <v>24000</v>
      </c>
      <c r="I10">
        <f>Case!K54</f>
        <v>600</v>
      </c>
      <c r="J10">
        <f>Case!L54</f>
        <v>23400</v>
      </c>
      <c r="Q10">
        <f ca="1">LEN(_xlfn.FORMULATEXT(Case!D54))</f>
        <v>71</v>
      </c>
      <c r="R10">
        <f ca="1">LEN(_xlfn.FORMULATEXT(Case!E54))</f>
        <v>51</v>
      </c>
      <c r="S10">
        <f ca="1">LEN(_xlfn.FORMULATEXT(Case!G54))</f>
        <v>8</v>
      </c>
      <c r="T10">
        <f ca="1">LEN(_xlfn.FORMULATEXT(Case!H54))</f>
        <v>40</v>
      </c>
      <c r="U10">
        <f ca="1">LEN(_xlfn.FORMULATEXT(Case!I54))</f>
        <v>58</v>
      </c>
      <c r="V10">
        <f ca="1">LEN(_xlfn.FORMULATEXT(Case!J54))</f>
        <v>78</v>
      </c>
      <c r="W10">
        <f ca="1">LEN(_xlfn.FORMULATEXT(Case!K54))</f>
        <v>33</v>
      </c>
      <c r="X10">
        <f ca="1">LEN(_xlfn.FORMULATEXT(Case!L54))</f>
        <v>8</v>
      </c>
    </row>
    <row r="11" spans="1:28">
      <c r="B11">
        <v>10</v>
      </c>
      <c r="C11" t="str">
        <f>UPPER(Case!D55)</f>
        <v>UMUM</v>
      </c>
      <c r="D11">
        <f>Case!E55</f>
        <v>45609</v>
      </c>
      <c r="E11">
        <f>Case!G55</f>
        <v>15</v>
      </c>
      <c r="F11" t="str">
        <f>Case!H55</f>
        <v>Stroberi</v>
      </c>
      <c r="G11" t="str">
        <f>PROPER(Case!I55)</f>
        <v>Bakar</v>
      </c>
      <c r="H11">
        <f>Case!J55</f>
        <v>27000</v>
      </c>
      <c r="I11">
        <f>Case!K55</f>
        <v>1350</v>
      </c>
      <c r="J11">
        <f>Case!L55</f>
        <v>25650</v>
      </c>
      <c r="Q11">
        <f ca="1">LEN(_xlfn.FORMULATEXT(Case!D55))</f>
        <v>71</v>
      </c>
      <c r="R11">
        <f ca="1">LEN(_xlfn.FORMULATEXT(Case!E55))</f>
        <v>51</v>
      </c>
      <c r="S11">
        <f ca="1">LEN(_xlfn.FORMULATEXT(Case!G55))</f>
        <v>8</v>
      </c>
      <c r="T11">
        <f ca="1">LEN(_xlfn.FORMULATEXT(Case!H55))</f>
        <v>40</v>
      </c>
      <c r="U11">
        <f ca="1">LEN(_xlfn.FORMULATEXT(Case!I55))</f>
        <v>58</v>
      </c>
      <c r="V11">
        <f ca="1">LEN(_xlfn.FORMULATEXT(Case!J55))</f>
        <v>78</v>
      </c>
      <c r="W11">
        <f ca="1">LEN(_xlfn.FORMULATEXT(Case!K55))</f>
        <v>33</v>
      </c>
      <c r="X11">
        <f ca="1">LEN(_xlfn.FORMULATEXT(Case!L55))</f>
        <v>8</v>
      </c>
    </row>
    <row r="12" spans="1:28">
      <c r="B12">
        <v>11</v>
      </c>
      <c r="C12" t="str">
        <f>UPPER(Case!D56)</f>
        <v>UMUM</v>
      </c>
      <c r="D12">
        <f>Case!E56</f>
        <v>45613</v>
      </c>
      <c r="E12">
        <f>Case!G56</f>
        <v>13</v>
      </c>
      <c r="F12" t="str">
        <f>Case!H56</f>
        <v>Keju</v>
      </c>
      <c r="G12" t="str">
        <f>PROPER(Case!I56)</f>
        <v>Tawar</v>
      </c>
      <c r="H12">
        <f>Case!J56</f>
        <v>25000</v>
      </c>
      <c r="I12">
        <f>Case!K56</f>
        <v>2500</v>
      </c>
      <c r="J12">
        <f>Case!L56</f>
        <v>22500</v>
      </c>
      <c r="Q12">
        <f ca="1">LEN(_xlfn.FORMULATEXT(Case!D56))</f>
        <v>71</v>
      </c>
      <c r="R12">
        <f ca="1">LEN(_xlfn.FORMULATEXT(Case!E56))</f>
        <v>51</v>
      </c>
      <c r="S12">
        <f ca="1">LEN(_xlfn.FORMULATEXT(Case!G56))</f>
        <v>8</v>
      </c>
      <c r="T12">
        <f ca="1">LEN(_xlfn.FORMULATEXT(Case!H56))</f>
        <v>40</v>
      </c>
      <c r="U12">
        <f ca="1">LEN(_xlfn.FORMULATEXT(Case!I56))</f>
        <v>58</v>
      </c>
      <c r="V12">
        <f ca="1">LEN(_xlfn.FORMULATEXT(Case!J56))</f>
        <v>78</v>
      </c>
      <c r="W12">
        <f ca="1">LEN(_xlfn.FORMULATEXT(Case!K56))</f>
        <v>33</v>
      </c>
      <c r="X12">
        <f ca="1">LEN(_xlfn.FORMULATEXT(Case!L56))</f>
        <v>8</v>
      </c>
    </row>
    <row r="13" spans="1:28">
      <c r="B13">
        <v>12</v>
      </c>
      <c r="C13" t="str">
        <f>UPPER(Case!D57)</f>
        <v>PELAJAR</v>
      </c>
      <c r="D13">
        <f>Case!E57</f>
        <v>45620</v>
      </c>
      <c r="E13">
        <f>Case!G57</f>
        <v>6</v>
      </c>
      <c r="F13" t="str">
        <f>Case!H57</f>
        <v>Coklat</v>
      </c>
      <c r="G13" t="str">
        <f>PROPER(Case!I57)</f>
        <v>Bakar</v>
      </c>
      <c r="H13">
        <f>Case!J57</f>
        <v>25000</v>
      </c>
      <c r="I13">
        <f>Case!K57</f>
        <v>1875</v>
      </c>
      <c r="J13">
        <f>Case!L57</f>
        <v>23125</v>
      </c>
      <c r="Q13">
        <f ca="1">LEN(_xlfn.FORMULATEXT(Case!D57))</f>
        <v>71</v>
      </c>
      <c r="R13">
        <f ca="1">LEN(_xlfn.FORMULATEXT(Case!E57))</f>
        <v>51</v>
      </c>
      <c r="S13">
        <f ca="1">LEN(_xlfn.FORMULATEXT(Case!G57))</f>
        <v>8</v>
      </c>
      <c r="T13">
        <f ca="1">LEN(_xlfn.FORMULATEXT(Case!H57))</f>
        <v>40</v>
      </c>
      <c r="U13">
        <f ca="1">LEN(_xlfn.FORMULATEXT(Case!I57))</f>
        <v>58</v>
      </c>
      <c r="V13">
        <f ca="1">LEN(_xlfn.FORMULATEXT(Case!J57))</f>
        <v>78</v>
      </c>
      <c r="W13">
        <f ca="1">LEN(_xlfn.FORMULATEXT(Case!K57))</f>
        <v>33</v>
      </c>
      <c r="X13">
        <f ca="1">LEN(_xlfn.FORMULATEXT(Case!L57))</f>
        <v>8</v>
      </c>
    </row>
    <row r="16" spans="1:28">
      <c r="B16">
        <v>1</v>
      </c>
      <c r="C16">
        <f>CODE(MID(C2,2,1))+CODE(MID(C2,4,1))+CODE(LEFT(C2,1))+CODE(RIGHT(C2))</f>
        <v>272</v>
      </c>
      <c r="F16">
        <f>CODE(MID(F2,2,1))+CODE(MID(F2,4,1))+CODE(LEFT(F2,1))+CODE(RIGHT(F2))</f>
        <v>410</v>
      </c>
      <c r="G16">
        <f>CODE(MID(G2,2,1))+CODE(MID(G2,4,1))+CODE(LEFT(G2,1))+CODE(RIGHT(G2))</f>
        <v>392</v>
      </c>
      <c r="Q16" t="b">
        <f ca="1">AVERAGE(Q2:Q13)=Q2</f>
        <v>1</v>
      </c>
      <c r="R16" t="b">
        <f t="shared" ref="R16:X16" ca="1" si="0">AVERAGE(R2:R13)=R2</f>
        <v>1</v>
      </c>
      <c r="S16" t="b">
        <f t="shared" ca="1" si="0"/>
        <v>1</v>
      </c>
      <c r="T16" t="b">
        <f t="shared" ca="1" si="0"/>
        <v>1</v>
      </c>
      <c r="U16" t="b">
        <f t="shared" ca="1" si="0"/>
        <v>1</v>
      </c>
      <c r="V16" t="b">
        <f t="shared" ca="1" si="0"/>
        <v>1</v>
      </c>
      <c r="W16" t="b">
        <f t="shared" ca="1" si="0"/>
        <v>1</v>
      </c>
      <c r="X16" t="b">
        <f t="shared" ca="1" si="0"/>
        <v>1</v>
      </c>
      <c r="Y16" t="b">
        <v>1</v>
      </c>
      <c r="Z16" t="b">
        <f ca="1">AVERAGE(Z2:Z5)=Z2</f>
        <v>1</v>
      </c>
      <c r="AA16" t="b">
        <f t="shared" ref="AA16:AB16" ca="1" si="1">AVERAGE(AA2:AA5)=AA2</f>
        <v>1</v>
      </c>
      <c r="AB16" t="b">
        <f t="shared" ca="1" si="1"/>
        <v>1</v>
      </c>
    </row>
    <row r="17" spans="2:29">
      <c r="B17">
        <v>2</v>
      </c>
      <c r="C17">
        <f t="shared" ref="C17:C27" si="2">CODE(MID(C3,2,1))+CODE(MID(C3,4,1))+CODE(LEFT(C3,1))+CODE(RIGHT(C3))</f>
        <v>316</v>
      </c>
      <c r="F17">
        <f t="shared" ref="F17:G27" si="3">CODE(MID(F3,2,1))+CODE(MID(F3,4,1))+CODE(LEFT(F3,1))+CODE(RIGHT(F3))</f>
        <v>402</v>
      </c>
      <c r="G17">
        <f t="shared" si="3"/>
        <v>377</v>
      </c>
      <c r="Q17" t="b">
        <f ca="1">AND(Q2&gt;0,Q6=0,C6&gt;0)</f>
        <v>0</v>
      </c>
      <c r="R17" t="b">
        <f t="shared" ref="R17:X17" ca="1" si="4">AND(R2&gt;0,R6=0,D6&gt;0)</f>
        <v>0</v>
      </c>
      <c r="S17" t="b">
        <f t="shared" ca="1" si="4"/>
        <v>0</v>
      </c>
      <c r="T17" t="b">
        <f t="shared" ca="1" si="4"/>
        <v>0</v>
      </c>
      <c r="U17" t="b">
        <f t="shared" ca="1" si="4"/>
        <v>0</v>
      </c>
      <c r="V17" t="b">
        <f t="shared" ca="1" si="4"/>
        <v>0</v>
      </c>
      <c r="W17" t="b">
        <f t="shared" ca="1" si="4"/>
        <v>0</v>
      </c>
      <c r="X17" t="b">
        <f t="shared" ca="1" si="4"/>
        <v>0</v>
      </c>
      <c r="Y17" t="b">
        <v>1</v>
      </c>
      <c r="Z17" t="b">
        <f ca="1">AND(Z2&gt;0,Z5=0,L5&gt;0)</f>
        <v>0</v>
      </c>
      <c r="AA17" t="b">
        <f t="shared" ref="AA17:AB17" ca="1" si="5">AND(AA2&gt;0,AA5=0,M5&gt;0)</f>
        <v>0</v>
      </c>
      <c r="AB17" t="b">
        <f t="shared" ca="1" si="5"/>
        <v>0</v>
      </c>
    </row>
    <row r="18" spans="2:29">
      <c r="B18">
        <v>3</v>
      </c>
      <c r="C18">
        <f t="shared" si="2"/>
        <v>296</v>
      </c>
      <c r="F18">
        <f t="shared" si="3"/>
        <v>410</v>
      </c>
      <c r="G18">
        <f t="shared" si="3"/>
        <v>374</v>
      </c>
    </row>
    <row r="19" spans="2:29">
      <c r="B19">
        <v>4</v>
      </c>
      <c r="C19">
        <f t="shared" si="2"/>
        <v>272</v>
      </c>
      <c r="F19">
        <f t="shared" si="3"/>
        <v>415</v>
      </c>
      <c r="G19">
        <f t="shared" si="3"/>
        <v>392</v>
      </c>
      <c r="Q19" t="b">
        <f ca="1">IFERROR(OR(Q16:Q17),FALSE)</f>
        <v>1</v>
      </c>
      <c r="R19" t="b">
        <f t="shared" ref="R19:AB19" ca="1" si="6">IFERROR(OR(R16:R17),FALSE)</f>
        <v>1</v>
      </c>
      <c r="S19" t="b">
        <f t="shared" ca="1" si="6"/>
        <v>1</v>
      </c>
      <c r="T19" t="b">
        <f t="shared" ca="1" si="6"/>
        <v>1</v>
      </c>
      <c r="U19" t="b">
        <f t="shared" ca="1" si="6"/>
        <v>1</v>
      </c>
      <c r="V19" t="b">
        <f t="shared" ca="1" si="6"/>
        <v>1</v>
      </c>
      <c r="W19" t="b">
        <f t="shared" ca="1" si="6"/>
        <v>1</v>
      </c>
      <c r="X19" t="b">
        <f t="shared" ca="1" si="6"/>
        <v>1</v>
      </c>
      <c r="Y19" t="b">
        <f t="shared" si="6"/>
        <v>1</v>
      </c>
      <c r="Z19" t="b">
        <f t="shared" ca="1" si="6"/>
        <v>1</v>
      </c>
      <c r="AA19" t="b">
        <f t="shared" ca="1" si="6"/>
        <v>1</v>
      </c>
      <c r="AB19" t="b">
        <f t="shared" ca="1" si="6"/>
        <v>1</v>
      </c>
    </row>
    <row r="20" spans="2:29">
      <c r="B20">
        <v>5</v>
      </c>
      <c r="C20">
        <f t="shared" si="2"/>
        <v>296</v>
      </c>
      <c r="F20">
        <f t="shared" si="3"/>
        <v>434</v>
      </c>
      <c r="G20">
        <f t="shared" si="3"/>
        <v>377</v>
      </c>
    </row>
    <row r="21" spans="2:29">
      <c r="B21">
        <v>6</v>
      </c>
      <c r="C21">
        <f t="shared" si="2"/>
        <v>316</v>
      </c>
      <c r="F21">
        <f t="shared" si="3"/>
        <v>402</v>
      </c>
      <c r="G21">
        <f t="shared" si="3"/>
        <v>377</v>
      </c>
    </row>
    <row r="22" spans="2:29">
      <c r="B22">
        <v>7</v>
      </c>
      <c r="C22">
        <f t="shared" si="2"/>
        <v>272</v>
      </c>
      <c r="F22">
        <f t="shared" si="3"/>
        <v>415</v>
      </c>
      <c r="G22">
        <f t="shared" si="3"/>
        <v>374</v>
      </c>
    </row>
    <row r="23" spans="2:29">
      <c r="B23">
        <v>8</v>
      </c>
      <c r="C23">
        <f t="shared" si="2"/>
        <v>272</v>
      </c>
      <c r="F23">
        <f t="shared" si="3"/>
        <v>410</v>
      </c>
      <c r="G23">
        <f t="shared" si="3"/>
        <v>377</v>
      </c>
    </row>
    <row r="24" spans="2:29">
      <c r="B24">
        <v>9</v>
      </c>
      <c r="C24">
        <f t="shared" si="2"/>
        <v>296</v>
      </c>
      <c r="F24">
        <f t="shared" si="3"/>
        <v>434</v>
      </c>
      <c r="G24">
        <f t="shared" si="3"/>
        <v>392</v>
      </c>
    </row>
    <row r="25" spans="2:29">
      <c r="B25">
        <v>10</v>
      </c>
      <c r="C25">
        <f t="shared" si="2"/>
        <v>316</v>
      </c>
      <c r="F25">
        <f t="shared" si="3"/>
        <v>415</v>
      </c>
      <c r="G25">
        <f t="shared" si="3"/>
        <v>374</v>
      </c>
    </row>
    <row r="26" spans="2:29">
      <c r="B26">
        <v>11</v>
      </c>
      <c r="C26">
        <f t="shared" si="2"/>
        <v>316</v>
      </c>
      <c r="F26">
        <f t="shared" si="3"/>
        <v>410</v>
      </c>
      <c r="G26">
        <f t="shared" si="3"/>
        <v>392</v>
      </c>
    </row>
    <row r="27" spans="2:29">
      <c r="B27">
        <v>12</v>
      </c>
      <c r="C27">
        <f t="shared" si="2"/>
        <v>296</v>
      </c>
      <c r="F27">
        <f t="shared" si="3"/>
        <v>402</v>
      </c>
      <c r="G27">
        <f t="shared" si="3"/>
        <v>374</v>
      </c>
      <c r="R27">
        <v>1</v>
      </c>
      <c r="S27">
        <v>2</v>
      </c>
      <c r="T27">
        <v>3</v>
      </c>
      <c r="U27">
        <v>4</v>
      </c>
      <c r="V27">
        <v>5</v>
      </c>
      <c r="W27">
        <v>6</v>
      </c>
      <c r="X27">
        <v>7</v>
      </c>
      <c r="Y27">
        <v>8</v>
      </c>
      <c r="Z27">
        <v>9</v>
      </c>
      <c r="AA27">
        <v>10</v>
      </c>
      <c r="AB27">
        <v>11</v>
      </c>
      <c r="AC27">
        <v>12</v>
      </c>
    </row>
    <row r="28" spans="2:29">
      <c r="Q28">
        <v>1</v>
      </c>
      <c r="R28" t="str">
        <f ca="1">_xlfn.FORMULATEXT(Case!D46)</f>
        <v>=IF(LEFT(C46;2)="MA";"MAHASISWA";IF(LEFT(C46;2)="PE";"PELAJAR";"UMUM"))</v>
      </c>
      <c r="S28" t="str">
        <f ca="1">_xlfn.FORMULATEXT(Case!E46)</f>
        <v>=DATE(2000+RIGHT(C46;2);MID(C46;10;2);MID(C46;7;2))</v>
      </c>
      <c r="T28" t="str">
        <f ca="1">_xlfn.FORMULATEXT(Case!G46)</f>
        <v>=F46-E46</v>
      </c>
      <c r="U28" t="str">
        <f ca="1">_xlfn.FORMULATEXT(Case!H46)</f>
        <v>=VLOOKUP(MID(C46;5;1)*1;$F$73:$H$76;2;0)</v>
      </c>
      <c r="V28" t="str">
        <f ca="1">_xlfn.FORMULATEXT(Case!I46)</f>
        <v>=SWITCH(MID(C46;3;1);"T";"TAWAR";"G";"GANDUM";"B";"BAKAR")</v>
      </c>
      <c r="W28" t="str">
        <f ca="1">_xlfn.FORMULATEXT(Case!J46)</f>
        <v>=INDEX($D$73:$D$84; MATCH(I46; $B$73:$B$84; 0) + MATCH(H46;$C$73:$C$76;0) - 1)</v>
      </c>
      <c r="X28" t="str">
        <f ca="1">_xlfn.FORMULATEXT(Case!K46)</f>
        <v>=VLOOKUP(H46;$G$73:$H$76;2;0)*J46</v>
      </c>
      <c r="Y28" t="str">
        <f ca="1">_xlfn.FORMULATEXT(Case!L46)</f>
        <v>=J46-K46</v>
      </c>
      <c r="AA28" t="str">
        <f ca="1">_xlfn.FORMULATEXT(Case!D62)</f>
        <v>=AVERAGEIF($H$46:$H$57;C62;$G$46:$G$57)</v>
      </c>
      <c r="AB28" t="str">
        <f ca="1">_xlfn.FORMULATEXT(Case!E62)</f>
        <v>=COUNTIF($H$46:$H$57;C62)</v>
      </c>
      <c r="AC28" t="str">
        <f ca="1">_xlfn.FORMULATEXT(Case!F62)</f>
        <v>=SUMIF($H$46:$H$57;C62;$L$46:$L$57)</v>
      </c>
    </row>
    <row r="29" spans="2:29">
      <c r="Q29">
        <v>2</v>
      </c>
      <c r="R29" t="str">
        <f ca="1">_xlfn.FORMULATEXT(Case!E46)</f>
        <v>=DATE(2000+RIGHT(C46;2);MID(C46;10;2);MID(C46;7;2))</v>
      </c>
    </row>
    <row r="30" spans="2:29">
      <c r="C30">
        <f>IFERROR(SUM(C16:C27)+C26+C21+C17,0)</f>
        <v>4484</v>
      </c>
      <c r="D30">
        <f>SUM(D2:D13)+D3+D6+D9+D12</f>
        <v>729730</v>
      </c>
      <c r="E30">
        <f>(SUM(E2:E13)+E3+E6+E9+E12)+900</f>
        <v>1031</v>
      </c>
      <c r="F30">
        <f>IFERROR(SUM(F16:F27)+F26+F21+F17,0)</f>
        <v>6173</v>
      </c>
      <c r="G30">
        <f>IFERROR(SUM(G16:G27)+G26+G21+G17,0)</f>
        <v>5718</v>
      </c>
      <c r="H30">
        <f>SUM(H2:H13)+H3+H6+H9+H12</f>
        <v>419000</v>
      </c>
      <c r="I30">
        <f>SUM(I2:I13)+I3+I6+I9+I12</f>
        <v>29600</v>
      </c>
      <c r="J30">
        <f>SUM(J2:J13)+J3+J6+J9+J12</f>
        <v>389400</v>
      </c>
      <c r="K30">
        <f>SUM(K2:K5)+K3+K4+K2</f>
        <v>699472.91666666674</v>
      </c>
      <c r="L30">
        <f>(SUM(L2:L5)+L3+L4+L2)+2456</f>
        <v>2513</v>
      </c>
      <c r="M30">
        <f>(SUM(M2:M5)+M3+M4+M2)+1452</f>
        <v>1474</v>
      </c>
      <c r="N30">
        <f>SUM(N2:N5)+N3+N4+N2</f>
        <v>528250</v>
      </c>
      <c r="Q30">
        <v>3</v>
      </c>
      <c r="R30" t="str">
        <f ca="1">_xlfn.FORMULATEXT(Case!G46)</f>
        <v>=F46-E46</v>
      </c>
    </row>
    <row r="31" spans="2:29">
      <c r="Q31">
        <v>4</v>
      </c>
      <c r="R31" t="str">
        <f ca="1">_xlfn.FORMULATEXT(Case!H46)</f>
        <v>=VLOOKUP(MID(C46;5;1)*1;$F$73:$H$76;2;0)</v>
      </c>
    </row>
    <row r="32" spans="2:29">
      <c r="B32" t="s">
        <v>79</v>
      </c>
      <c r="C32">
        <v>9286</v>
      </c>
      <c r="D32">
        <v>9637</v>
      </c>
      <c r="E32">
        <v>7414</v>
      </c>
      <c r="F32">
        <v>8331</v>
      </c>
      <c r="G32">
        <v>5671</v>
      </c>
      <c r="H32">
        <v>8942</v>
      </c>
      <c r="I32">
        <v>2872</v>
      </c>
      <c r="J32">
        <v>4268</v>
      </c>
      <c r="K32">
        <v>5604</v>
      </c>
      <c r="L32">
        <v>4104</v>
      </c>
      <c r="M32">
        <v>6071</v>
      </c>
      <c r="N32">
        <v>6720</v>
      </c>
      <c r="Q32">
        <v>5</v>
      </c>
      <c r="R32" t="str">
        <f ca="1">_xlfn.FORMULATEXT(Case!I46)</f>
        <v>=SWITCH(MID(C46;3;1);"T";"TAWAR";"G";"GANDUM";"B";"BAKAR")</v>
      </c>
    </row>
    <row r="33" spans="2:21">
      <c r="Q33">
        <v>6</v>
      </c>
      <c r="R33" t="str">
        <f ca="1">_xlfn.FORMULATEXT(Case!J46)</f>
        <v>=INDEX($D$73:$D$84; MATCH(I46; $B$73:$B$84; 0) + MATCH(H46;$C$73:$C$76;0) - 1)</v>
      </c>
    </row>
    <row r="34" spans="2:21">
      <c r="B34" t="b">
        <v>1</v>
      </c>
      <c r="C34" t="str">
        <f>DEC2HEX(LEFT(C32,2)+COLUMN()+2)</f>
        <v>61</v>
      </c>
      <c r="D34" t="str">
        <f t="shared" ref="D34:N34" si="7">DEC2HEX(LEFT(D32,2)+COLUMN()+2)</f>
        <v>66</v>
      </c>
      <c r="E34" t="str">
        <f t="shared" si="7"/>
        <v>51</v>
      </c>
      <c r="F34" t="str">
        <f t="shared" si="7"/>
        <v>5B</v>
      </c>
      <c r="G34" t="str">
        <f t="shared" si="7"/>
        <v>41</v>
      </c>
      <c r="H34" t="str">
        <f t="shared" si="7"/>
        <v>63</v>
      </c>
      <c r="I34" t="str">
        <f t="shared" si="7"/>
        <v>27</v>
      </c>
      <c r="J34" t="str">
        <f t="shared" si="7"/>
        <v>36</v>
      </c>
      <c r="K34" t="str">
        <f t="shared" si="7"/>
        <v>45</v>
      </c>
      <c r="L34" t="str">
        <f t="shared" si="7"/>
        <v>37</v>
      </c>
      <c r="M34" t="str">
        <f t="shared" si="7"/>
        <v>4B</v>
      </c>
      <c r="N34" t="str">
        <f t="shared" si="7"/>
        <v>53</v>
      </c>
      <c r="Q34">
        <v>7</v>
      </c>
      <c r="R34" t="str">
        <f ca="1">_xlfn.FORMULATEXT(Case!K46)</f>
        <v>=VLOOKUP(H46;$G$73:$H$76;2;0)*J46</v>
      </c>
    </row>
    <row r="35" spans="2:21">
      <c r="B35" t="b">
        <v>0</v>
      </c>
      <c r="C35" t="str">
        <f>DEC2HEX(RIGHT(C32,2)+COLUMN()+2)</f>
        <v>5B</v>
      </c>
      <c r="D35" t="str">
        <f t="shared" ref="D35:N35" si="8">DEC2HEX(RIGHT(D32,2)+COLUMN()+2)</f>
        <v>2B</v>
      </c>
      <c r="E35" t="str">
        <f t="shared" si="8"/>
        <v>15</v>
      </c>
      <c r="F35" t="str">
        <f t="shared" si="8"/>
        <v>27</v>
      </c>
      <c r="G35" t="str">
        <f t="shared" si="8"/>
        <v>50</v>
      </c>
      <c r="H35" t="str">
        <f t="shared" si="8"/>
        <v>34</v>
      </c>
      <c r="I35" t="str">
        <f t="shared" si="8"/>
        <v>53</v>
      </c>
      <c r="J35" t="str">
        <f t="shared" si="8"/>
        <v>50</v>
      </c>
      <c r="K35" t="str">
        <f t="shared" si="8"/>
        <v>11</v>
      </c>
      <c r="L35" t="str">
        <f t="shared" si="8"/>
        <v>12</v>
      </c>
      <c r="M35" t="str">
        <f t="shared" si="8"/>
        <v>56</v>
      </c>
      <c r="N35" t="str">
        <f t="shared" si="8"/>
        <v>24</v>
      </c>
      <c r="Q35">
        <v>8</v>
      </c>
      <c r="R35" t="str">
        <f ca="1">_xlfn.FORMULATEXT(Case!L46)</f>
        <v>=J46-K46</v>
      </c>
    </row>
    <row r="36" spans="2:21">
      <c r="Q36">
        <v>9</v>
      </c>
    </row>
    <row r="37" spans="2:21">
      <c r="Q37">
        <v>10</v>
      </c>
      <c r="R37" t="str">
        <f ca="1">_xlfn.FORMULATEXT(Case!D62)</f>
        <v>=AVERAGEIF($H$46:$H$57;C62;$G$46:$G$57)</v>
      </c>
    </row>
    <row r="38" spans="2:21">
      <c r="B38" t="s">
        <v>80</v>
      </c>
      <c r="C38" t="b">
        <f ca="1">AND(ISNUMBER(FIND("=",R28)),ISNUMBER(FIND("(",R28)))</f>
        <v>1</v>
      </c>
      <c r="D38" t="b">
        <f t="shared" ref="D38:L38" ca="1" si="9">AND(ISNUMBER(FIND("=",S28)),ISNUMBER(FIND("(",S28)))</f>
        <v>1</v>
      </c>
      <c r="E38" t="b">
        <f ca="1">AND(ISNUMBER(FIND("=",T28)))</f>
        <v>1</v>
      </c>
      <c r="F38" t="b">
        <f t="shared" ca="1" si="9"/>
        <v>1</v>
      </c>
      <c r="G38" t="b">
        <f t="shared" ca="1" si="9"/>
        <v>1</v>
      </c>
      <c r="H38" t="b">
        <f t="shared" ca="1" si="9"/>
        <v>1</v>
      </c>
      <c r="I38" t="b">
        <f t="shared" ca="1" si="9"/>
        <v>1</v>
      </c>
      <c r="J38" t="b">
        <f ca="1">AND(ISNUMBER(FIND("=",Y28)))</f>
        <v>1</v>
      </c>
      <c r="K38" t="b">
        <f ca="1">AND(R45:U45)</f>
        <v>1</v>
      </c>
      <c r="L38" t="b">
        <f t="shared" ca="1" si="9"/>
        <v>1</v>
      </c>
      <c r="M38" t="b">
        <f t="shared" ref="M38" ca="1" si="10">AND(ISNUMBER(FIND("=",AB28)),ISNUMBER(FIND("(",AB28)))</f>
        <v>1</v>
      </c>
      <c r="N38" t="b">
        <f t="shared" ref="N38" ca="1" si="11">AND(ISNUMBER(FIND("=",AC28)),ISNUMBER(FIND("(",AC28)))</f>
        <v>1</v>
      </c>
      <c r="Q38">
        <v>11</v>
      </c>
      <c r="R38" t="str">
        <f ca="1">_xlfn.FORMULATEXT(Case!E62)</f>
        <v>=COUNTIF($H$46:$H$57;C62)</v>
      </c>
    </row>
    <row r="39" spans="2:21">
      <c r="B39" t="s">
        <v>81</v>
      </c>
      <c r="C39" t="b">
        <f>NOT(OR(C2="",C2=0))</f>
        <v>1</v>
      </c>
      <c r="D39" t="b">
        <f t="shared" ref="D39:N39" si="12">NOT(OR(D2="",D2=0))</f>
        <v>1</v>
      </c>
      <c r="E39" t="b">
        <f t="shared" si="12"/>
        <v>1</v>
      </c>
      <c r="F39" t="b">
        <f t="shared" si="12"/>
        <v>1</v>
      </c>
      <c r="G39" t="b">
        <f t="shared" si="12"/>
        <v>1</v>
      </c>
      <c r="H39" t="b">
        <f t="shared" si="12"/>
        <v>1</v>
      </c>
      <c r="I39" t="b">
        <f t="shared" si="12"/>
        <v>1</v>
      </c>
      <c r="J39" t="b">
        <f t="shared" si="12"/>
        <v>1</v>
      </c>
      <c r="K39" t="b">
        <f t="shared" si="12"/>
        <v>1</v>
      </c>
      <c r="L39" t="b">
        <f t="shared" si="12"/>
        <v>1</v>
      </c>
      <c r="M39" t="b">
        <f t="shared" si="12"/>
        <v>1</v>
      </c>
      <c r="N39" t="b">
        <f t="shared" si="12"/>
        <v>1</v>
      </c>
      <c r="Q39">
        <v>12</v>
      </c>
      <c r="R39" t="str">
        <f ca="1">_xlfn.FORMULATEXT(Case!F62)</f>
        <v>=SUMIF($H$46:$H$57;C62;$L$46:$L$57)</v>
      </c>
    </row>
    <row r="40" spans="2:21">
      <c r="B40" t="s">
        <v>82</v>
      </c>
      <c r="C40" t="b">
        <f ca="1">Q19</f>
        <v>1</v>
      </c>
      <c r="D40" t="b">
        <f t="shared" ref="D40:N40" ca="1" si="13">R19</f>
        <v>1</v>
      </c>
      <c r="E40" t="b">
        <f t="shared" ca="1" si="13"/>
        <v>1</v>
      </c>
      <c r="F40" t="b">
        <f t="shared" ca="1" si="13"/>
        <v>1</v>
      </c>
      <c r="G40" t="b">
        <f t="shared" ca="1" si="13"/>
        <v>1</v>
      </c>
      <c r="H40" t="b">
        <f t="shared" ca="1" si="13"/>
        <v>1</v>
      </c>
      <c r="I40" t="b">
        <f t="shared" ca="1" si="13"/>
        <v>1</v>
      </c>
      <c r="J40" t="b">
        <f t="shared" ca="1" si="13"/>
        <v>1</v>
      </c>
      <c r="K40" t="b">
        <f t="shared" si="13"/>
        <v>1</v>
      </c>
      <c r="L40" t="b">
        <f t="shared" ca="1" si="13"/>
        <v>1</v>
      </c>
      <c r="M40" t="b">
        <f t="shared" ca="1" si="13"/>
        <v>1</v>
      </c>
      <c r="N40" t="b">
        <f t="shared" ca="1" si="13"/>
        <v>1</v>
      </c>
    </row>
    <row r="42" spans="2:21">
      <c r="B42" t="s">
        <v>83</v>
      </c>
      <c r="C42" t="b">
        <f ca="1">AND(C38:C40)</f>
        <v>1</v>
      </c>
      <c r="D42" t="b">
        <f t="shared" ref="D42:N42" ca="1" si="14">AND(D38:D40)</f>
        <v>1</v>
      </c>
      <c r="E42" t="b">
        <f t="shared" ca="1" si="14"/>
        <v>1</v>
      </c>
      <c r="F42" t="b">
        <f t="shared" ca="1" si="14"/>
        <v>1</v>
      </c>
      <c r="G42" t="b">
        <f t="shared" ca="1" si="14"/>
        <v>1</v>
      </c>
      <c r="H42" t="b">
        <f t="shared" ca="1" si="14"/>
        <v>1</v>
      </c>
      <c r="I42" t="b">
        <f t="shared" ca="1" si="14"/>
        <v>1</v>
      </c>
      <c r="J42" t="b">
        <f t="shared" ca="1" si="14"/>
        <v>1</v>
      </c>
      <c r="K42" t="b">
        <f t="shared" ca="1" si="14"/>
        <v>1</v>
      </c>
      <c r="L42" t="b">
        <f t="shared" ca="1" si="14"/>
        <v>1</v>
      </c>
      <c r="M42" t="b">
        <f t="shared" ca="1" si="14"/>
        <v>1</v>
      </c>
      <c r="N42" t="b">
        <f t="shared" ca="1" si="14"/>
        <v>1</v>
      </c>
      <c r="R42">
        <v>91</v>
      </c>
      <c r="S42">
        <v>92</v>
      </c>
      <c r="T42">
        <v>93</v>
      </c>
      <c r="U42">
        <v>94</v>
      </c>
    </row>
    <row r="43" spans="2:21">
      <c r="R43" t="str">
        <f ca="1">_xlfn.FORMULATEXT(Case!L58)</f>
        <v>=SUM($L$46:$L$57)</v>
      </c>
      <c r="S43" t="str">
        <f ca="1">_xlfn.FORMULATEXT(Case!L59)</f>
        <v>=MAX($L$46:$L$57)</v>
      </c>
      <c r="T43" t="str">
        <f ca="1">_xlfn.FORMULATEXT(Case!L60)</f>
        <v>=MIN($L$46:$L$57)</v>
      </c>
      <c r="U43" t="str">
        <f ca="1">_xlfn.FORMULATEXT(Case!L61)</f>
        <v>=AVERAGE($L$46:$L$57)</v>
      </c>
    </row>
    <row r="45" spans="2:21">
      <c r="B45" t="s">
        <v>84</v>
      </c>
      <c r="C45" t="b">
        <f ca="1">AND(OR(ISNUMBER(FIND("IF",R28)),ISNUMBER(FIND("SWI",R28))),ISNUMBER(FIND("LEFT",R28)))</f>
        <v>1</v>
      </c>
      <c r="D45" t="b">
        <f ca="1">AND(OR(ISNUMBER(FIND("DAT",S28)),ISNUMBER(FIND("DATE",S28))),ISNUMBER(FIND("MID",S28)))</f>
        <v>1</v>
      </c>
      <c r="E45" t="b">
        <f ca="1">ISNUMBER(FIND("-",T28))</f>
        <v>1</v>
      </c>
      <c r="F45" t="b">
        <f ca="1">AND(OR(ISNUMBER(FIND("LOOK",U28))),ISNUMBER(FIND("MID",U28)))</f>
        <v>1</v>
      </c>
      <c r="G45" t="b">
        <f ca="1">AND(OR(ISNUMBER(FIND("IF",V28)),ISNUMBER(FIND("SWI",V28))),ISNUMBER(FIND("MID",V28)))</f>
        <v>1</v>
      </c>
      <c r="H45" t="b">
        <f ca="1">OR(AND(ISNUMBER(FIND("INDE",W28)),ISNUMBER(FIND("MATC",W28))),ISNUMBER(FIND("LOOK",W28)))</f>
        <v>1</v>
      </c>
      <c r="I45" t="b">
        <f ca="1">AND(OR(ISNUMBER(FIND("LOOK",X28))))</f>
        <v>1</v>
      </c>
      <c r="J45" t="b">
        <f ca="1">ISNUMBER(FIND("-",Y28))</f>
        <v>1</v>
      </c>
      <c r="K45" t="b">
        <f ca="1">AND(R46:U46)</f>
        <v>1</v>
      </c>
      <c r="L45" t="b">
        <f ca="1">ISNUMBER(FIND("AGEI",AA28))</f>
        <v>1</v>
      </c>
      <c r="M45" t="b">
        <f ca="1">ISNUMBER(FIND("UNTI",AB28))</f>
        <v>1</v>
      </c>
      <c r="N45" t="b">
        <f ca="1">ISNUMBER(FIND("UMI",AC28))</f>
        <v>1</v>
      </c>
      <c r="R45" t="b">
        <f ca="1">AND(ISNUMBER(FIND("=",R43)),ISNUMBER(FIND("(",R43)))</f>
        <v>1</v>
      </c>
      <c r="S45" t="b">
        <f t="shared" ref="S45:U45" ca="1" si="15">AND(ISNUMBER(FIND("=",S43)),ISNUMBER(FIND("(",S43)))</f>
        <v>1</v>
      </c>
      <c r="T45" t="b">
        <f t="shared" ca="1" si="15"/>
        <v>1</v>
      </c>
      <c r="U45" t="b">
        <f t="shared" ca="1" si="15"/>
        <v>1</v>
      </c>
    </row>
    <row r="46" spans="2:21">
      <c r="B46" t="s">
        <v>85</v>
      </c>
      <c r="C46">
        <f ca="1">IFERROR(LEN(R28)-LEN(SUBSTITUTE(R28,"(","")),99)</f>
        <v>4</v>
      </c>
      <c r="D46">
        <f t="shared" ref="D46:N46" ca="1" si="16">IFERROR(LEN(S28)-LEN(SUBSTITUTE(S28,"(","")),99)</f>
        <v>4</v>
      </c>
      <c r="E46">
        <f t="shared" ca="1" si="16"/>
        <v>0</v>
      </c>
      <c r="F46">
        <f t="shared" ca="1" si="16"/>
        <v>2</v>
      </c>
      <c r="G46">
        <f t="shared" ca="1" si="16"/>
        <v>2</v>
      </c>
      <c r="H46">
        <f t="shared" ca="1" si="16"/>
        <v>3</v>
      </c>
      <c r="I46">
        <f t="shared" ca="1" si="16"/>
        <v>1</v>
      </c>
      <c r="J46">
        <f t="shared" ca="1" si="16"/>
        <v>0</v>
      </c>
      <c r="L46">
        <f t="shared" ca="1" si="16"/>
        <v>1</v>
      </c>
      <c r="M46">
        <f t="shared" ca="1" si="16"/>
        <v>1</v>
      </c>
      <c r="N46">
        <f t="shared" ca="1" si="16"/>
        <v>1</v>
      </c>
      <c r="R46" t="b">
        <f ca="1">ISNUMBER(FIND("SUM",R43))</f>
        <v>1</v>
      </c>
      <c r="S46" t="b">
        <f ca="1">ISNUMBER(FIND("MAX",S43))</f>
        <v>1</v>
      </c>
      <c r="T46" t="b">
        <f ca="1">ISNUMBER(FIND("MIN",T43))</f>
        <v>1</v>
      </c>
      <c r="U46" t="b">
        <f ca="1">ISNUMBER(FIND("AVE",U43))</f>
        <v>1</v>
      </c>
    </row>
    <row r="47" spans="2:21">
      <c r="C47">
        <v>4</v>
      </c>
      <c r="D47">
        <v>4</v>
      </c>
      <c r="E47">
        <v>1</v>
      </c>
      <c r="F47">
        <v>3</v>
      </c>
      <c r="G47">
        <v>4</v>
      </c>
      <c r="H47">
        <v>3</v>
      </c>
      <c r="I47">
        <v>1</v>
      </c>
      <c r="J47">
        <v>1</v>
      </c>
      <c r="L47">
        <v>1</v>
      </c>
      <c r="M47">
        <v>1</v>
      </c>
      <c r="N47">
        <v>1</v>
      </c>
      <c r="R47">
        <f ca="1">IFERROR(LEN(R43)-LEN(SUBSTITUTE(R43,"(","")),99)</f>
        <v>1</v>
      </c>
      <c r="S47">
        <f t="shared" ref="S47:U47" ca="1" si="17">IFERROR(LEN(S43)-LEN(SUBSTITUTE(S43,"(","")),99)</f>
        <v>1</v>
      </c>
      <c r="T47">
        <f t="shared" ca="1" si="17"/>
        <v>1</v>
      </c>
      <c r="U47">
        <f t="shared" ca="1" si="17"/>
        <v>1</v>
      </c>
    </row>
    <row r="48" spans="2:21">
      <c r="B48" t="s">
        <v>86</v>
      </c>
      <c r="C48" t="b">
        <f ca="1">C46&lt;=C47</f>
        <v>1</v>
      </c>
      <c r="D48" t="b">
        <f t="shared" ref="D48:N48" ca="1" si="18">D46&lt;=D47</f>
        <v>1</v>
      </c>
      <c r="E48" t="b">
        <f t="shared" ca="1" si="18"/>
        <v>1</v>
      </c>
      <c r="F48" t="b">
        <f t="shared" ca="1" si="18"/>
        <v>1</v>
      </c>
      <c r="G48" t="b">
        <f t="shared" ca="1" si="18"/>
        <v>1</v>
      </c>
      <c r="H48" t="b">
        <f t="shared" ca="1" si="18"/>
        <v>1</v>
      </c>
      <c r="I48" t="b">
        <f t="shared" ca="1" si="18"/>
        <v>1</v>
      </c>
      <c r="J48" t="b">
        <f t="shared" ca="1" si="18"/>
        <v>1</v>
      </c>
      <c r="K48" t="b">
        <f ca="1">AND(R49:U49)</f>
        <v>1</v>
      </c>
      <c r="L48" t="b">
        <f t="shared" ca="1" si="18"/>
        <v>1</v>
      </c>
      <c r="M48" t="b">
        <f t="shared" ca="1" si="18"/>
        <v>1</v>
      </c>
      <c r="N48" t="b">
        <f t="shared" ca="1" si="18"/>
        <v>1</v>
      </c>
      <c r="R48">
        <v>1</v>
      </c>
      <c r="S48">
        <v>1</v>
      </c>
      <c r="T48">
        <v>1</v>
      </c>
      <c r="U48">
        <v>1</v>
      </c>
    </row>
    <row r="49" spans="2:21">
      <c r="R49" t="b">
        <f ca="1">R47&lt;=R48</f>
        <v>1</v>
      </c>
      <c r="S49" t="b">
        <f t="shared" ref="S49:U49" ca="1" si="19">S47&lt;=S48</f>
        <v>1</v>
      </c>
      <c r="T49" t="b">
        <f t="shared" ca="1" si="19"/>
        <v>1</v>
      </c>
      <c r="U49" t="b">
        <f t="shared" ca="1" si="19"/>
        <v>1</v>
      </c>
    </row>
    <row r="50" spans="2:21">
      <c r="B50" t="s">
        <v>87</v>
      </c>
      <c r="C50" t="b">
        <f ca="1">AND(C48,C45)</f>
        <v>1</v>
      </c>
      <c r="D50" t="b">
        <f t="shared" ref="D50:N50" ca="1" si="20">AND(D48,D45)</f>
        <v>1</v>
      </c>
      <c r="E50" t="b">
        <f t="shared" ca="1" si="20"/>
        <v>1</v>
      </c>
      <c r="F50" t="b">
        <f t="shared" ca="1" si="20"/>
        <v>1</v>
      </c>
      <c r="G50" t="b">
        <f t="shared" ca="1" si="20"/>
        <v>1</v>
      </c>
      <c r="H50" t="b">
        <f t="shared" ca="1" si="20"/>
        <v>1</v>
      </c>
      <c r="I50" t="b">
        <f t="shared" ca="1" si="20"/>
        <v>1</v>
      </c>
      <c r="J50" t="b">
        <f t="shared" ca="1" si="20"/>
        <v>1</v>
      </c>
      <c r="K50" t="b">
        <f t="shared" ca="1" si="20"/>
        <v>1</v>
      </c>
      <c r="L50" t="b">
        <f t="shared" ca="1" si="20"/>
        <v>1</v>
      </c>
      <c r="M50" t="b">
        <f t="shared" ca="1" si="20"/>
        <v>1</v>
      </c>
      <c r="N50" t="b">
        <f t="shared" ca="1" si="20"/>
        <v>1</v>
      </c>
    </row>
    <row r="53" spans="2:21">
      <c r="C53" t="str">
        <f ca="1">IF(C50,C34,C35)&amp;"-"&amp;IF(C42,DEC2HEX(C30),DEC2HEX(C32))&amp;";"</f>
        <v>61-1184;</v>
      </c>
      <c r="D53" t="str">
        <f t="shared" ref="D53:M53" ca="1" si="21">IF(D50,D34,D35)&amp;"-"&amp;IF(D42,DEC2HEX(D30),DEC2HEX(D32))&amp;";"</f>
        <v>66-B2282;</v>
      </c>
      <c r="E53" t="str">
        <f t="shared" ca="1" si="21"/>
        <v>51-407;</v>
      </c>
      <c r="F53" t="str">
        <f t="shared" ca="1" si="21"/>
        <v>5B-181D;</v>
      </c>
      <c r="G53" t="str">
        <f t="shared" ca="1" si="21"/>
        <v>41-1656;</v>
      </c>
      <c r="H53" t="str">
        <f t="shared" ca="1" si="21"/>
        <v>63-664B8;</v>
      </c>
      <c r="I53" t="str">
        <f t="shared" ca="1" si="21"/>
        <v>27-73A0;</v>
      </c>
      <c r="J53" t="str">
        <f t="shared" ca="1" si="21"/>
        <v>36-5F118;</v>
      </c>
      <c r="K53" t="str">
        <f t="shared" ca="1" si="21"/>
        <v>45-AAC50;</v>
      </c>
      <c r="L53" t="str">
        <f t="shared" ca="1" si="21"/>
        <v>37-9D1;</v>
      </c>
      <c r="M53" t="str">
        <f t="shared" ca="1" si="21"/>
        <v>4B-5C2;</v>
      </c>
      <c r="N53" t="str">
        <f ca="1">IF(N50,N34,N35)&amp;"-"&amp;IF(N42,DEC2HEX(N30),DEC2HEX(N32))</f>
        <v>53-80F7A</v>
      </c>
    </row>
    <row r="54" spans="2:21">
      <c r="Q54" t="s">
        <v>88</v>
      </c>
      <c r="R54" t="s">
        <v>89</v>
      </c>
    </row>
    <row r="56" spans="2:21">
      <c r="C56" t="str">
        <f ca="1">A2&amp;"|"&amp;C53&amp;D53&amp;E53&amp;F53&amp;G53&amp;H53&amp;I53&amp;J53&amp;K53&amp;L53&amp;M53&amp;N53</f>
        <v>MB2|61-1184;66-B2282;51-407;5B-181D;41-1656;63-664B8;27-73A0;36-5F118;45-AAC50;37-9D1;4B-5C2;53-80F7A</v>
      </c>
    </row>
    <row r="58" spans="2:21">
      <c r="C58" t="str" cm="1">
        <f t="array" aca="1" ref="C58" ca="1">INDIRECT(Q54&amp;R54)</f>
        <v>MB2|61-1184;66-B2282;51-407;5B-181D;41-1656;63-664B8;27-73A0;36-5F118;45-AAC50;37-9D1;4B-5C2;53-80F7A</v>
      </c>
    </row>
    <row r="60" spans="2:21">
      <c r="C60" t="str">
        <f ca="1">C58</f>
        <v>MB2|61-1184;66-B2282;51-407;5B-181D;41-1656;63-664B8;27-73A0;36-5F118;45-AAC50;37-9D1;4B-5C2;53-80F7A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Case</vt:lpstr>
      <vt:lpstr>About</vt:lpstr>
      <vt:lpstr>Kode_jawaban</vt:lpstr>
      <vt:lpstr>DF!saya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Setiadi;BelajarExcel.id</dc:creator>
  <cp:lastModifiedBy>Siti Rukoyah Al Munazalah</cp:lastModifiedBy>
  <dcterms:created xsi:type="dcterms:W3CDTF">2020-11-23T22:49:46Z</dcterms:created>
  <dcterms:modified xsi:type="dcterms:W3CDTF">2026-06-09T05:48:09Z</dcterms:modified>
</cp:coreProperties>
</file>