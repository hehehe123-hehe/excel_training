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103" documentId="8_{6E9325AB-4682-44D0-862F-40CAC58F9818}" xr6:coauthVersionLast="47" xr6:coauthVersionMax="47" xr10:uidLastSave="{7D53DD5D-CA6A-4582-B3A1-30EB4076CE5E}"/>
  <workbookProtection workbookAlgorithmName="SHA-512" workbookHashValue="6wYlXd9hF09NaFq4zmw+HNs6kkxVgCvlSWeks+GO6SU7Yq+kZV0nes134bUMr+l5QzIJhB/lelHMd+Irxb11lw==" workbookSaltValue="jKuX6XoCRZEPPSOeOTq0mA==" workbookSpinCount="100000" lockStructure="1"/>
  <bookViews>
    <workbookView xWindow="28692" yWindow="-108" windowWidth="29016" windowHeight="15696" xr2:uid="{07342B66-7859-4308-B358-B1AF65785AB8}"/>
  </bookViews>
  <sheets>
    <sheet name="XL-Test" sheetId="1" r:id="rId1"/>
    <sheet name="About" sheetId="3" r:id="rId2"/>
    <sheet name="DF" sheetId="2" state="hidden" r:id="rId3"/>
  </sheets>
  <definedNames>
    <definedName name="kode_jawaban">DF!$E$28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12" i="1"/>
  <c r="L13" i="1"/>
  <c r="L14" i="1"/>
  <c r="L15" i="1"/>
  <c r="L16" i="1"/>
  <c r="L7" i="1"/>
  <c r="K8" i="1"/>
  <c r="K9" i="1"/>
  <c r="K10" i="1"/>
  <c r="K11" i="1"/>
  <c r="K12" i="1"/>
  <c r="K13" i="1"/>
  <c r="K14" i="1"/>
  <c r="K15" i="1"/>
  <c r="K16" i="1"/>
  <c r="K7" i="1"/>
  <c r="J8" i="1"/>
  <c r="J9" i="1"/>
  <c r="J10" i="1"/>
  <c r="J11" i="1"/>
  <c r="J12" i="1"/>
  <c r="J13" i="1"/>
  <c r="J14" i="1"/>
  <c r="J15" i="1"/>
  <c r="J16" i="1"/>
  <c r="J7" i="1"/>
  <c r="I8" i="1"/>
  <c r="I9" i="1"/>
  <c r="I10" i="1"/>
  <c r="I11" i="1"/>
  <c r="I12" i="1"/>
  <c r="I13" i="1"/>
  <c r="I14" i="1"/>
  <c r="I15" i="1"/>
  <c r="I16" i="1"/>
  <c r="I7" i="1"/>
  <c r="M8" i="1"/>
  <c r="M9" i="1"/>
  <c r="M10" i="1"/>
  <c r="M11" i="1"/>
  <c r="M12" i="1"/>
  <c r="M13" i="1"/>
  <c r="M14" i="1"/>
  <c r="M15" i="1"/>
  <c r="M16" i="1"/>
  <c r="M7" i="1"/>
  <c r="H8" i="1"/>
  <c r="H9" i="1"/>
  <c r="H10" i="1"/>
  <c r="H11" i="1"/>
  <c r="H12" i="1"/>
  <c r="H13" i="1"/>
  <c r="H14" i="1"/>
  <c r="H15" i="1"/>
  <c r="H16" i="1"/>
  <c r="H7" i="1"/>
  <c r="E8" i="1"/>
  <c r="E9" i="1"/>
  <c r="E10" i="1"/>
  <c r="E11" i="1"/>
  <c r="E12" i="1"/>
  <c r="E13" i="1"/>
  <c r="E14" i="1"/>
  <c r="E15" i="1"/>
  <c r="E16" i="1"/>
  <c r="E7" i="1"/>
  <c r="AA2" i="2"/>
  <c r="Z2" i="2"/>
  <c r="Y2" i="2"/>
  <c r="X2" i="2"/>
  <c r="H18" i="2" s="1"/>
  <c r="W2" i="2"/>
  <c r="G17" i="2" s="1"/>
  <c r="V2" i="2"/>
  <c r="U2" i="2"/>
  <c r="E18" i="2" s="1"/>
  <c r="F7" i="2"/>
  <c r="F6" i="2"/>
  <c r="F5" i="2"/>
  <c r="F4" i="2"/>
  <c r="F3" i="2"/>
  <c r="F2" i="2"/>
  <c r="F15" i="2"/>
  <c r="G15" i="2"/>
  <c r="H15" i="2"/>
  <c r="I15" i="2"/>
  <c r="J15" i="2"/>
  <c r="K15" i="2"/>
  <c r="E15" i="2"/>
  <c r="F14" i="2"/>
  <c r="G14" i="2"/>
  <c r="H14" i="2"/>
  <c r="I14" i="2"/>
  <c r="J14" i="2"/>
  <c r="K14" i="2"/>
  <c r="E14" i="2"/>
  <c r="J3" i="2"/>
  <c r="J4" i="2"/>
  <c r="J5" i="2"/>
  <c r="J6" i="2"/>
  <c r="H3" i="2"/>
  <c r="H4" i="2"/>
  <c r="H5" i="2"/>
  <c r="H6" i="2"/>
  <c r="E3" i="2"/>
  <c r="E4" i="2"/>
  <c r="E5" i="2"/>
  <c r="E7" i="2"/>
  <c r="E6" i="2"/>
  <c r="E8" i="2"/>
  <c r="E2" i="2"/>
  <c r="E9" i="2" s="1"/>
  <c r="U4" i="2"/>
  <c r="U5" i="2"/>
  <c r="U6" i="2"/>
  <c r="U7" i="2"/>
  <c r="U8" i="2"/>
  <c r="U3" i="2"/>
  <c r="J2" i="2" l="1"/>
  <c r="J7" i="2"/>
  <c r="H2" i="2"/>
  <c r="H7" i="2"/>
  <c r="H8" i="2" s="1"/>
  <c r="H9" i="2" s="1"/>
  <c r="E12" i="2"/>
  <c r="G18" i="2"/>
  <c r="I17" i="2"/>
  <c r="I18" i="2"/>
  <c r="J17" i="2"/>
  <c r="J18" i="2"/>
  <c r="K17" i="2"/>
  <c r="K24" i="2" s="1"/>
  <c r="K18" i="2"/>
  <c r="F17" i="2"/>
  <c r="F24" i="2" s="1"/>
  <c r="F18" i="2"/>
  <c r="G20" i="2"/>
  <c r="H20" i="2"/>
  <c r="H22" i="2" s="1"/>
  <c r="H17" i="2"/>
  <c r="I20" i="2"/>
  <c r="I22" i="2" s="1"/>
  <c r="J20" i="2"/>
  <c r="J22" i="2" s="1"/>
  <c r="K20" i="2"/>
  <c r="F20" i="2"/>
  <c r="E20" i="2"/>
  <c r="E22" i="2" s="1"/>
  <c r="E17" i="2"/>
  <c r="I6" i="2"/>
  <c r="J8" i="2" l="1"/>
  <c r="J9" i="2" s="1"/>
  <c r="J12" i="2" s="1"/>
  <c r="H12" i="2"/>
  <c r="K3" i="2"/>
  <c r="I3" i="2"/>
  <c r="K4" i="2"/>
  <c r="I4" i="2"/>
  <c r="K5" i="2"/>
  <c r="I5" i="2"/>
  <c r="G5" i="2"/>
  <c r="G4" i="2"/>
  <c r="G3" i="2"/>
  <c r="E24" i="2"/>
  <c r="E26" i="2" s="1"/>
  <c r="J24" i="2"/>
  <c r="G24" i="2"/>
  <c r="H24" i="2"/>
  <c r="I24" i="2"/>
  <c r="K6" i="2"/>
  <c r="G6" i="2"/>
  <c r="J26" i="2" l="1"/>
  <c r="H26" i="2"/>
  <c r="I2" i="2" l="1"/>
  <c r="I7" i="2"/>
  <c r="K7" i="2" l="1"/>
  <c r="K2" i="2"/>
  <c r="I8" i="2"/>
  <c r="I9" i="2" s="1"/>
  <c r="I12" i="2" s="1"/>
  <c r="I26" i="2" s="1"/>
  <c r="K8" i="2" l="1"/>
  <c r="K9" i="2" s="1"/>
  <c r="K12" i="2" s="1"/>
  <c r="K26" i="2" s="1"/>
  <c r="F8" i="2"/>
  <c r="G2" i="2"/>
  <c r="G7" i="2"/>
  <c r="F9" i="2" l="1"/>
  <c r="F12" i="2" s="1"/>
  <c r="F26" i="2" s="1"/>
  <c r="G8" i="2"/>
  <c r="G9" i="2" s="1"/>
  <c r="G12" i="2" s="1"/>
  <c r="G26" i="2" s="1"/>
  <c r="E28" i="2" l="1"/>
  <c r="G2" i="1" l="1"/>
</calcChain>
</file>

<file path=xl/sharedStrings.xml><?xml version="1.0" encoding="utf-8"?>
<sst xmlns="http://schemas.openxmlformats.org/spreadsheetml/2006/main" count="78" uniqueCount="74">
  <si>
    <r>
      <t xml:space="preserve">Medium Level  </t>
    </r>
    <r>
      <rPr>
        <sz val="9"/>
        <color rgb="FFFFC000"/>
        <rFont val="Aptos Narrow"/>
        <family val="2"/>
        <scheme val="minor"/>
      </rPr>
      <t>(⭐⭐)</t>
    </r>
  </si>
  <si>
    <t>KODE SOAL</t>
  </si>
  <si>
    <t>SBEM003</t>
  </si>
  <si>
    <t>KODE JAWABAN</t>
  </si>
  <si>
    <t>Hari Ini</t>
  </si>
  <si>
    <t>No Urut</t>
  </si>
  <si>
    <t>Nama</t>
  </si>
  <si>
    <t>Kode Buku</t>
  </si>
  <si>
    <t>Jenis Buku</t>
  </si>
  <si>
    <t>Banyak Pinjaman</t>
  </si>
  <si>
    <t>Tanggal Harus Kembali</t>
  </si>
  <si>
    <t>Tanggal Pinjam</t>
  </si>
  <si>
    <t>Lama Pinjam</t>
  </si>
  <si>
    <t>Bayar Sewa</t>
  </si>
  <si>
    <t>Denda</t>
  </si>
  <si>
    <t>Discount</t>
  </si>
  <si>
    <t>Biaya Total</t>
  </si>
  <si>
    <t>RIKA PUJIASTUTI P</t>
  </si>
  <si>
    <t>IIN DUWI</t>
  </si>
  <si>
    <t>ADE KUSUMA</t>
  </si>
  <si>
    <t>JONI IRAWAN</t>
  </si>
  <si>
    <t>YOSEPH ROBERTO</t>
  </si>
  <si>
    <t>YULI RISTIANTI</t>
  </si>
  <si>
    <t>ISMANTI MULYANDARI</t>
  </si>
  <si>
    <t>YOGA ADHITYA N</t>
  </si>
  <si>
    <t>WISNU FADILA</t>
  </si>
  <si>
    <t>HENY NURHAENI</t>
  </si>
  <si>
    <t>TABEL BUKU</t>
  </si>
  <si>
    <t>Sewa Per buku</t>
  </si>
  <si>
    <t>Denda Per Hari</t>
  </si>
  <si>
    <t>Komputer</t>
  </si>
  <si>
    <t>KETENTUAN SOAL</t>
  </si>
  <si>
    <t>Filsafat</t>
  </si>
  <si>
    <t>Ekonomi</t>
  </si>
  <si>
    <r>
      <t xml:space="preserve">1. Kolom </t>
    </r>
    <r>
      <rPr>
        <b/>
        <sz val="10"/>
        <color theme="1"/>
        <rFont val="Arial"/>
        <family val="2"/>
      </rPr>
      <t>Jenis Buku</t>
    </r>
    <r>
      <rPr>
        <sz val="10"/>
        <color theme="1"/>
        <rFont val="Arial"/>
        <family val="2"/>
      </rPr>
      <t xml:space="preserve"> didapat dari </t>
    </r>
    <r>
      <rPr>
        <b/>
        <sz val="10"/>
        <color theme="1"/>
        <rFont val="Arial"/>
        <family val="2"/>
      </rPr>
      <t>Tabel Buku</t>
    </r>
    <r>
      <rPr>
        <sz val="10"/>
        <color theme="1"/>
        <rFont val="Arial"/>
        <family val="2"/>
      </rPr>
      <t xml:space="preserve"> dengan kunci </t>
    </r>
    <r>
      <rPr>
        <b/>
        <sz val="10"/>
        <color theme="1"/>
        <rFont val="Arial"/>
        <family val="2"/>
      </rPr>
      <t>Kode Buku</t>
    </r>
  </si>
  <si>
    <t>Agama</t>
  </si>
  <si>
    <r>
      <t xml:space="preserve">2. </t>
    </r>
    <r>
      <rPr>
        <b/>
        <sz val="10"/>
        <color theme="1"/>
        <rFont val="Arial"/>
        <family val="2"/>
      </rPr>
      <t>Tanggal Pinjam</t>
    </r>
    <r>
      <rPr>
        <sz val="10"/>
        <color theme="1"/>
        <rFont val="Arial"/>
        <family val="2"/>
      </rPr>
      <t xml:space="preserve"> ditentukan </t>
    </r>
    <r>
      <rPr>
        <b/>
        <sz val="10"/>
        <color rgb="FF00B0F0"/>
        <rFont val="Arial"/>
        <family val="2"/>
      </rPr>
      <t>14 hari</t>
    </r>
    <r>
      <rPr>
        <i/>
        <sz val="10"/>
        <color theme="1"/>
        <rFont val="Arial"/>
        <family val="2"/>
      </rPr>
      <t xml:space="preserve"> sebelum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Tanggal Harus Kembali</t>
    </r>
  </si>
  <si>
    <t>Teknik</t>
  </si>
  <si>
    <r>
      <t xml:space="preserve">3. </t>
    </r>
    <r>
      <rPr>
        <b/>
        <sz val="10"/>
        <color theme="1"/>
        <rFont val="Arial"/>
        <family val="2"/>
      </rPr>
      <t>Lama Pinjam</t>
    </r>
    <r>
      <rPr>
        <sz val="10"/>
        <color theme="1"/>
        <rFont val="Arial"/>
        <family val="2"/>
      </rPr>
      <t xml:space="preserve"> didapat dari selisih </t>
    </r>
    <r>
      <rPr>
        <b/>
        <sz val="10"/>
        <color theme="1"/>
        <rFont val="Arial"/>
        <family val="2"/>
      </rPr>
      <t>Tanggal hari ini</t>
    </r>
    <r>
      <rPr>
        <sz val="10"/>
        <color theme="1"/>
        <rFont val="Arial"/>
        <family val="2"/>
      </rPr>
      <t xml:space="preserve"> (D5) dengan </t>
    </r>
    <r>
      <rPr>
        <b/>
        <sz val="10"/>
        <color theme="1"/>
        <rFont val="Arial"/>
        <family val="2"/>
      </rPr>
      <t>Tanggal Pinjam</t>
    </r>
  </si>
  <si>
    <r>
      <t xml:space="preserve">4. </t>
    </r>
    <r>
      <rPr>
        <b/>
        <sz val="10"/>
        <color theme="1"/>
        <rFont val="Calibri"/>
        <family val="2"/>
      </rPr>
      <t>Bayar Sewa</t>
    </r>
    <r>
      <rPr>
        <sz val="10"/>
        <color theme="1"/>
        <rFont val="Calibri"/>
        <family val="2"/>
      </rPr>
      <t xml:space="preserve"> didapat dari Tabel Buku yaitu uang sewa per buku dengan kunci Kode Buku dengan Banyak Pinjaman</t>
    </r>
  </si>
  <si>
    <r>
      <t xml:space="preserve">5. </t>
    </r>
    <r>
      <rPr>
        <b/>
        <sz val="10"/>
        <color theme="1"/>
        <rFont val="Arial"/>
        <family val="2"/>
      </rPr>
      <t xml:space="preserve">Denda </t>
    </r>
    <r>
      <rPr>
        <sz val="10"/>
        <color theme="1"/>
        <rFont val="Arial"/>
        <family val="2"/>
      </rPr>
      <t xml:space="preserve">diperoleh bila </t>
    </r>
    <r>
      <rPr>
        <b/>
        <sz val="10"/>
        <color theme="1"/>
        <rFont val="Arial"/>
        <family val="2"/>
      </rPr>
      <t>Tanggal Harus Kembali</t>
    </r>
    <r>
      <rPr>
        <sz val="10"/>
        <color theme="1"/>
        <rFont val="Arial"/>
        <family val="2"/>
      </rPr>
      <t xml:space="preserve"> sudah melewati </t>
    </r>
    <r>
      <rPr>
        <b/>
        <sz val="10"/>
        <color theme="1"/>
        <rFont val="Arial"/>
        <family val="2"/>
      </rPr>
      <t>Tanggal Hari ini</t>
    </r>
    <r>
      <rPr>
        <sz val="10"/>
        <color theme="1"/>
        <rFont val="Arial"/>
        <family val="2"/>
      </rPr>
      <t xml:space="preserve"> dengan ketentuan keterlambatan hari dikalikan dengan </t>
    </r>
  </si>
  <si>
    <r>
      <t xml:space="preserve">    Denda Per Hari</t>
    </r>
    <r>
      <rPr>
        <sz val="10"/>
        <color theme="1"/>
        <rFont val="Arial"/>
        <family val="2"/>
      </rPr>
      <t xml:space="preserve"> pada Tabel Buku sesuai kunci Kode buku dikalikan banyaknya pinjaman.</t>
    </r>
  </si>
  <si>
    <t>Misal. Buku yang dipinjam dengan kode buku 103 (denda per hari Rp. 1000) dan banyaknya pinjaman buku 11</t>
  </si>
  <si>
    <t>Tanggal harus kembali 10 April 2025, sedangkan hari ini tanggal 19 April 2005</t>
  </si>
  <si>
    <t>Berarti keterlamabatan 9 hari dikalikan dengan banyaknya buku yang dipinjam 5 buah</t>
  </si>
  <si>
    <t>Jadi Denda yaitu 9 x 1000 x 11 = 99,000. Bila Tanggal harus kembali tidak melebihi hari ini berarti tidak didenda (nilai 0)</t>
  </si>
  <si>
    <r>
      <t xml:space="preserve">6. </t>
    </r>
    <r>
      <rPr>
        <b/>
        <sz val="10"/>
        <color theme="1"/>
        <rFont val="Arial"/>
        <family val="2"/>
      </rPr>
      <t>Discount</t>
    </r>
    <r>
      <rPr>
        <sz val="10"/>
        <color theme="1"/>
        <rFont val="Arial"/>
        <family val="2"/>
      </rPr>
      <t xml:space="preserve"> didapat dari kelebihan buku pinjaman yang meminjam sama atau lebih dari 5 buku. Kelebihan pinjaman buku disesuaikan </t>
    </r>
  </si>
  <si>
    <t>dengan kode buku yang dipinjam dengan ketentuan Discount pada Tabel Buku</t>
  </si>
  <si>
    <t>Misal. Buku yang dipinjam dengan kode buku 103 (Potongan Rp. 750) dan banyaknya pinjaman buku 11</t>
  </si>
  <si>
    <t>Berarti buku yang mendapatkan diskon adalah 6 buku</t>
  </si>
  <si>
    <t>Jadi Potongan 6 x 750 = 4,500</t>
  </si>
  <si>
    <r>
      <t xml:space="preserve">7. </t>
    </r>
    <r>
      <rPr>
        <b/>
        <sz val="10"/>
        <color theme="1"/>
        <rFont val="Arial"/>
        <family val="2"/>
      </rPr>
      <t>Biaya Total</t>
    </r>
    <r>
      <rPr>
        <sz val="10"/>
        <color theme="1"/>
        <rFont val="Arial"/>
        <family val="2"/>
      </rPr>
      <t xml:space="preserve"> didapat dari jumlah </t>
    </r>
    <r>
      <rPr>
        <b/>
        <sz val="10"/>
        <color theme="1"/>
        <rFont val="Arial"/>
        <family val="2"/>
      </rPr>
      <t xml:space="preserve">Bayar sewa </t>
    </r>
    <r>
      <rPr>
        <sz val="10"/>
        <color theme="1"/>
        <rFont val="Arial"/>
        <family val="2"/>
      </rPr>
      <t xml:space="preserve">dan </t>
    </r>
    <r>
      <rPr>
        <b/>
        <sz val="10"/>
        <color theme="1"/>
        <rFont val="Arial"/>
        <family val="2"/>
      </rPr>
      <t>Denda</t>
    </r>
    <r>
      <rPr>
        <sz val="10"/>
        <color theme="1"/>
        <rFont val="Arial"/>
        <family val="2"/>
      </rPr>
      <t xml:space="preserve"> dikurangi </t>
    </r>
    <r>
      <rPr>
        <b/>
        <sz val="10"/>
        <color theme="1"/>
        <rFont val="Arial"/>
        <family val="2"/>
      </rPr>
      <t>Discount</t>
    </r>
  </si>
  <si>
    <t>Selesai mengerjakan?</t>
  </si>
  <si>
    <r>
      <t xml:space="preserve">Kirimkan </t>
    </r>
    <r>
      <rPr>
        <b/>
        <i/>
        <sz val="11"/>
        <color theme="4" tint="-0.249977111117893"/>
        <rFont val="Aptos Narrow"/>
        <family val="2"/>
        <scheme val="minor"/>
      </rPr>
      <t>Kode Soal</t>
    </r>
    <r>
      <rPr>
        <i/>
        <sz val="11"/>
        <color theme="4" tint="-0.249977111117893"/>
        <rFont val="Aptos Narrow"/>
        <family val="2"/>
        <scheme val="minor"/>
      </rPr>
      <t xml:space="preserve"> dan </t>
    </r>
    <r>
      <rPr>
        <b/>
        <i/>
        <sz val="11"/>
        <color theme="4" tint="-0.249977111117893"/>
        <rFont val="Aptos Narrow"/>
        <family val="2"/>
        <scheme val="minor"/>
      </rPr>
      <t>Kode Jawaban</t>
    </r>
    <r>
      <rPr>
        <i/>
        <sz val="11"/>
        <color theme="4" tint="-0.249977111117893"/>
        <rFont val="Aptos Narrow"/>
        <family val="2"/>
        <scheme val="minor"/>
      </rPr>
      <t xml:space="preserve"> ke alamat :  </t>
    </r>
    <r>
      <rPr>
        <b/>
        <i/>
        <u/>
        <sz val="11"/>
        <color theme="4" tint="-0.249977111117893"/>
        <rFont val="Aptos Narrow"/>
        <family val="2"/>
        <scheme val="minor"/>
      </rPr>
      <t>https://belajarexcel.id/xl-test/jawaban</t>
    </r>
    <r>
      <rPr>
        <i/>
        <sz val="11"/>
        <color theme="4" tint="-0.249977111117893"/>
        <rFont val="Aptos Narrow"/>
        <family val="2"/>
        <scheme val="minor"/>
      </rPr>
      <t xml:space="preserve">  untuk mengecek hasil benar/salah</t>
    </r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</si>
  <si>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</si>
  <si>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</si>
  <si>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</si>
  <si>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>Easy Level                          (⭐)</t>
  </si>
  <si>
    <t>Medium Level                  (⭐⭐)</t>
  </si>
  <si>
    <t>Hard Level                         (⭐⭐⭐)</t>
  </si>
  <si>
    <t>Extreme Level                  (⭐⭐⭐⭐)</t>
  </si>
  <si>
    <t>Championship Level  (⭐⭐⭐⭐⭐)</t>
  </si>
  <si>
    <t>Free Access</t>
  </si>
  <si>
    <t>https://belajarexcel.id/xl-test/</t>
  </si>
  <si>
    <t>DEF</t>
  </si>
  <si>
    <t>F</t>
  </si>
  <si>
    <t>MC1</t>
  </si>
  <si>
    <t>Random</t>
  </si>
  <si>
    <t>Value</t>
  </si>
  <si>
    <t>Cek Formula</t>
  </si>
  <si>
    <t>Cek Manual</t>
  </si>
  <si>
    <t>Cek kurung</t>
  </si>
  <si>
    <t>Formula</t>
  </si>
  <si>
    <t>Gabung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</si>
</sst>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[$Rp-3809]* #,##0_-;\-[$Rp-3809]* #,##0_-;_-[$Rp-3809]* &quot;-&quot;??_-;_-@_-"/>
    <numFmt numFmtId="166" formatCode="d\-mmm\-yyyy"/>
    <numFmt numFmtId="167" formatCode="0\ &quot;Hari&quot;"/>
    <numFmt numFmtId="168" formatCode="_(* #,##0_);_(* \(#,##0\);_(* &quot;-&quot;??_);_(@_)"/>
    <numFmt numFmtId="169" formatCode="[$-409]d\-mmm\-yyyy;@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Calibri"/>
      <family val="2"/>
    </font>
    <font>
      <i/>
      <sz val="11"/>
      <color theme="4" tint="-0.249977111117893"/>
      <name val="Aptos Narrow"/>
      <family val="2"/>
      <scheme val="minor"/>
    </font>
    <font>
      <b/>
      <i/>
      <sz val="11"/>
      <color theme="4" tint="-0.249977111117893"/>
      <name val="Aptos Narrow"/>
      <family val="2"/>
      <scheme val="minor"/>
    </font>
    <font>
      <b/>
      <i/>
      <u/>
      <sz val="11"/>
      <color theme="4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i/>
      <sz val="10"/>
      <color theme="5"/>
      <name val="Calibri"/>
      <family val="2"/>
    </font>
    <font>
      <i/>
      <sz val="10"/>
      <color theme="1"/>
      <name val="Calibri"/>
      <family val="2"/>
    </font>
    <font>
      <sz val="9"/>
      <color theme="0"/>
      <name val="Aptos Narrow"/>
      <family val="2"/>
      <scheme val="minor"/>
    </font>
    <font>
      <sz val="9"/>
      <color rgb="FFFFC000"/>
      <name val="Aptos Narrow"/>
      <family val="2"/>
      <scheme val="minor"/>
    </font>
    <font>
      <b/>
      <u/>
      <sz val="10"/>
      <color theme="0"/>
      <name val="Calibri"/>
      <family val="2"/>
    </font>
    <font>
      <sz val="10"/>
      <color theme="5" tint="-0.499984740745262"/>
      <name val="Calibri"/>
      <family val="2"/>
    </font>
    <font>
      <sz val="11"/>
      <color theme="5" tint="-0.499984740745262"/>
      <name val="Aptos Narrow"/>
      <family val="2"/>
      <scheme val="minor"/>
    </font>
    <font>
      <b/>
      <sz val="10"/>
      <color rgb="FF00B0F0"/>
      <name val="Arial"/>
      <family val="2"/>
    </font>
    <font>
      <sz val="10"/>
      <color theme="0"/>
      <name val="Arial"/>
      <family val="2"/>
    </font>
    <font>
      <sz val="10"/>
      <color theme="6" tint="-0.249977111117893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/>
      <diagonal/>
    </border>
    <border>
      <left/>
      <right style="thin">
        <color theme="3" tint="0.749961851863155"/>
      </right>
      <top/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left" wrapText="1" indent="2"/>
    </xf>
    <xf numFmtId="166" fontId="3" fillId="5" borderId="1" xfId="0" applyNumberFormat="1" applyFont="1" applyFill="1" applyBorder="1" applyAlignment="1">
      <alignment horizontal="right" wrapText="1"/>
    </xf>
    <xf numFmtId="166" fontId="3" fillId="6" borderId="1" xfId="0" applyNumberFormat="1" applyFont="1" applyFill="1" applyBorder="1" applyAlignment="1">
      <alignment horizontal="right" wrapText="1" indent="2"/>
    </xf>
    <xf numFmtId="167" fontId="3" fillId="6" borderId="1" xfId="0" applyNumberFormat="1" applyFont="1" applyFill="1" applyBorder="1" applyAlignment="1">
      <alignment horizontal="center" wrapText="1"/>
    </xf>
    <xf numFmtId="165" fontId="3" fillId="6" borderId="1" xfId="0" applyNumberFormat="1" applyFont="1" applyFill="1" applyBorder="1" applyAlignment="1">
      <alignment horizontal="center" wrapText="1"/>
    </xf>
    <xf numFmtId="168" fontId="3" fillId="6" borderId="1" xfId="1" applyNumberFormat="1" applyFont="1" applyFill="1" applyBorder="1" applyAlignment="1">
      <alignment horizontal="center" wrapText="1"/>
    </xf>
    <xf numFmtId="165" fontId="4" fillId="6" borderId="1" xfId="0" applyNumberFormat="1" applyFont="1" applyFill="1" applyBorder="1" applyAlignment="1">
      <alignment horizontal="center" wrapText="1"/>
    </xf>
    <xf numFmtId="0" fontId="7" fillId="0" borderId="0" xfId="0" applyFont="1"/>
    <xf numFmtId="0" fontId="10" fillId="0" borderId="0" xfId="2"/>
    <xf numFmtId="0" fontId="3" fillId="5" borderId="1" xfId="0" applyFont="1" applyFill="1" applyBorder="1" applyAlignment="1">
      <alignment horizontal="left" wrapText="1" indent="1"/>
    </xf>
    <xf numFmtId="14" fontId="0" fillId="0" borderId="0" xfId="0" applyNumberFormat="1"/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2" fillId="8" borderId="0" xfId="0" applyFont="1" applyFill="1"/>
    <xf numFmtId="0" fontId="2" fillId="8" borderId="0" xfId="0" applyFont="1" applyFill="1" applyAlignment="1">
      <alignment wrapText="1"/>
    </xf>
    <xf numFmtId="2" fontId="0" fillId="0" borderId="0" xfId="0" applyNumberFormat="1"/>
    <xf numFmtId="0" fontId="0" fillId="0" borderId="0" xfId="0" applyNumberFormat="1"/>
    <xf numFmtId="0" fontId="3" fillId="9" borderId="0" xfId="0" applyFont="1" applyFill="1" applyBorder="1" applyAlignment="1">
      <alignment horizontal="center" wrapText="1"/>
    </xf>
    <xf numFmtId="0" fontId="3" fillId="9" borderId="0" xfId="0" applyFont="1" applyFill="1" applyBorder="1" applyAlignment="1">
      <alignment horizontal="left" wrapText="1" indent="1"/>
    </xf>
    <xf numFmtId="0" fontId="3" fillId="9" borderId="0" xfId="0" applyFont="1" applyFill="1" applyBorder="1" applyAlignment="1">
      <alignment horizontal="left" wrapText="1" indent="2"/>
    </xf>
    <xf numFmtId="166" fontId="3" fillId="9" borderId="0" xfId="0" applyNumberFormat="1" applyFont="1" applyFill="1" applyBorder="1" applyAlignment="1">
      <alignment horizontal="right" wrapText="1"/>
    </xf>
    <xf numFmtId="166" fontId="3" fillId="9" borderId="0" xfId="0" applyNumberFormat="1" applyFont="1" applyFill="1" applyBorder="1" applyAlignment="1">
      <alignment horizontal="right" wrapText="1" indent="2"/>
    </xf>
    <xf numFmtId="167" fontId="3" fillId="9" borderId="0" xfId="0" applyNumberFormat="1" applyFont="1" applyFill="1" applyBorder="1" applyAlignment="1">
      <alignment horizontal="center" wrapText="1"/>
    </xf>
    <xf numFmtId="165" fontId="3" fillId="9" borderId="0" xfId="0" applyNumberFormat="1" applyFont="1" applyFill="1" applyBorder="1" applyAlignment="1">
      <alignment horizontal="center" wrapText="1"/>
    </xf>
    <xf numFmtId="168" fontId="3" fillId="9" borderId="0" xfId="1" applyNumberFormat="1" applyFont="1" applyFill="1" applyBorder="1" applyAlignment="1">
      <alignment horizontal="center" wrapText="1"/>
    </xf>
    <xf numFmtId="165" fontId="4" fillId="9" borderId="0" xfId="0" applyNumberFormat="1" applyFont="1" applyFill="1" applyBorder="1" applyAlignment="1">
      <alignment horizontal="center" wrapText="1"/>
    </xf>
    <xf numFmtId="0" fontId="2" fillId="8" borderId="0" xfId="0" applyFont="1" applyFill="1" applyAlignment="1">
      <alignment horizontal="center" vertical="center"/>
    </xf>
    <xf numFmtId="0" fontId="17" fillId="4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21" fillId="2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165" fontId="3" fillId="3" borderId="3" xfId="0" applyNumberFormat="1" applyFont="1" applyFill="1" applyBorder="1" applyAlignment="1">
      <alignment horizontal="center" wrapText="1"/>
    </xf>
    <xf numFmtId="165" fontId="3" fillId="3" borderId="4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65" fontId="3" fillId="3" borderId="0" xfId="0" applyNumberFormat="1" applyFont="1" applyFill="1" applyBorder="1" applyAlignment="1">
      <alignment horizontal="center" wrapText="1"/>
    </xf>
    <xf numFmtId="165" fontId="3" fillId="3" borderId="6" xfId="0" applyNumberFormat="1" applyFont="1" applyFill="1" applyBorder="1" applyAlignment="1">
      <alignment horizontal="center" wrapText="1"/>
    </xf>
    <xf numFmtId="0" fontId="3" fillId="3" borderId="7" xfId="0" applyFont="1" applyFill="1" applyBorder="1" applyAlignment="1">
      <alignment wrapText="1"/>
    </xf>
    <xf numFmtId="0" fontId="3" fillId="3" borderId="8" xfId="0" applyFont="1" applyFill="1" applyBorder="1" applyAlignment="1">
      <alignment wrapText="1"/>
    </xf>
    <xf numFmtId="165" fontId="3" fillId="3" borderId="8" xfId="0" applyNumberFormat="1" applyFont="1" applyFill="1" applyBorder="1" applyAlignment="1">
      <alignment horizontal="center" wrapText="1"/>
    </xf>
    <xf numFmtId="165" fontId="3" fillId="3" borderId="9" xfId="0" applyNumberFormat="1" applyFont="1" applyFill="1" applyBorder="1" applyAlignment="1">
      <alignment horizontal="center" wrapText="1"/>
    </xf>
    <xf numFmtId="0" fontId="0" fillId="0" borderId="1" xfId="0" applyBorder="1"/>
    <xf numFmtId="0" fontId="10" fillId="0" borderId="1" xfId="2" applyBorder="1"/>
    <xf numFmtId="0" fontId="2" fillId="10" borderId="0" xfId="0" applyFont="1" applyFill="1" applyAlignment="1">
      <alignment wrapText="1"/>
    </xf>
    <xf numFmtId="169" fontId="6" fillId="10" borderId="0" xfId="0" applyNumberFormat="1" applyFont="1" applyFill="1" applyAlignment="1">
      <alignment wrapText="1"/>
    </xf>
    <xf numFmtId="0" fontId="6" fillId="10" borderId="0" xfId="0" applyFont="1" applyFill="1" applyAlignment="1">
      <alignment wrapText="1"/>
    </xf>
    <xf numFmtId="0" fontId="0" fillId="4" borderId="0" xfId="0" applyFill="1" applyAlignment="1">
      <alignment horizontal="center" vertical="center"/>
    </xf>
    <xf numFmtId="0" fontId="15" fillId="7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22" fillId="0" borderId="1" xfId="0" applyFont="1" applyFill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elajarexcel.id/xl-test/jawaban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42</xdr:row>
      <xdr:rowOff>114300</xdr:rowOff>
    </xdr:from>
    <xdr:to>
      <xdr:col>4</xdr:col>
      <xdr:colOff>685800</xdr:colOff>
      <xdr:row>44</xdr:row>
      <xdr:rowOff>7620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FAA4A-52AE-44D8-A845-D710B501C7B5}"/>
            </a:ext>
          </a:extLst>
        </xdr:cNvPr>
        <xdr:cNvSpPr/>
      </xdr:nvSpPr>
      <xdr:spPr>
        <a:xfrm>
          <a:off x="2407920" y="8587740"/>
          <a:ext cx="1668780" cy="25908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0</xdr:col>
      <xdr:colOff>533401</xdr:colOff>
      <xdr:row>20</xdr:row>
      <xdr:rowOff>114198</xdr:rowOff>
    </xdr:from>
    <xdr:to>
      <xdr:col>2</xdr:col>
      <xdr:colOff>1211580</xdr:colOff>
      <xdr:row>23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060046-5C4B-846D-EB16-F092BD205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1" y="4655718"/>
          <a:ext cx="1562099" cy="5868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502920</xdr:colOff>
      <xdr:row>1</xdr:row>
      <xdr:rowOff>53340</xdr:rowOff>
    </xdr:from>
    <xdr:to>
      <xdr:col>4</xdr:col>
      <xdr:colOff>121919</xdr:colOff>
      <xdr:row>4</xdr:row>
      <xdr:rowOff>91542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E2B89-BE9B-490A-A58F-6DF71F013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236220"/>
          <a:ext cx="1562099" cy="586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F296-5383-4220-AB79-F6802AC80746}">
  <dimension ref="A1:P42"/>
  <sheetViews>
    <sheetView tabSelected="1" topLeftCell="C1" workbookViewId="0">
      <selection activeCell="G2" sqref="G2"/>
    </sheetView>
  </sheetViews>
  <sheetFormatPr defaultRowHeight="14.45"/>
  <cols>
    <col min="1" max="1" width="7.85546875" customWidth="1"/>
    <col min="2" max="2" width="5" customWidth="1"/>
    <col min="3" max="3" width="21.7109375" bestFit="1" customWidth="1"/>
    <col min="4" max="4" width="14.7109375" customWidth="1"/>
    <col min="5" max="5" width="22.85546875" customWidth="1"/>
    <col min="6" max="6" width="19.7109375" customWidth="1"/>
    <col min="7" max="7" width="15.7109375" customWidth="1"/>
    <col min="8" max="8" width="17.28515625" customWidth="1"/>
    <col min="9" max="9" width="11.42578125" bestFit="1" customWidth="1"/>
    <col min="10" max="10" width="17" customWidth="1"/>
    <col min="11" max="11" width="14.42578125" customWidth="1"/>
    <col min="12" max="12" width="15" customWidth="1"/>
    <col min="13" max="13" width="14.5703125" customWidth="1"/>
    <col min="14" max="14" width="16.85546875" customWidth="1"/>
  </cols>
  <sheetData>
    <row r="1" spans="2:16">
      <c r="B1" s="55" t="s">
        <v>0</v>
      </c>
      <c r="C1" s="55"/>
    </row>
    <row r="2" spans="2:16" ht="21.6" customHeight="1">
      <c r="B2" s="56" t="s">
        <v>1</v>
      </c>
      <c r="C2" s="56"/>
      <c r="D2" s="19" t="s">
        <v>2</v>
      </c>
      <c r="F2" s="54" t="s">
        <v>3</v>
      </c>
      <c r="G2" s="19" t="str">
        <f ca="1">kode_jawaban</f>
        <v>MC1|F51-3931;941-A789B1;FE1-2FA1;E31-B5E1;E01-E1F1;9F1-42681;D41-18D31</v>
      </c>
      <c r="H2" s="20"/>
      <c r="I2" s="20"/>
      <c r="J2" s="20"/>
      <c r="K2" s="20"/>
      <c r="L2" s="20"/>
      <c r="M2" s="20"/>
      <c r="P2" s="1"/>
    </row>
    <row r="3" spans="2:16">
      <c r="F3" s="1"/>
      <c r="G3" s="1"/>
      <c r="H3" s="1"/>
      <c r="I3" s="1"/>
      <c r="J3" s="1"/>
      <c r="K3" s="1"/>
      <c r="L3" s="1"/>
      <c r="M3" s="1"/>
      <c r="P3" s="1"/>
    </row>
    <row r="4" spans="2:16">
      <c r="E4" s="1"/>
      <c r="F4" s="1"/>
      <c r="G4" s="1"/>
      <c r="H4" s="1"/>
      <c r="I4" s="1"/>
      <c r="J4" s="1"/>
      <c r="K4" s="1"/>
      <c r="L4" s="1"/>
      <c r="M4" s="1"/>
      <c r="P4" s="1"/>
    </row>
    <row r="5" spans="2:16">
      <c r="B5" s="51"/>
      <c r="C5" s="53" t="s">
        <v>4</v>
      </c>
      <c r="D5" s="52">
        <v>45766</v>
      </c>
      <c r="E5" s="17">
        <v>1</v>
      </c>
      <c r="F5" s="18"/>
      <c r="G5" s="18"/>
      <c r="H5" s="17">
        <v>2</v>
      </c>
      <c r="I5" s="17">
        <v>3</v>
      </c>
      <c r="J5" s="17">
        <v>4</v>
      </c>
      <c r="K5" s="17">
        <v>5</v>
      </c>
      <c r="L5" s="17">
        <v>6</v>
      </c>
      <c r="M5" s="17">
        <v>7</v>
      </c>
      <c r="N5" s="1"/>
      <c r="O5" s="1"/>
      <c r="P5" s="1"/>
    </row>
    <row r="6" spans="2:16" ht="32.450000000000003" customHeight="1"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1"/>
      <c r="O6" s="1"/>
      <c r="P6" s="1"/>
    </row>
    <row r="7" spans="2:16" ht="19.899999999999999" customHeight="1">
      <c r="B7" s="5">
        <v>1</v>
      </c>
      <c r="C7" s="15" t="s">
        <v>17</v>
      </c>
      <c r="D7" s="5">
        <v>103</v>
      </c>
      <c r="E7" s="6" t="str">
        <f>VLOOKUP(D7,$I$21:$M$25,2,0)</f>
        <v>Ekonomi</v>
      </c>
      <c r="F7" s="5">
        <v>11</v>
      </c>
      <c r="G7" s="7">
        <v>45757</v>
      </c>
      <c r="H7" s="8">
        <f>G7-14</f>
        <v>45743</v>
      </c>
      <c r="I7" s="9">
        <f>$D$5-H7</f>
        <v>23</v>
      </c>
      <c r="J7" s="10">
        <f>VLOOKUP(D7,$I$20:$M$25,3,FALSE)*F7</f>
        <v>44000</v>
      </c>
      <c r="K7" s="11">
        <f>MAX(0,$D$5-G7)*VLOOKUP(D7,$I$20:$M$25,4,FALSE)*F7</f>
        <v>99000</v>
      </c>
      <c r="L7" s="10">
        <f>MAX(0,F7-5)*VLOOKUP(D7,$I$21:$M$25,5,FALSE)</f>
        <v>4500</v>
      </c>
      <c r="M7" s="12">
        <f>SUM(J7:K7)-L7</f>
        <v>138500</v>
      </c>
      <c r="N7" s="1"/>
      <c r="O7" s="1"/>
      <c r="P7" s="1"/>
    </row>
    <row r="8" spans="2:16" ht="19.899999999999999" customHeight="1">
      <c r="B8" s="5">
        <v>2</v>
      </c>
      <c r="C8" s="15" t="s">
        <v>18</v>
      </c>
      <c r="D8" s="5">
        <v>102</v>
      </c>
      <c r="E8" s="6" t="str">
        <f t="shared" ref="E8:E16" si="0">VLOOKUP(D8,$I$21:$M$25,2,0)</f>
        <v>Filsafat</v>
      </c>
      <c r="F8" s="5">
        <v>5</v>
      </c>
      <c r="G8" s="7">
        <v>45748</v>
      </c>
      <c r="H8" s="8">
        <f t="shared" ref="H8:H16" si="1">G8-14</f>
        <v>45734</v>
      </c>
      <c r="I8" s="9">
        <f t="shared" ref="I8:I16" si="2">$D$5-H8</f>
        <v>32</v>
      </c>
      <c r="J8" s="10">
        <f t="shared" ref="J8:J16" si="3">VLOOKUP(D8,$I$20:$M$25,3,FALSE)*F8</f>
        <v>5000</v>
      </c>
      <c r="K8" s="11">
        <f t="shared" ref="K8:K16" si="4">MAX(0,$D$5-G8)*VLOOKUP(D8,$I$20:$M$25,4,FALSE)*F8</f>
        <v>22500</v>
      </c>
      <c r="L8" s="10">
        <f t="shared" ref="L8:L16" si="5">MAX(0,F8-5)*VLOOKUP(D8,$I$21:$M$25,5,FALSE)</f>
        <v>0</v>
      </c>
      <c r="M8" s="12">
        <f t="shared" ref="M8:M16" si="6">SUM(J8:K8)-L8</f>
        <v>27500</v>
      </c>
      <c r="N8" s="1"/>
      <c r="O8" s="1"/>
      <c r="P8" s="1"/>
    </row>
    <row r="9" spans="2:16" ht="19.899999999999999" customHeight="1">
      <c r="B9" s="5">
        <v>3</v>
      </c>
      <c r="C9" s="15" t="s">
        <v>19</v>
      </c>
      <c r="D9" s="5">
        <v>105</v>
      </c>
      <c r="E9" s="6" t="str">
        <f t="shared" si="0"/>
        <v>Teknik</v>
      </c>
      <c r="F9" s="5">
        <v>3</v>
      </c>
      <c r="G9" s="7">
        <v>45758</v>
      </c>
      <c r="H9" s="8">
        <f t="shared" si="1"/>
        <v>45744</v>
      </c>
      <c r="I9" s="9">
        <f t="shared" si="2"/>
        <v>22</v>
      </c>
      <c r="J9" s="10">
        <f t="shared" si="3"/>
        <v>9000</v>
      </c>
      <c r="K9" s="11">
        <f t="shared" si="4"/>
        <v>18000</v>
      </c>
      <c r="L9" s="10">
        <f t="shared" si="5"/>
        <v>0</v>
      </c>
      <c r="M9" s="12">
        <f t="shared" si="6"/>
        <v>27000</v>
      </c>
      <c r="N9" s="1"/>
      <c r="O9" s="1"/>
      <c r="P9" s="1"/>
    </row>
    <row r="10" spans="2:16" ht="19.899999999999999" customHeight="1">
      <c r="B10" s="5">
        <v>4</v>
      </c>
      <c r="C10" s="15" t="s">
        <v>20</v>
      </c>
      <c r="D10" s="5">
        <v>104</v>
      </c>
      <c r="E10" s="6" t="str">
        <f t="shared" si="0"/>
        <v>Agama</v>
      </c>
      <c r="F10" s="5">
        <v>7</v>
      </c>
      <c r="G10" s="7">
        <v>45764</v>
      </c>
      <c r="H10" s="8">
        <f t="shared" si="1"/>
        <v>45750</v>
      </c>
      <c r="I10" s="9">
        <f t="shared" si="2"/>
        <v>16</v>
      </c>
      <c r="J10" s="10">
        <f t="shared" si="3"/>
        <v>14000</v>
      </c>
      <c r="K10" s="11">
        <f t="shared" si="4"/>
        <v>7000</v>
      </c>
      <c r="L10" s="10">
        <f t="shared" si="5"/>
        <v>2500</v>
      </c>
      <c r="M10" s="12">
        <f t="shared" si="6"/>
        <v>18500</v>
      </c>
      <c r="N10" s="1"/>
      <c r="O10" s="1"/>
      <c r="P10" s="1"/>
    </row>
    <row r="11" spans="2:16" ht="19.899999999999999" customHeight="1">
      <c r="B11" s="5">
        <v>5</v>
      </c>
      <c r="C11" s="15" t="s">
        <v>21</v>
      </c>
      <c r="D11" s="5">
        <v>101</v>
      </c>
      <c r="E11" s="6" t="str">
        <f t="shared" si="0"/>
        <v>Komputer</v>
      </c>
      <c r="F11" s="5">
        <v>8</v>
      </c>
      <c r="G11" s="7">
        <v>45757</v>
      </c>
      <c r="H11" s="8">
        <f t="shared" si="1"/>
        <v>45743</v>
      </c>
      <c r="I11" s="9">
        <f t="shared" si="2"/>
        <v>23</v>
      </c>
      <c r="J11" s="10">
        <f t="shared" si="3"/>
        <v>40000</v>
      </c>
      <c r="K11" s="11">
        <f t="shared" si="4"/>
        <v>90000</v>
      </c>
      <c r="L11" s="10">
        <f t="shared" si="5"/>
        <v>1500</v>
      </c>
      <c r="M11" s="12">
        <f t="shared" si="6"/>
        <v>128500</v>
      </c>
      <c r="N11" s="1"/>
      <c r="O11" s="1"/>
      <c r="P11" s="1"/>
    </row>
    <row r="12" spans="2:16" ht="19.899999999999999" customHeight="1">
      <c r="B12" s="5">
        <v>6</v>
      </c>
      <c r="C12" s="15" t="s">
        <v>22</v>
      </c>
      <c r="D12" s="5">
        <v>103</v>
      </c>
      <c r="E12" s="6" t="str">
        <f t="shared" si="0"/>
        <v>Ekonomi</v>
      </c>
      <c r="F12" s="5">
        <v>4</v>
      </c>
      <c r="G12" s="7">
        <v>45776</v>
      </c>
      <c r="H12" s="8">
        <f t="shared" si="1"/>
        <v>45762</v>
      </c>
      <c r="I12" s="9">
        <f t="shared" si="2"/>
        <v>4</v>
      </c>
      <c r="J12" s="10">
        <f t="shared" si="3"/>
        <v>16000</v>
      </c>
      <c r="K12" s="11">
        <f t="shared" si="4"/>
        <v>0</v>
      </c>
      <c r="L12" s="10">
        <f t="shared" si="5"/>
        <v>0</v>
      </c>
      <c r="M12" s="12">
        <f t="shared" si="6"/>
        <v>16000</v>
      </c>
      <c r="N12" s="1"/>
      <c r="O12" s="1"/>
      <c r="P12" s="1"/>
    </row>
    <row r="13" spans="2:16" ht="19.899999999999999" customHeight="1">
      <c r="B13" s="5">
        <v>7</v>
      </c>
      <c r="C13" s="15" t="s">
        <v>23</v>
      </c>
      <c r="D13" s="5">
        <v>102</v>
      </c>
      <c r="E13" s="6" t="str">
        <f t="shared" si="0"/>
        <v>Filsafat</v>
      </c>
      <c r="F13" s="5">
        <v>6</v>
      </c>
      <c r="G13" s="7">
        <v>45771</v>
      </c>
      <c r="H13" s="8">
        <f t="shared" si="1"/>
        <v>45757</v>
      </c>
      <c r="I13" s="9">
        <f t="shared" si="2"/>
        <v>9</v>
      </c>
      <c r="J13" s="10">
        <f t="shared" si="3"/>
        <v>6000</v>
      </c>
      <c r="K13" s="11">
        <f t="shared" si="4"/>
        <v>0</v>
      </c>
      <c r="L13" s="10">
        <f t="shared" si="5"/>
        <v>1500</v>
      </c>
      <c r="M13" s="12">
        <f t="shared" si="6"/>
        <v>4500</v>
      </c>
      <c r="N13" s="1"/>
      <c r="O13" s="1"/>
      <c r="P13" s="1"/>
    </row>
    <row r="14" spans="2:16" ht="19.899999999999999" customHeight="1">
      <c r="B14" s="5">
        <v>8</v>
      </c>
      <c r="C14" s="15" t="s">
        <v>24</v>
      </c>
      <c r="D14" s="5">
        <v>105</v>
      </c>
      <c r="E14" s="6" t="str">
        <f t="shared" si="0"/>
        <v>Teknik</v>
      </c>
      <c r="F14" s="5">
        <v>5</v>
      </c>
      <c r="G14" s="7">
        <v>45767</v>
      </c>
      <c r="H14" s="8">
        <f t="shared" si="1"/>
        <v>45753</v>
      </c>
      <c r="I14" s="9">
        <f t="shared" si="2"/>
        <v>13</v>
      </c>
      <c r="J14" s="10">
        <f t="shared" si="3"/>
        <v>15000</v>
      </c>
      <c r="K14" s="11">
        <f t="shared" si="4"/>
        <v>0</v>
      </c>
      <c r="L14" s="10">
        <f t="shared" si="5"/>
        <v>0</v>
      </c>
      <c r="M14" s="12">
        <f t="shared" si="6"/>
        <v>15000</v>
      </c>
      <c r="N14" s="1"/>
      <c r="O14" s="1"/>
      <c r="P14" s="1"/>
    </row>
    <row r="15" spans="2:16" ht="19.899999999999999" customHeight="1">
      <c r="B15" s="5">
        <v>9</v>
      </c>
      <c r="C15" s="15" t="s">
        <v>25</v>
      </c>
      <c r="D15" s="5">
        <v>101</v>
      </c>
      <c r="E15" s="6" t="str">
        <f t="shared" si="0"/>
        <v>Komputer</v>
      </c>
      <c r="F15" s="5">
        <v>10</v>
      </c>
      <c r="G15" s="7">
        <v>45766</v>
      </c>
      <c r="H15" s="8">
        <f t="shared" si="1"/>
        <v>45752</v>
      </c>
      <c r="I15" s="9">
        <f t="shared" si="2"/>
        <v>14</v>
      </c>
      <c r="J15" s="10">
        <f t="shared" si="3"/>
        <v>50000</v>
      </c>
      <c r="K15" s="11">
        <f t="shared" si="4"/>
        <v>0</v>
      </c>
      <c r="L15" s="10">
        <f t="shared" si="5"/>
        <v>2500</v>
      </c>
      <c r="M15" s="12">
        <f t="shared" si="6"/>
        <v>47500</v>
      </c>
      <c r="N15" s="1"/>
      <c r="O15" s="1"/>
      <c r="P15" s="1"/>
    </row>
    <row r="16" spans="2:16" ht="19.899999999999999" customHeight="1">
      <c r="B16" s="5">
        <v>10</v>
      </c>
      <c r="C16" s="15" t="s">
        <v>26</v>
      </c>
      <c r="D16" s="5">
        <v>104</v>
      </c>
      <c r="E16" s="6" t="str">
        <f t="shared" si="0"/>
        <v>Agama</v>
      </c>
      <c r="F16" s="5">
        <v>2</v>
      </c>
      <c r="G16" s="7">
        <v>45762</v>
      </c>
      <c r="H16" s="8">
        <f t="shared" si="1"/>
        <v>45748</v>
      </c>
      <c r="I16" s="9">
        <f t="shared" si="2"/>
        <v>18</v>
      </c>
      <c r="J16" s="10">
        <f t="shared" si="3"/>
        <v>4000</v>
      </c>
      <c r="K16" s="11">
        <f t="shared" si="4"/>
        <v>4000</v>
      </c>
      <c r="L16" s="10">
        <f t="shared" si="5"/>
        <v>0</v>
      </c>
      <c r="M16" s="12">
        <f t="shared" si="6"/>
        <v>8000</v>
      </c>
      <c r="N16" s="1"/>
      <c r="O16" s="1"/>
      <c r="P16" s="1"/>
    </row>
    <row r="17" spans="2:16" ht="4.9000000000000004" customHeight="1">
      <c r="B17" s="23"/>
      <c r="C17" s="24"/>
      <c r="D17" s="23"/>
      <c r="E17" s="25"/>
      <c r="F17" s="23"/>
      <c r="G17" s="26"/>
      <c r="H17" s="27"/>
      <c r="I17" s="28"/>
      <c r="J17" s="29"/>
      <c r="K17" s="30"/>
      <c r="L17" s="29"/>
      <c r="M17" s="31"/>
      <c r="N17" s="1"/>
      <c r="O17" s="1"/>
      <c r="P17" s="1"/>
    </row>
    <row r="18" spans="2:16">
      <c r="O18" s="1"/>
    </row>
    <row r="19" spans="2:16">
      <c r="I19" s="32" t="s">
        <v>27</v>
      </c>
      <c r="J19" s="1"/>
      <c r="K19" s="1"/>
      <c r="L19" s="1"/>
      <c r="M19" s="1"/>
      <c r="O19" s="1"/>
    </row>
    <row r="20" spans="2:16">
      <c r="I20" s="36" t="s">
        <v>7</v>
      </c>
      <c r="J20" s="36" t="s">
        <v>8</v>
      </c>
      <c r="K20" s="36" t="s">
        <v>28</v>
      </c>
      <c r="L20" s="36" t="s">
        <v>29</v>
      </c>
      <c r="M20" s="36" t="s">
        <v>15</v>
      </c>
      <c r="O20" s="1"/>
    </row>
    <row r="21" spans="2:16">
      <c r="I21" s="37">
        <v>101</v>
      </c>
      <c r="J21" s="38" t="s">
        <v>30</v>
      </c>
      <c r="K21" s="39">
        <v>5000</v>
      </c>
      <c r="L21" s="39">
        <v>1250</v>
      </c>
      <c r="M21" s="40">
        <v>500</v>
      </c>
      <c r="O21" s="1"/>
    </row>
    <row r="22" spans="2:16">
      <c r="D22" s="33" t="s">
        <v>31</v>
      </c>
      <c r="I22" s="41">
        <v>102</v>
      </c>
      <c r="J22" s="42" t="s">
        <v>32</v>
      </c>
      <c r="K22" s="43">
        <v>1000</v>
      </c>
      <c r="L22" s="43">
        <v>250</v>
      </c>
      <c r="M22" s="44">
        <v>1500</v>
      </c>
      <c r="O22" s="1"/>
    </row>
    <row r="23" spans="2:16">
      <c r="E23" s="1"/>
      <c r="I23" s="41">
        <v>103</v>
      </c>
      <c r="J23" s="42" t="s">
        <v>33</v>
      </c>
      <c r="K23" s="43">
        <v>4000</v>
      </c>
      <c r="L23" s="43">
        <v>1000</v>
      </c>
      <c r="M23" s="44">
        <v>750</v>
      </c>
      <c r="O23" s="1"/>
    </row>
    <row r="24" spans="2:16">
      <c r="D24" s="2" t="s">
        <v>34</v>
      </c>
      <c r="E24" s="1"/>
      <c r="I24" s="41">
        <v>104</v>
      </c>
      <c r="J24" s="42" t="s">
        <v>35</v>
      </c>
      <c r="K24" s="43">
        <v>2000</v>
      </c>
      <c r="L24" s="43">
        <v>500</v>
      </c>
      <c r="M24" s="44">
        <v>1250</v>
      </c>
    </row>
    <row r="25" spans="2:16">
      <c r="D25" s="2" t="s">
        <v>36</v>
      </c>
      <c r="E25" s="1"/>
      <c r="I25" s="45">
        <v>105</v>
      </c>
      <c r="J25" s="46" t="s">
        <v>37</v>
      </c>
      <c r="K25" s="47">
        <v>3000</v>
      </c>
      <c r="L25" s="47">
        <v>750</v>
      </c>
      <c r="M25" s="48">
        <v>1000</v>
      </c>
    </row>
    <row r="26" spans="2:16">
      <c r="D26" s="2" t="s">
        <v>38</v>
      </c>
      <c r="E26" s="1"/>
    </row>
    <row r="27" spans="2:16">
      <c r="D27" s="2" t="s">
        <v>39</v>
      </c>
      <c r="E27" s="1"/>
    </row>
    <row r="28" spans="2:16">
      <c r="D28" s="2" t="s">
        <v>40</v>
      </c>
      <c r="E28" s="1"/>
    </row>
    <row r="29" spans="2:16">
      <c r="D29" s="3" t="s">
        <v>41</v>
      </c>
      <c r="E29" s="1"/>
    </row>
    <row r="30" spans="2:16">
      <c r="D30" s="1"/>
      <c r="E30" s="34" t="s">
        <v>42</v>
      </c>
      <c r="F30" s="35"/>
      <c r="G30" s="35"/>
    </row>
    <row r="31" spans="2:16">
      <c r="D31" s="1"/>
      <c r="E31" s="34" t="s">
        <v>43</v>
      </c>
      <c r="F31" s="35"/>
      <c r="G31" s="35"/>
    </row>
    <row r="32" spans="2:16">
      <c r="D32" s="1"/>
      <c r="E32" s="34" t="s">
        <v>44</v>
      </c>
      <c r="F32" s="35"/>
      <c r="G32" s="35"/>
    </row>
    <row r="33" spans="1:7">
      <c r="D33" s="1"/>
      <c r="E33" s="34" t="s">
        <v>45</v>
      </c>
      <c r="F33" s="35"/>
      <c r="G33" s="35"/>
    </row>
    <row r="34" spans="1:7">
      <c r="D34" s="2" t="s">
        <v>46</v>
      </c>
      <c r="E34" s="1"/>
    </row>
    <row r="35" spans="1:7">
      <c r="D35" s="2" t="s">
        <v>47</v>
      </c>
      <c r="E35" s="1"/>
    </row>
    <row r="36" spans="1:7">
      <c r="A36" s="14"/>
      <c r="E36" s="34" t="s">
        <v>48</v>
      </c>
    </row>
    <row r="37" spans="1:7">
      <c r="E37" s="34" t="s">
        <v>49</v>
      </c>
    </row>
    <row r="38" spans="1:7">
      <c r="E38" s="34" t="s">
        <v>50</v>
      </c>
    </row>
    <row r="39" spans="1:7">
      <c r="D39" s="2" t="s">
        <v>51</v>
      </c>
    </row>
    <row r="41" spans="1:7">
      <c r="D41" s="13" t="s">
        <v>52</v>
      </c>
    </row>
    <row r="42" spans="1:7">
      <c r="D42" s="13" t="s">
        <v>53</v>
      </c>
    </row>
  </sheetData>
  <mergeCells count="2">
    <mergeCell ref="B1:C1"/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86C9-3E0F-4569-9DE2-1204E35A1DA2}">
  <dimension ref="A1:J25"/>
  <sheetViews>
    <sheetView workbookViewId="0">
      <selection activeCell="I31" sqref="I31"/>
    </sheetView>
  </sheetViews>
  <sheetFormatPr defaultRowHeight="14.45"/>
  <cols>
    <col min="4" max="4" width="10.5703125" customWidth="1"/>
    <col min="5" max="5" width="22.7109375" customWidth="1"/>
  </cols>
  <sheetData>
    <row r="1" spans="1:10">
      <c r="A1" s="49"/>
      <c r="B1" s="49"/>
      <c r="C1" s="49"/>
      <c r="D1" s="49"/>
      <c r="E1" s="49"/>
      <c r="F1" s="49"/>
      <c r="G1" s="49"/>
      <c r="H1" s="49"/>
      <c r="I1" s="49"/>
      <c r="J1" s="49"/>
    </row>
    <row r="2" spans="1:10">
      <c r="A2" s="49"/>
      <c r="B2" s="49"/>
      <c r="C2" s="49"/>
      <c r="D2" s="49"/>
      <c r="E2" s="49"/>
      <c r="F2" s="49"/>
      <c r="G2" s="49"/>
      <c r="H2" s="49"/>
      <c r="I2" s="49"/>
      <c r="J2" s="49"/>
    </row>
    <row r="3" spans="1:10">
      <c r="A3" s="49"/>
      <c r="B3" s="49"/>
      <c r="C3" s="49"/>
      <c r="D3" s="49"/>
      <c r="E3" s="49"/>
      <c r="F3" s="49"/>
      <c r="G3" s="49"/>
      <c r="H3" s="49"/>
      <c r="I3" s="49"/>
      <c r="J3" s="49"/>
    </row>
    <row r="4" spans="1:10">
      <c r="A4" s="49"/>
      <c r="B4" s="49"/>
      <c r="C4" s="49"/>
      <c r="D4" s="49"/>
      <c r="E4" s="49"/>
      <c r="F4" s="49"/>
      <c r="G4" s="49"/>
      <c r="H4" s="49"/>
      <c r="I4" s="49"/>
      <c r="J4" s="49"/>
    </row>
    <row r="5" spans="1:10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0">
      <c r="A6" s="49"/>
      <c r="B6" s="49"/>
      <c r="C6" s="49" t="s">
        <v>54</v>
      </c>
      <c r="D6" s="49"/>
      <c r="E6" s="49"/>
      <c r="F6" s="49"/>
      <c r="G6" s="49"/>
      <c r="H6" s="49"/>
      <c r="I6" s="49"/>
      <c r="J6" s="49"/>
    </row>
    <row r="7" spans="1:10">
      <c r="A7" s="49"/>
      <c r="B7" s="49"/>
      <c r="C7" s="49" t="s">
        <v>55</v>
      </c>
      <c r="D7" s="49"/>
      <c r="E7" s="49"/>
      <c r="F7" s="49"/>
      <c r="G7" s="49"/>
      <c r="H7" s="49"/>
      <c r="I7" s="49"/>
      <c r="J7" s="49"/>
    </row>
    <row r="8" spans="1:10">
      <c r="A8" s="49"/>
      <c r="B8" s="49"/>
      <c r="C8" s="49"/>
      <c r="D8" s="49"/>
      <c r="E8" s="49"/>
      <c r="F8" s="49"/>
      <c r="G8" s="49"/>
      <c r="H8" s="49"/>
      <c r="I8" s="49"/>
      <c r="J8" s="49"/>
    </row>
    <row r="9" spans="1:10">
      <c r="A9" s="49"/>
      <c r="B9" s="49"/>
      <c r="C9" s="49"/>
      <c r="D9" s="49"/>
      <c r="E9" s="49"/>
      <c r="F9" s="49"/>
      <c r="G9" s="49"/>
      <c r="H9" s="49"/>
      <c r="I9" s="49"/>
      <c r="J9" s="49"/>
    </row>
    <row r="10" spans="1:10">
      <c r="A10" s="49"/>
      <c r="B10" s="49"/>
      <c r="C10" s="49" t="s">
        <v>56</v>
      </c>
      <c r="D10" s="49"/>
      <c r="E10" s="49"/>
      <c r="F10" s="49"/>
      <c r="G10" s="49"/>
      <c r="H10" s="49"/>
      <c r="I10" s="49"/>
      <c r="J10" s="49"/>
    </row>
    <row r="11" spans="1:10">
      <c r="A11" s="49"/>
      <c r="B11" s="49"/>
      <c r="C11" s="49"/>
      <c r="D11" s="49"/>
      <c r="E11" s="49"/>
      <c r="F11" s="49"/>
      <c r="G11" s="49"/>
      <c r="H11" s="49"/>
      <c r="I11" s="49"/>
      <c r="J11" s="49"/>
    </row>
    <row r="12" spans="1:10">
      <c r="A12" s="49"/>
      <c r="B12" s="49"/>
      <c r="C12" s="49"/>
      <c r="D12" s="57" t="s">
        <v>57</v>
      </c>
      <c r="E12" s="57"/>
      <c r="F12" s="49"/>
      <c r="G12" s="49"/>
      <c r="H12" s="49"/>
      <c r="I12" s="49"/>
      <c r="J12" s="49"/>
    </row>
    <row r="13" spans="1:10">
      <c r="A13" s="49"/>
      <c r="B13" s="49"/>
      <c r="C13" s="49"/>
      <c r="D13" s="57" t="s">
        <v>58</v>
      </c>
      <c r="E13" s="57"/>
      <c r="F13" s="49"/>
      <c r="G13" s="49"/>
      <c r="H13" s="49"/>
      <c r="I13" s="49"/>
      <c r="J13" s="49"/>
    </row>
    <row r="14" spans="1:10">
      <c r="A14" s="49"/>
      <c r="B14" s="49"/>
      <c r="C14" s="49"/>
      <c r="D14" s="57" t="s">
        <v>59</v>
      </c>
      <c r="E14" s="57"/>
      <c r="F14" s="49"/>
      <c r="G14" s="49"/>
      <c r="H14" s="49"/>
      <c r="I14" s="49"/>
      <c r="J14" s="49"/>
    </row>
    <row r="15" spans="1:10">
      <c r="A15" s="49"/>
      <c r="B15" s="49"/>
      <c r="C15" s="49"/>
      <c r="D15" s="57" t="s">
        <v>60</v>
      </c>
      <c r="E15" s="57"/>
      <c r="F15" s="49"/>
      <c r="G15" s="49"/>
      <c r="H15" s="49"/>
      <c r="I15" s="49"/>
      <c r="J15" s="49"/>
    </row>
    <row r="16" spans="1:10">
      <c r="A16" s="49"/>
      <c r="B16" s="49"/>
      <c r="C16" s="49"/>
      <c r="D16" s="57" t="s">
        <v>61</v>
      </c>
      <c r="E16" s="57"/>
      <c r="F16" s="49"/>
      <c r="G16" s="49"/>
      <c r="H16" s="49"/>
      <c r="I16" s="49"/>
      <c r="J16" s="49"/>
    </row>
    <row r="17" spans="1:10">
      <c r="A17" s="49"/>
      <c r="B17" s="49"/>
      <c r="C17" s="49"/>
      <c r="D17" s="49"/>
      <c r="E17" s="49"/>
      <c r="F17" s="49"/>
      <c r="G17" s="49"/>
      <c r="H17" s="49"/>
      <c r="I17" s="49"/>
      <c r="J17" s="49"/>
    </row>
    <row r="18" spans="1:10">
      <c r="A18" s="49"/>
      <c r="B18" s="49"/>
      <c r="C18" s="49"/>
      <c r="D18" s="49"/>
      <c r="E18" s="49"/>
      <c r="F18" s="49"/>
      <c r="G18" s="49"/>
      <c r="H18" s="49"/>
      <c r="I18" s="49"/>
      <c r="J18" s="49"/>
    </row>
    <row r="19" spans="1:10">
      <c r="A19" s="49"/>
      <c r="B19" s="49"/>
      <c r="C19" s="49" t="s">
        <v>62</v>
      </c>
      <c r="D19" s="49"/>
      <c r="E19" s="49"/>
      <c r="F19" s="49"/>
      <c r="G19" s="49"/>
      <c r="H19" s="49"/>
      <c r="I19" s="49"/>
      <c r="J19" s="49"/>
    </row>
    <row r="20" spans="1:10">
      <c r="A20" s="49"/>
      <c r="B20" s="49"/>
      <c r="C20" s="50" t="s">
        <v>63</v>
      </c>
      <c r="D20" s="49"/>
      <c r="E20" s="49"/>
      <c r="F20" s="49"/>
      <c r="G20" s="49"/>
      <c r="H20" s="49"/>
      <c r="I20" s="49"/>
      <c r="J20" s="49"/>
    </row>
    <row r="21" spans="1:10">
      <c r="A21" s="49"/>
      <c r="B21" s="49"/>
      <c r="C21" s="49"/>
      <c r="D21" s="49"/>
      <c r="E21" s="49"/>
      <c r="F21" s="49"/>
      <c r="G21" s="49"/>
      <c r="H21" s="49"/>
      <c r="I21" s="49"/>
      <c r="J21" s="49"/>
    </row>
    <row r="22" spans="1:10">
      <c r="A22" s="49"/>
      <c r="B22" s="49"/>
      <c r="C22" s="49"/>
      <c r="D22" s="49"/>
      <c r="E22" s="49"/>
      <c r="F22" s="49"/>
      <c r="G22" s="49"/>
      <c r="H22" s="49"/>
      <c r="I22" s="49"/>
      <c r="J22" s="49"/>
    </row>
    <row r="23" spans="1:10">
      <c r="A23" s="49"/>
      <c r="B23" s="49"/>
      <c r="C23" s="49"/>
      <c r="D23" s="49"/>
      <c r="E23" s="49"/>
      <c r="F23" s="49"/>
      <c r="G23" s="49"/>
      <c r="H23" s="49"/>
      <c r="I23" s="49"/>
      <c r="J23" s="49"/>
    </row>
    <row r="24" spans="1:10">
      <c r="A24" s="49"/>
      <c r="B24" s="49"/>
      <c r="C24" s="49"/>
      <c r="D24" s="49"/>
      <c r="E24" s="49"/>
      <c r="F24" s="49"/>
      <c r="G24" s="49"/>
      <c r="H24" s="49"/>
      <c r="I24" s="49"/>
      <c r="J24" s="49"/>
    </row>
    <row r="25" spans="1:10">
      <c r="A25" s="49"/>
      <c r="B25" s="49"/>
      <c r="C25" s="49"/>
      <c r="D25" s="49"/>
      <c r="E25" s="49"/>
      <c r="F25" s="49"/>
      <c r="G25" s="49"/>
      <c r="H25" s="49"/>
      <c r="I25" s="49"/>
      <c r="J25" s="49"/>
    </row>
  </sheetData>
  <mergeCells count="5">
    <mergeCell ref="D12:E12"/>
    <mergeCell ref="D13:E13"/>
    <mergeCell ref="D14:E14"/>
    <mergeCell ref="D15:E15"/>
    <mergeCell ref="D16:E16"/>
  </mergeCells>
  <hyperlinks>
    <hyperlink ref="C20" r:id="rId1" xr:uid="{41F82952-DC33-4866-8CE6-CD1147C643F4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DB9E-6B5D-4578-BB90-D41D6F10FB70}">
  <dimension ref="A1:AA29"/>
  <sheetViews>
    <sheetView workbookViewId="0">
      <selection activeCell="I22" sqref="I22"/>
    </sheetView>
  </sheetViews>
  <sheetFormatPr defaultRowHeight="14.45"/>
  <cols>
    <col min="2" max="2" width="11" customWidth="1"/>
    <col min="3" max="3" width="10.28515625" customWidth="1"/>
    <col min="4" max="4" width="12.5703125" customWidth="1"/>
    <col min="5" max="5" width="10.28515625" customWidth="1"/>
    <col min="6" max="6" width="10.7109375" customWidth="1"/>
    <col min="7" max="7" width="13.28515625" customWidth="1"/>
    <col min="12" max="12" width="16.28515625" customWidth="1"/>
    <col min="13" max="13" width="15.7109375" customWidth="1"/>
    <col min="14" max="14" width="21" customWidth="1"/>
    <col min="21" max="21" width="49.140625" customWidth="1"/>
  </cols>
  <sheetData>
    <row r="1" spans="1:27">
      <c r="A1" t="s">
        <v>64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U1" t="s">
        <v>65</v>
      </c>
    </row>
    <row r="2" spans="1:27">
      <c r="A2" t="s">
        <v>66</v>
      </c>
      <c r="C2" s="22"/>
      <c r="D2">
        <v>1</v>
      </c>
      <c r="E2" t="str">
        <f>'XL-Test'!E7</f>
        <v>Ekonomi</v>
      </c>
      <c r="F2" s="21">
        <f>'XL-Test'!H7</f>
        <v>45743</v>
      </c>
      <c r="G2">
        <f>'XL-Test'!I7</f>
        <v>23</v>
      </c>
      <c r="H2">
        <f>'XL-Test'!J7</f>
        <v>44000</v>
      </c>
      <c r="I2">
        <f>'XL-Test'!K7</f>
        <v>99000</v>
      </c>
      <c r="J2">
        <f>'XL-Test'!L7</f>
        <v>4500</v>
      </c>
      <c r="K2">
        <f>'XL-Test'!M7</f>
        <v>138500</v>
      </c>
      <c r="T2">
        <v>1</v>
      </c>
      <c r="U2" t="str">
        <f ca="1">_xlfn.FORMULATEXT('XL-Test'!E7)</f>
        <v>=VLOOKUP(D7;$I$21:$M$25;2;0)</v>
      </c>
      <c r="V2" t="str">
        <f ca="1">_xlfn.FORMULATEXT('XL-Test'!H7)</f>
        <v>=G7-14</v>
      </c>
      <c r="W2" t="str">
        <f ca="1">_xlfn.FORMULATEXT('XL-Test'!I7)</f>
        <v>=$D$5-H7</v>
      </c>
      <c r="X2" t="str">
        <f ca="1">_xlfn.FORMULATEXT('XL-Test'!J7)</f>
        <v>=VLOOKUP(D7;$I$20:$M$25;3;FALSE)*F7</v>
      </c>
      <c r="Y2" t="str">
        <f ca="1">_xlfn.FORMULATEXT('XL-Test'!K7)</f>
        <v>=MAX(0;$D$5-G7)*VLOOKUP(D7;$I$20:$M$25;4;FALSE)*F7</v>
      </c>
      <c r="Z2" t="str">
        <f ca="1">_xlfn.FORMULATEXT('XL-Test'!L7)</f>
        <v>=MAX(0;F7-5)*VLOOKUP(D7;$I$21:$M$25;5;FALSE)</v>
      </c>
      <c r="AA2" t="str">
        <f ca="1">_xlfn.FORMULATEXT('XL-Test'!M7)</f>
        <v>=SUM(J7:K7)-L7</v>
      </c>
    </row>
    <row r="3" spans="1:27">
      <c r="C3" s="22"/>
      <c r="D3">
        <v>2</v>
      </c>
      <c r="E3" t="str">
        <f>'XL-Test'!E9</f>
        <v>Teknik</v>
      </c>
      <c r="F3" s="21">
        <f>'XL-Test'!H9</f>
        <v>45744</v>
      </c>
      <c r="G3">
        <f>'XL-Test'!I9</f>
        <v>22</v>
      </c>
      <c r="H3">
        <f>'XL-Test'!J9</f>
        <v>9000</v>
      </c>
      <c r="I3">
        <f>'XL-Test'!K9</f>
        <v>18000</v>
      </c>
      <c r="J3">
        <f>'XL-Test'!L9</f>
        <v>0</v>
      </c>
      <c r="K3">
        <f>'XL-Test'!M9</f>
        <v>27000</v>
      </c>
      <c r="T3">
        <v>2</v>
      </c>
      <c r="U3" t="str">
        <f ca="1">_xlfn.FORMULATEXT('XL-Test'!H7)</f>
        <v>=G7-14</v>
      </c>
    </row>
    <row r="4" spans="1:27">
      <c r="C4" s="22"/>
      <c r="D4">
        <v>3</v>
      </c>
      <c r="E4" t="str">
        <f>'XL-Test'!E10</f>
        <v>Agama</v>
      </c>
      <c r="F4" s="21">
        <f>'XL-Test'!H11</f>
        <v>45743</v>
      </c>
      <c r="G4">
        <f>'XL-Test'!I12</f>
        <v>4</v>
      </c>
      <c r="H4">
        <f>'XL-Test'!J12</f>
        <v>16000</v>
      </c>
      <c r="I4">
        <f>'XL-Test'!K12</f>
        <v>0</v>
      </c>
      <c r="J4">
        <f>'XL-Test'!L12</f>
        <v>0</v>
      </c>
      <c r="K4">
        <f>'XL-Test'!M12</f>
        <v>16000</v>
      </c>
      <c r="T4">
        <v>3</v>
      </c>
      <c r="U4" t="str">
        <f ca="1">_xlfn.FORMULATEXT('XL-Test'!I7)</f>
        <v>=$D$5-H7</v>
      </c>
    </row>
    <row r="5" spans="1:27">
      <c r="C5" s="22"/>
      <c r="D5">
        <v>4</v>
      </c>
      <c r="E5" t="str">
        <f>'XL-Test'!E11</f>
        <v>Komputer</v>
      </c>
      <c r="F5" s="21">
        <f>'XL-Test'!H12</f>
        <v>45762</v>
      </c>
      <c r="G5">
        <f>'XL-Test'!I14</f>
        <v>13</v>
      </c>
      <c r="H5">
        <f>'XL-Test'!J14</f>
        <v>15000</v>
      </c>
      <c r="I5">
        <f>'XL-Test'!K14</f>
        <v>0</v>
      </c>
      <c r="J5">
        <f>'XL-Test'!L14</f>
        <v>0</v>
      </c>
      <c r="K5">
        <f>'XL-Test'!M14</f>
        <v>15000</v>
      </c>
      <c r="T5">
        <v>4</v>
      </c>
      <c r="U5" t="str">
        <f ca="1">_xlfn.FORMULATEXT('XL-Test'!J7)</f>
        <v>=VLOOKUP(D7;$I$20:$M$25;3;FALSE)*F7</v>
      </c>
    </row>
    <row r="6" spans="1:27">
      <c r="C6" s="22"/>
      <c r="D6">
        <v>5</v>
      </c>
      <c r="E6" t="str">
        <f>'XL-Test'!E14</f>
        <v>Teknik</v>
      </c>
      <c r="F6" s="21">
        <f>'XL-Test'!H13</f>
        <v>45757</v>
      </c>
      <c r="G6">
        <f>'XL-Test'!I16</f>
        <v>18</v>
      </c>
      <c r="H6">
        <f>'XL-Test'!J16</f>
        <v>4000</v>
      </c>
      <c r="I6">
        <f>'XL-Test'!K16</f>
        <v>4000</v>
      </c>
      <c r="J6">
        <f>'XL-Test'!L16</f>
        <v>0</v>
      </c>
      <c r="K6">
        <f>'XL-Test'!M16</f>
        <v>8000</v>
      </c>
      <c r="T6">
        <v>5</v>
      </c>
      <c r="U6" t="str">
        <f ca="1">_xlfn.FORMULATEXT('XL-Test'!K7)</f>
        <v>=MAX(0;$D$5-G7)*VLOOKUP(D7;$I$20:$M$25;4;FALSE)*F7</v>
      </c>
    </row>
    <row r="7" spans="1:27">
      <c r="D7">
        <v>6</v>
      </c>
      <c r="E7" t="str">
        <f>'XL-Test'!E12</f>
        <v>Ekonomi</v>
      </c>
      <c r="F7" s="21">
        <f>SUM('XL-Test'!H7:H16)</f>
        <v>457486</v>
      </c>
      <c r="G7">
        <f>SUM('XL-Test'!I7:I16)</f>
        <v>174</v>
      </c>
      <c r="H7">
        <f>SUM('XL-Test'!J7:J16)</f>
        <v>203000</v>
      </c>
      <c r="I7">
        <f>SUM('XL-Test'!K7:K16)</f>
        <v>240500</v>
      </c>
      <c r="J7">
        <f>SUM('XL-Test'!L7:L16)</f>
        <v>12500</v>
      </c>
      <c r="K7">
        <f>SUM('XL-Test'!M7:M16)</f>
        <v>431000</v>
      </c>
      <c r="T7">
        <v>6</v>
      </c>
      <c r="U7" t="str">
        <f ca="1">_xlfn.FORMULATEXT('XL-Test'!L7)</f>
        <v>=MAX(0;F7-5)*VLOOKUP(D7;$I$21:$M$25;5;FALSE)</v>
      </c>
    </row>
    <row r="8" spans="1:27">
      <c r="D8">
        <v>7</v>
      </c>
      <c r="E8" t="str">
        <f>'XL-Test'!E16</f>
        <v>Agama</v>
      </c>
      <c r="F8">
        <f>SUM(F2:F7)</f>
        <v>686235</v>
      </c>
      <c r="G8">
        <f t="shared" ref="G8:K8" si="0">SUM(G2:G7)</f>
        <v>254</v>
      </c>
      <c r="H8">
        <f t="shared" si="0"/>
        <v>291000</v>
      </c>
      <c r="I8">
        <f t="shared" si="0"/>
        <v>361500</v>
      </c>
      <c r="J8">
        <f t="shared" si="0"/>
        <v>17000</v>
      </c>
      <c r="K8">
        <f t="shared" si="0"/>
        <v>635500</v>
      </c>
      <c r="T8">
        <v>7</v>
      </c>
      <c r="U8" t="str">
        <f ca="1">_xlfn.FORMULATEXT('XL-Test'!M7)</f>
        <v>=SUM(J7:K7)-L7</v>
      </c>
    </row>
    <row r="9" spans="1:27">
      <c r="E9">
        <f>CODE(LEFT(E2))+CODE(LEFT(E3))+CODE(LEFT(E4))+CODE(LEFT(E5))+CODE(LEFT(E6))+CODE(LEFT(E7))+CODE(LEFT(E8))+CODE(RIGHT(E2))+CODE(RIGHT(E4))+CODE(RIGHT(E7))+CODE(RIGHT(E8))</f>
        <v>915</v>
      </c>
      <c r="F9">
        <f>F8</f>
        <v>686235</v>
      </c>
      <c r="G9">
        <f>G8*3</f>
        <v>762</v>
      </c>
      <c r="H9">
        <f>H8/100</f>
        <v>2910</v>
      </c>
      <c r="I9">
        <f>I8/100</f>
        <v>3615</v>
      </c>
      <c r="J9">
        <f t="shared" ref="G9:K9" si="1">J8</f>
        <v>17000</v>
      </c>
      <c r="K9">
        <f>K8/100</f>
        <v>6355</v>
      </c>
    </row>
    <row r="10" spans="1:27">
      <c r="U10">
        <v>1</v>
      </c>
      <c r="V10">
        <v>2</v>
      </c>
      <c r="W10">
        <v>3</v>
      </c>
      <c r="X10">
        <v>4</v>
      </c>
      <c r="Y10">
        <v>5</v>
      </c>
      <c r="Z10">
        <v>6</v>
      </c>
      <c r="AA10">
        <v>7</v>
      </c>
    </row>
    <row r="11" spans="1:27">
      <c r="D11" t="s">
        <v>67</v>
      </c>
      <c r="E11">
        <v>1781</v>
      </c>
      <c r="F11">
        <v>8340</v>
      </c>
      <c r="G11">
        <v>7166</v>
      </c>
      <c r="H11">
        <v>1507</v>
      </c>
      <c r="I11">
        <v>6112</v>
      </c>
      <c r="J11">
        <v>4255</v>
      </c>
      <c r="K11">
        <v>6868</v>
      </c>
    </row>
    <row r="12" spans="1:27">
      <c r="D12" t="s">
        <v>68</v>
      </c>
      <c r="E12" t="str">
        <f ca="1">IFERROR(DEC2HEX(IF(OR(E2="",E2=0),E11,E9)),"EEEE")&amp;(E18+0)</f>
        <v>3931</v>
      </c>
      <c r="F12" t="str">
        <f t="shared" ref="F12:K12" ca="1" si="2">IFERROR(DEC2HEX(IF(OR(F2="",F2=0),F11,F9)),"EEEE")&amp;(F18+0)</f>
        <v>A789B1</v>
      </c>
      <c r="G12" t="str">
        <f t="shared" ca="1" si="2"/>
        <v>2FA1</v>
      </c>
      <c r="H12" t="str">
        <f t="shared" ca="1" si="2"/>
        <v>B5E1</v>
      </c>
      <c r="I12" t="str">
        <f t="shared" ca="1" si="2"/>
        <v>E1F1</v>
      </c>
      <c r="J12" t="str">
        <f t="shared" ca="1" si="2"/>
        <v>42681</v>
      </c>
      <c r="K12" t="str">
        <f t="shared" ca="1" si="2"/>
        <v>18D31</v>
      </c>
    </row>
    <row r="14" spans="1:27">
      <c r="B14" s="16"/>
      <c r="D14" t="b">
        <v>1</v>
      </c>
      <c r="E14" t="str">
        <f>RIGHT(DEC2HEX(E11),2)</f>
        <v>F5</v>
      </c>
      <c r="F14" t="str">
        <f t="shared" ref="F14:K14" si="3">RIGHT(DEC2HEX(F11),2)</f>
        <v>94</v>
      </c>
      <c r="G14" t="str">
        <f t="shared" si="3"/>
        <v>FE</v>
      </c>
      <c r="H14" t="str">
        <f t="shared" si="3"/>
        <v>E3</v>
      </c>
      <c r="I14" t="str">
        <f t="shared" si="3"/>
        <v>E0</v>
      </c>
      <c r="J14" t="str">
        <f t="shared" si="3"/>
        <v>9F</v>
      </c>
      <c r="K14" t="str">
        <f t="shared" si="3"/>
        <v>D4</v>
      </c>
      <c r="M14" s="22"/>
    </row>
    <row r="15" spans="1:27">
      <c r="B15" s="16"/>
      <c r="D15" t="b">
        <v>0</v>
      </c>
      <c r="E15" t="str">
        <f>LEFT(DEC2HEX(E11),2)</f>
        <v>6F</v>
      </c>
      <c r="F15" t="str">
        <f t="shared" ref="F15:K15" si="4">LEFT(DEC2HEX(F11),2)</f>
        <v>20</v>
      </c>
      <c r="G15" t="str">
        <f t="shared" si="4"/>
        <v>1B</v>
      </c>
      <c r="H15" t="str">
        <f t="shared" si="4"/>
        <v>5E</v>
      </c>
      <c r="I15" t="str">
        <f t="shared" si="4"/>
        <v>17</v>
      </c>
      <c r="J15" t="str">
        <f t="shared" si="4"/>
        <v>10</v>
      </c>
      <c r="K15" t="str">
        <f t="shared" si="4"/>
        <v>1A</v>
      </c>
      <c r="M15" s="22"/>
    </row>
    <row r="16" spans="1:27">
      <c r="B16" s="16"/>
      <c r="M16" s="22"/>
    </row>
    <row r="17" spans="2:13">
      <c r="B17" s="16"/>
      <c r="D17" t="s">
        <v>69</v>
      </c>
      <c r="E17" t="b">
        <f ca="1">ISNUMBER(FIND("LOOK",U2))</f>
        <v>1</v>
      </c>
      <c r="F17" t="b">
        <f ca="1">ISNUMBER(FIND("-",V2))</f>
        <v>1</v>
      </c>
      <c r="G17" t="b">
        <f ca="1">ISNUMBER(FIND("-",W2))</f>
        <v>1</v>
      </c>
      <c r="H17" t="b">
        <f t="shared" ref="F17:K17" ca="1" si="5">ISNUMBER(FIND("LOOK",X2))</f>
        <v>1</v>
      </c>
      <c r="I17" t="b">
        <f ca="1">AND(ISNUMBER(FIND("LOOK",Y2)),ISNUMBER(FIND("MAX",Y2)))</f>
        <v>1</v>
      </c>
      <c r="J17" t="b">
        <f ca="1">AND(ISNUMBER(FIND("LOOK",Z2)),ISNUMBER(FIND("MAX",Z2)))</f>
        <v>1</v>
      </c>
      <c r="K17" t="b">
        <f ca="1">ISNUMBER(FIND("-",AA2))</f>
        <v>1</v>
      </c>
      <c r="M17" s="22"/>
    </row>
    <row r="18" spans="2:13">
      <c r="B18" s="16"/>
      <c r="D18" t="s">
        <v>70</v>
      </c>
      <c r="E18" t="b">
        <f ca="1">AND(ISNUMBER(FIND("=",U2)),ISNUMBER(FIND("7",U2)))</f>
        <v>1</v>
      </c>
      <c r="F18" t="b">
        <f t="shared" ref="F18:K18" ca="1" si="6">AND(ISNUMBER(FIND("=",V2)),ISNUMBER(FIND("7",V2)))</f>
        <v>1</v>
      </c>
      <c r="G18" t="b">
        <f t="shared" ca="1" si="6"/>
        <v>1</v>
      </c>
      <c r="H18" t="b">
        <f t="shared" ca="1" si="6"/>
        <v>1</v>
      </c>
      <c r="I18" t="b">
        <f t="shared" ca="1" si="6"/>
        <v>1</v>
      </c>
      <c r="J18" t="b">
        <f t="shared" ca="1" si="6"/>
        <v>1</v>
      </c>
      <c r="K18" t="b">
        <f t="shared" ca="1" si="6"/>
        <v>1</v>
      </c>
      <c r="M18" s="22"/>
    </row>
    <row r="19" spans="2:13">
      <c r="B19" s="16"/>
      <c r="M19" s="22"/>
    </row>
    <row r="20" spans="2:13">
      <c r="B20" s="16"/>
      <c r="D20" t="s">
        <v>71</v>
      </c>
      <c r="E20">
        <f ca="1">IFERROR(LEN(U2)-LEN(SUBSTITUTE(U2,"(","")),99)</f>
        <v>1</v>
      </c>
      <c r="F20">
        <f t="shared" ref="F20:K20" ca="1" si="7">IFERROR(LEN(V2)-LEN(SUBSTITUTE(V2,"(","")),99)</f>
        <v>0</v>
      </c>
      <c r="G20">
        <f t="shared" ca="1" si="7"/>
        <v>0</v>
      </c>
      <c r="H20">
        <f t="shared" ca="1" si="7"/>
        <v>1</v>
      </c>
      <c r="I20">
        <f t="shared" ca="1" si="7"/>
        <v>2</v>
      </c>
      <c r="J20">
        <f t="shared" ca="1" si="7"/>
        <v>2</v>
      </c>
      <c r="K20">
        <f t="shared" ca="1" si="7"/>
        <v>1</v>
      </c>
      <c r="M20" s="22"/>
    </row>
    <row r="21" spans="2:13">
      <c r="B21" s="16"/>
      <c r="E21">
        <v>1</v>
      </c>
      <c r="F21">
        <v>0</v>
      </c>
      <c r="G21">
        <v>0</v>
      </c>
      <c r="H21">
        <v>1</v>
      </c>
      <c r="I21">
        <v>3</v>
      </c>
      <c r="J21">
        <v>2</v>
      </c>
      <c r="K21">
        <v>0</v>
      </c>
      <c r="M21" s="22"/>
    </row>
    <row r="22" spans="2:13">
      <c r="B22" s="16"/>
      <c r="D22" t="s">
        <v>68</v>
      </c>
      <c r="E22">
        <f ca="1">(E20&lt;=E21)+0</f>
        <v>1</v>
      </c>
      <c r="F22">
        <v>1</v>
      </c>
      <c r="G22">
        <v>1</v>
      </c>
      <c r="H22">
        <f t="shared" ref="F22:K22" ca="1" si="8">(H20&lt;=H21)+0</f>
        <v>1</v>
      </c>
      <c r="I22">
        <f t="shared" ca="1" si="8"/>
        <v>1</v>
      </c>
      <c r="J22">
        <f t="shared" ca="1" si="8"/>
        <v>1</v>
      </c>
      <c r="K22">
        <v>1</v>
      </c>
      <c r="M22" s="22"/>
    </row>
    <row r="23" spans="2:13">
      <c r="B23" s="16"/>
      <c r="M23" s="22"/>
    </row>
    <row r="24" spans="2:13">
      <c r="D24" t="s">
        <v>72</v>
      </c>
      <c r="E24" t="str">
        <f ca="1">IF(E17,E14,E15)&amp;E22</f>
        <v>F51</v>
      </c>
      <c r="F24" t="str">
        <f t="shared" ref="F24:K24" ca="1" si="9">IF(F17,F14,F15)&amp;F22</f>
        <v>941</v>
      </c>
      <c r="G24" t="str">
        <f t="shared" ca="1" si="9"/>
        <v>FE1</v>
      </c>
      <c r="H24" t="str">
        <f t="shared" ca="1" si="9"/>
        <v>E31</v>
      </c>
      <c r="I24" t="str">
        <f t="shared" ca="1" si="9"/>
        <v>E01</v>
      </c>
      <c r="J24" t="str">
        <f t="shared" ca="1" si="9"/>
        <v>9F1</v>
      </c>
      <c r="K24" t="str">
        <f t="shared" ca="1" si="9"/>
        <v>D41</v>
      </c>
    </row>
    <row r="26" spans="2:13">
      <c r="D26" t="s">
        <v>73</v>
      </c>
      <c r="E26" t="str">
        <f ca="1">E24&amp;"-"&amp;E12&amp;";"</f>
        <v>F51-3931;</v>
      </c>
      <c r="F26" t="str">
        <f t="shared" ref="F26:K26" ca="1" si="10">F24&amp;"-"&amp;F12&amp;";"</f>
        <v>941-A789B1;</v>
      </c>
      <c r="G26" t="str">
        <f t="shared" ca="1" si="10"/>
        <v>FE1-2FA1;</v>
      </c>
      <c r="H26" t="str">
        <f t="shared" ca="1" si="10"/>
        <v>E31-B5E1;</v>
      </c>
      <c r="I26" t="str">
        <f t="shared" ca="1" si="10"/>
        <v>E01-E1F1;</v>
      </c>
      <c r="J26" t="str">
        <f t="shared" ca="1" si="10"/>
        <v>9F1-42681;</v>
      </c>
      <c r="K26" t="str">
        <f ca="1">K24&amp;"-"&amp;K12</f>
        <v>D41-18D31</v>
      </c>
    </row>
    <row r="28" spans="2:13">
      <c r="D28" s="16"/>
      <c r="E28" t="str">
        <f ca="1">A2&amp;"|"&amp;E26&amp;F26&amp;G26&amp;H26&amp;I26&amp;J26&amp;K26</f>
        <v>MC1|F51-3931;941-A789B1;FE1-2FA1;E31-B5E1;E01-E1F1;9F1-42681;D41-18D31</v>
      </c>
    </row>
    <row r="29" spans="2:13">
      <c r="D29" s="16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2025-05-17T04:07:24Z</dcterms:created>
  <dcterms:modified xsi:type="dcterms:W3CDTF">2026-03-19T08:41:17Z</dcterms:modified>
  <cp:category/>
  <cp:contentStatus/>
</cp:coreProperties>
</file>