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316" documentId="8_{60D6B1B3-60A4-4AD0-9730-0273FC98061A}" xr6:coauthVersionLast="47" xr6:coauthVersionMax="47" xr10:uidLastSave="{28293069-5C5A-4776-BF4A-014EFB675121}"/>
  <workbookProtection workbookAlgorithmName="SHA-512" workbookHashValue="oVVb2RdJ7TGA6f/wWsAUbLt3XHIOq/76HFNz5a7CCdNba32bBvlMa8A9/NUq8DXWNHerzdusGAJYVgXKzXwIFw==" workbookSaltValue="PjivEKitgH4nQWW6g0k0dA==" workbookSpinCount="100000" lockStructure="1"/>
  <bookViews>
    <workbookView xWindow="28692" yWindow="-108" windowWidth="29016" windowHeight="15696" xr2:uid="{8263F7F5-AE3B-4B4B-9A39-C4A2E268113F}"/>
  </bookViews>
  <sheets>
    <sheet name="XL-TEST" sheetId="1" r:id="rId1"/>
    <sheet name="DF" sheetId="2" state="veryHidden" r:id="rId2"/>
  </sheets>
  <definedNames>
    <definedName name="kode_jawaban">DF!$C$31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 a="1"/>
  <c r="L7" i="1"/>
  <c r="L8" i="1" a="1"/>
  <c r="L8" i="1"/>
  <c r="L9" i="1" a="1"/>
  <c r="L9" i="1"/>
  <c r="L6" i="1" a="1"/>
  <c r="L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6" i="1" a="1"/>
  <c r="G6" i="1"/>
  <c r="D6" i="1"/>
  <c r="H6" i="1" s="1"/>
  <c r="D7" i="1"/>
  <c r="H7" i="1" s="1"/>
  <c r="D8" i="1"/>
  <c r="H8" i="1" s="1"/>
  <c r="D9" i="1"/>
  <c r="H9" i="1" s="1"/>
  <c r="D10" i="1"/>
  <c r="H10" i="1" s="1"/>
  <c r="D11" i="1"/>
  <c r="H11" i="1" s="1"/>
  <c r="D12" i="1"/>
  <c r="H12" i="1" s="1"/>
  <c r="D13" i="1"/>
  <c r="H13" i="1" s="1"/>
  <c r="D14" i="1"/>
  <c r="H14" i="1" s="1"/>
  <c r="D15" i="1"/>
  <c r="H15" i="1" s="1"/>
  <c r="D16" i="1"/>
  <c r="H16" i="1" s="1"/>
  <c r="D17" i="1"/>
  <c r="H17" i="1" s="1"/>
  <c r="D18" i="1"/>
  <c r="H18" i="1" s="1"/>
  <c r="D19" i="1"/>
  <c r="H19" i="1" s="1"/>
  <c r="D20" i="1"/>
  <c r="H20" i="1" s="1"/>
  <c r="D21" i="1"/>
  <c r="H21" i="1" s="1"/>
  <c r="D22" i="1"/>
  <c r="H22" i="1" s="1"/>
  <c r="D23" i="1"/>
  <c r="H23" i="1" s="1"/>
  <c r="D24" i="1"/>
  <c r="H24" i="1" s="1"/>
  <c r="D25" i="1"/>
  <c r="H25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6" i="1"/>
  <c r="F6" i="1" s="1"/>
  <c r="D18" i="2"/>
  <c r="E18" i="2"/>
  <c r="F18" i="2"/>
  <c r="G18" i="2"/>
  <c r="H18" i="2"/>
  <c r="C18" i="2"/>
  <c r="D17" i="2"/>
  <c r="E17" i="2"/>
  <c r="F17" i="2"/>
  <c r="G17" i="2"/>
  <c r="H17" i="2"/>
  <c r="C17" i="2"/>
  <c r="X2" i="2"/>
  <c r="T2" i="2"/>
  <c r="U2" i="2"/>
  <c r="V2" i="2"/>
  <c r="W2" i="2"/>
  <c r="S7" i="2"/>
  <c r="S3" i="2"/>
  <c r="S4" i="2"/>
  <c r="S5" i="2"/>
  <c r="S6" i="2"/>
  <c r="S2" i="2"/>
  <c r="F3" i="2"/>
  <c r="F4" i="2"/>
  <c r="F5" i="2"/>
  <c r="F6" i="2"/>
  <c r="F7" i="2"/>
  <c r="F8" i="2"/>
  <c r="F9" i="2"/>
  <c r="F10" i="2"/>
  <c r="F2" i="2"/>
  <c r="F12" i="2" l="1"/>
  <c r="F13" i="2"/>
  <c r="D3" i="2"/>
  <c r="E3" i="2"/>
  <c r="D4" i="2"/>
  <c r="E4" i="2"/>
  <c r="D5" i="2"/>
  <c r="E5" i="2"/>
  <c r="D6" i="2"/>
  <c r="E6" i="2"/>
  <c r="E7" i="2"/>
  <c r="D7" i="2"/>
  <c r="D8" i="2"/>
  <c r="E8" i="2"/>
  <c r="D9" i="2"/>
  <c r="E9" i="2"/>
  <c r="D10" i="2"/>
  <c r="E10" i="2"/>
  <c r="D2" i="2"/>
  <c r="D11" i="2"/>
  <c r="C3" i="2"/>
  <c r="G3" i="2"/>
  <c r="C4" i="2"/>
  <c r="G4" i="2"/>
  <c r="C5" i="2"/>
  <c r="G5" i="2"/>
  <c r="C6" i="2"/>
  <c r="G6" i="2"/>
  <c r="G7" i="2"/>
  <c r="C7" i="2"/>
  <c r="C8" i="2"/>
  <c r="G8" i="2"/>
  <c r="C9" i="2"/>
  <c r="G9" i="2"/>
  <c r="C10" i="2"/>
  <c r="G10" i="2"/>
  <c r="C2" i="2"/>
  <c r="H21" i="2"/>
  <c r="H23" i="2"/>
  <c r="D21" i="2"/>
  <c r="D23" i="2"/>
  <c r="D25" i="2" s="1"/>
  <c r="E21" i="2"/>
  <c r="E23" i="2"/>
  <c r="E25" i="2" s="1"/>
  <c r="F21" i="2"/>
  <c r="F23" i="2"/>
  <c r="F25" i="2" s="1"/>
  <c r="G21" i="2"/>
  <c r="G23" i="2"/>
  <c r="G25" i="2" s="1"/>
  <c r="G27" i="2" s="1"/>
  <c r="C21" i="2"/>
  <c r="C23" i="2"/>
  <c r="C25" i="2" s="1"/>
  <c r="H19" i="2"/>
  <c r="H25" i="2"/>
  <c r="H27" i="2" s="1"/>
  <c r="D19" i="2"/>
  <c r="E19" i="2"/>
  <c r="F19" i="2"/>
  <c r="F14" i="2" s="1"/>
  <c r="G19" i="2"/>
  <c r="C19" i="2"/>
  <c r="C12" i="2" l="1"/>
  <c r="C13" i="2"/>
  <c r="D27" i="2"/>
  <c r="C27" i="2"/>
  <c r="C14" i="2"/>
  <c r="C29" i="2" s="1"/>
  <c r="E27" i="2"/>
  <c r="E2" i="2"/>
  <c r="E11" i="2"/>
  <c r="H2" i="2"/>
  <c r="H4" i="2"/>
  <c r="G11" i="2"/>
  <c r="H5" i="2"/>
  <c r="H6" i="2"/>
  <c r="H3" i="2"/>
  <c r="G2" i="2"/>
  <c r="D12" i="2"/>
  <c r="F27" i="2"/>
  <c r="F29" i="2" s="1"/>
  <c r="D13" i="2" l="1"/>
  <c r="D14" i="2" s="1"/>
  <c r="D29" i="2"/>
  <c r="G12" i="2"/>
  <c r="E12" i="2"/>
  <c r="H11" i="2"/>
  <c r="H12" i="2" s="1"/>
  <c r="H13" i="2" l="1"/>
  <c r="H14" i="2" s="1"/>
  <c r="H29" i="2" s="1"/>
  <c r="G13" i="2"/>
  <c r="G14" i="2" s="1"/>
  <c r="G29" i="2" s="1"/>
  <c r="E13" i="2"/>
  <c r="E14" i="2" s="1"/>
  <c r="E29" i="2" s="1"/>
  <c r="C31" i="2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<sst xmlns="http://schemas.openxmlformats.org/spreadsheetml/2006/main" count="75" uniqueCount="64">
  <si>
    <r>
      <t xml:space="preserve">Hard Level  </t>
    </r>
    <r>
      <rPr>
        <sz val="9"/>
        <color rgb="FFFFC000"/>
        <rFont val="Aptos Narrow"/>
        <family val="2"/>
        <scheme val="minor"/>
      </rPr>
      <t>(⭐⭐⭐)</t>
    </r>
  </si>
  <si>
    <t>KODE SOAL</t>
  </si>
  <si>
    <t>SBEH003</t>
  </si>
  <si>
    <t>KODE JAWABAN</t>
  </si>
  <si>
    <t>NO</t>
  </si>
  <si>
    <t>NIK</t>
  </si>
  <si>
    <t>Jenis Kelamin</t>
  </si>
  <si>
    <t>Tanggal Lahir</t>
  </si>
  <si>
    <t>Usia (Tahun)</t>
  </si>
  <si>
    <t>NIK Ganda</t>
  </si>
  <si>
    <t>Jumlah Bayar</t>
  </si>
  <si>
    <t>Total Bayar</t>
  </si>
  <si>
    <t>3273011201980001</t>
  </si>
  <si>
    <t>3273041606890001</t>
  </si>
  <si>
    <t>3273011201980008</t>
  </si>
  <si>
    <t>3273052302030001</t>
  </si>
  <si>
    <t>3273024503990001</t>
  </si>
  <si>
    <t>3273100412770001</t>
  </si>
  <si>
    <t>3273100412770007</t>
  </si>
  <si>
    <t>3273131404940001</t>
  </si>
  <si>
    <t>3273036807010001</t>
  </si>
  <si>
    <t>3273020503990002</t>
  </si>
  <si>
    <t>3273052302030003</t>
  </si>
  <si>
    <t>3273075103050001</t>
  </si>
  <si>
    <t>3273081205000001</t>
  </si>
  <si>
    <t>3273092709990001</t>
  </si>
  <si>
    <t>3273104412770003</t>
  </si>
  <si>
    <t>3273112508110001</t>
  </si>
  <si>
    <t>3273120812020001</t>
  </si>
  <si>
    <t>3273145910010001</t>
  </si>
  <si>
    <t>Soal</t>
  </si>
  <si>
    <t>Format NIK (16 digit):</t>
  </si>
  <si>
    <t>Tentukan jenis kelamin berdasarkan NIK sesuai dengan ketentuan format NIK yang berlaku.</t>
  </si>
  <si>
    <t>AABBCCDDMMYYXXXX</t>
  </si>
  <si>
    <r>
      <t>AABB</t>
    </r>
    <r>
      <rPr>
        <sz val="11"/>
        <color theme="1"/>
        <rFont val="Aptos Narrow"/>
        <family val="2"/>
        <scheme val="minor"/>
      </rPr>
      <t>: Kode provinsi dan kabupaten/kota</t>
    </r>
  </si>
  <si>
    <t>Isi tanggal lahir berdasarkan informasi yang terkandung dalam NIK sesuai ketentuan standar penulisan NIK.</t>
  </si>
  <si>
    <r>
      <t>CC</t>
    </r>
    <r>
      <rPr>
        <sz val="11"/>
        <color theme="1"/>
        <rFont val="Aptos Narrow"/>
        <family val="2"/>
        <scheme val="minor"/>
      </rPr>
      <t>: Kode kecamatan</t>
    </r>
  </si>
  <si>
    <r>
      <t>DDMMYY</t>
    </r>
    <r>
      <rPr>
        <sz val="11"/>
        <color theme="1"/>
        <rFont val="Aptos Narrow"/>
        <family val="2"/>
        <scheme val="minor"/>
      </rPr>
      <t>: Tanggal lahir (untuk perempuan, tanggal + 40)</t>
    </r>
  </si>
  <si>
    <t>Usia Saat Ini</t>
  </si>
  <si>
    <t xml:space="preserve">                           Tahun lahir diatas 25 adalah 19YY dibawah 25 adalah 20YY</t>
  </si>
  <si>
    <r>
      <t xml:space="preserve">Hitung usia berdasarkan tanggal lahir yang diperoleh dari NIK, dengan acuan tanggal saat ini yaitu </t>
    </r>
    <r>
      <rPr>
        <b/>
        <sz val="11"/>
        <color theme="1"/>
        <rFont val="Aptos Narrow"/>
        <family val="2"/>
        <scheme val="minor"/>
      </rPr>
      <t>20 Mei 2025</t>
    </r>
    <r>
      <rPr>
        <sz val="11"/>
        <color theme="1"/>
        <rFont val="Aptos Narrow"/>
        <family val="2"/>
        <scheme val="minor"/>
      </rPr>
      <t>.</t>
    </r>
  </si>
  <si>
    <r>
      <t>XXXX</t>
    </r>
    <r>
      <rPr>
        <sz val="11"/>
        <color theme="1"/>
        <rFont val="Aptos Narrow"/>
        <family val="2"/>
        <scheme val="minor"/>
      </rPr>
      <t>: Nomor urut registrasi</t>
    </r>
  </si>
  <si>
    <t>Status Duplikasi NIK</t>
  </si>
  <si>
    <t>Periksa keberadaan duplikat NIK dalam dataset:</t>
  </si>
  <si>
    <r>
      <t xml:space="preserve">Isi kolom dengan </t>
    </r>
    <r>
      <rPr>
        <b/>
        <sz val="11"/>
        <color theme="1"/>
        <rFont val="Aptos Narrow"/>
        <family val="2"/>
        <scheme val="minor"/>
      </rPr>
      <t>"Ganda"</t>
    </r>
    <r>
      <rPr>
        <sz val="11"/>
        <color theme="1"/>
        <rFont val="Aptos Narrow"/>
        <family val="2"/>
        <scheme val="minor"/>
      </rPr>
      <t xml:space="preserve"> jika ditemukan lebih dari satu entri dengan NIK yang sama.</t>
    </r>
  </si>
  <si>
    <r>
      <t xml:space="preserve">Isi dengan </t>
    </r>
    <r>
      <rPr>
        <b/>
        <sz val="11"/>
        <color theme="1"/>
        <rFont val="Aptos Narrow"/>
        <family val="2"/>
        <scheme val="minor"/>
      </rPr>
      <t>"Tidak"</t>
    </r>
    <r>
      <rPr>
        <sz val="11"/>
        <color theme="1"/>
        <rFont val="Aptos Narrow"/>
        <family val="2"/>
        <scheme val="minor"/>
      </rPr>
      <t xml:space="preserve"> jika NIK bersifat unik (tidak duplikat).</t>
    </r>
  </si>
  <si>
    <t>Jumlah Pembayaran</t>
  </si>
  <si>
    <t>Tentukan jumlah pembayaran berdasarkan jenis kelamin:</t>
  </si>
  <si>
    <r>
      <t>Laki-laki:</t>
    </r>
    <r>
      <rPr>
        <sz val="11"/>
        <color theme="1"/>
        <rFont val="Aptos Narrow"/>
        <family val="2"/>
        <scheme val="minor"/>
      </rPr>
      <t xml:space="preserve"> Rp40.000</t>
    </r>
  </si>
  <si>
    <r>
      <t>Perempuan:</t>
    </r>
    <r>
      <rPr>
        <sz val="11"/>
        <color theme="1"/>
        <rFont val="Aptos Narrow"/>
        <family val="2"/>
        <scheme val="minor"/>
      </rPr>
      <t xml:space="preserve"> Rp35.000</t>
    </r>
  </si>
  <si>
    <t>Total Bayar (Kolom L)</t>
  </si>
  <si>
    <r>
      <t xml:space="preserve">Hitung total pembayaran berdasarkan NIK pada kolom </t>
    </r>
    <r>
      <rPr>
        <b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>, berdasarkan data yang telah diolah pada poin sebelumnya.</t>
    </r>
  </si>
  <si>
    <t>Sudah selesai mengerjakan?</t>
  </si>
  <si>
    <r>
      <t xml:space="preserve">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u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benar/salah</t>
    </r>
  </si>
  <si>
    <t>DF</t>
  </si>
  <si>
    <t>HC1</t>
  </si>
  <si>
    <t>Value</t>
  </si>
  <si>
    <t>Random</t>
  </si>
  <si>
    <t>Cek Manual</t>
  </si>
  <si>
    <t>Cek Formula</t>
  </si>
  <si>
    <t>Cek Jumlah</t>
  </si>
  <si>
    <t>Asli</t>
  </si>
  <si>
    <t>Logika</t>
  </si>
  <si>
    <t>Gabung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</si>
</sst>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\ &quot;Tahun&quot;"/>
    <numFmt numFmtId="166" formatCode="_-[$Rp-3809]* #,##0_-;\-[$Rp-3809]* #,##0_-;_-[$Rp-3809]* &quot;-&quot;??_-;_-@_-"/>
    <numFmt numFmtId="167" formatCode="_(* #,##0_);_(* \(#,##0\);_(* &quot;-&quot;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5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u/>
      <sz val="11"/>
      <color rgb="FF0070C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9"/>
      <color rgb="FFFFC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3" borderId="1" xfId="0" applyFill="1" applyBorder="1"/>
    <xf numFmtId="49" fontId="0" fillId="3" borderId="1" xfId="0" applyNumberFormat="1" applyFill="1" applyBorder="1" applyAlignment="1">
      <alignment horizontal="left" indent="2"/>
    </xf>
    <xf numFmtId="0" fontId="3" fillId="0" borderId="0" xfId="0" applyFont="1" applyAlignment="1">
      <alignment horizontal="center"/>
    </xf>
    <xf numFmtId="0" fontId="0" fillId="4" borderId="0" xfId="0" applyFill="1"/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5" borderId="0" xfId="0" applyFill="1" applyAlignment="1">
      <alignment horizontal="left" indent="2"/>
    </xf>
    <xf numFmtId="0" fontId="2" fillId="5" borderId="0" xfId="0" applyFont="1" applyFill="1" applyAlignment="1">
      <alignment horizontal="left" indent="2"/>
    </xf>
    <xf numFmtId="0" fontId="5" fillId="5" borderId="0" xfId="0" applyFont="1" applyFill="1" applyAlignment="1">
      <alignment horizontal="left" indent="2"/>
    </xf>
    <xf numFmtId="0" fontId="0" fillId="5" borderId="0" xfId="0" applyFill="1"/>
    <xf numFmtId="0" fontId="6" fillId="0" borderId="0" xfId="0" applyFont="1"/>
    <xf numFmtId="166" fontId="0" fillId="0" borderId="0" xfId="0" applyNumberFormat="1"/>
    <xf numFmtId="167" fontId="0" fillId="0" borderId="0" xfId="0" applyNumberFormat="1"/>
    <xf numFmtId="0" fontId="4" fillId="0" borderId="0" xfId="2"/>
    <xf numFmtId="167" fontId="0" fillId="6" borderId="1" xfId="1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 indent="1"/>
    </xf>
    <xf numFmtId="14" fontId="0" fillId="6" borderId="1" xfId="0" applyNumberFormat="1" applyFill="1" applyBorder="1" applyAlignment="1">
      <alignment horizontal="right" vertical="center" wrapText="1" indent="3"/>
    </xf>
    <xf numFmtId="165" fontId="0" fillId="6" borderId="1" xfId="0" applyNumberFormat="1" applyFill="1" applyBorder="1" applyAlignment="1">
      <alignment vertical="center" wrapText="1"/>
    </xf>
    <xf numFmtId="166" fontId="0" fillId="6" borderId="1" xfId="0" applyNumberFormat="1" applyFill="1" applyBorder="1" applyAlignment="1">
      <alignment vertical="center" wrapText="1"/>
    </xf>
    <xf numFmtId="0" fontId="11" fillId="0" borderId="0" xfId="0" applyFont="1"/>
    <xf numFmtId="0" fontId="0" fillId="9" borderId="0" xfId="0" applyFill="1"/>
    <xf numFmtId="0" fontId="0" fillId="0" borderId="0" xfId="0" applyNumberFormat="1"/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54</xdr:row>
      <xdr:rowOff>129540</xdr:rowOff>
    </xdr:from>
    <xdr:to>
      <xdr:col>3</xdr:col>
      <xdr:colOff>1463040</xdr:colOff>
      <xdr:row>56</xdr:row>
      <xdr:rowOff>53339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84E7EB-0790-442B-88ED-057537926E32}"/>
            </a:ext>
          </a:extLst>
        </xdr:cNvPr>
        <xdr:cNvSpPr/>
      </xdr:nvSpPr>
      <xdr:spPr>
        <a:xfrm>
          <a:off x="2621280" y="11117580"/>
          <a:ext cx="1371600" cy="289559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200"/>
            <a:t>Kirim Jawaban</a:t>
          </a:r>
        </a:p>
      </xdr:txBody>
    </xdr:sp>
    <xdr:clientData/>
  </xdr:twoCellAnchor>
  <xdr:twoCellAnchor editAs="oneCell">
    <xdr:from>
      <xdr:col>0</xdr:col>
      <xdr:colOff>586740</xdr:colOff>
      <xdr:row>27</xdr:row>
      <xdr:rowOff>91440</xdr:rowOff>
    </xdr:from>
    <xdr:to>
      <xdr:col>2</xdr:col>
      <xdr:colOff>1152703</xdr:colOff>
      <xdr:row>30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A92CB5-AEAF-A7DC-73A8-C7B57505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6141720"/>
          <a:ext cx="1663243" cy="62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81F-5465-4450-83DE-98E9D35A7286}">
  <sheetPr codeName="Sheet1"/>
  <dimension ref="B1:M54"/>
  <sheetViews>
    <sheetView tabSelected="1" topLeftCell="C36" workbookViewId="0">
      <selection activeCell="F2" sqref="F2"/>
    </sheetView>
  </sheetViews>
  <sheetFormatPr defaultRowHeight="14.45"/>
  <cols>
    <col min="2" max="2" width="7.140625" customWidth="1"/>
    <col min="3" max="3" width="20.85546875" customWidth="1"/>
    <col min="4" max="4" width="23.140625" customWidth="1"/>
    <col min="5" max="6" width="24.140625" customWidth="1"/>
    <col min="7" max="7" width="23.28515625" customWidth="1"/>
    <col min="8" max="8" width="19" customWidth="1"/>
    <col min="10" max="10" width="5.28515625" customWidth="1"/>
    <col min="11" max="11" width="30" customWidth="1"/>
    <col min="12" max="12" width="16.85546875" customWidth="1"/>
    <col min="13" max="13" width="11" bestFit="1" customWidth="1"/>
  </cols>
  <sheetData>
    <row r="1" spans="2:13">
      <c r="B1" s="30" t="s">
        <v>0</v>
      </c>
      <c r="C1" s="30"/>
    </row>
    <row r="2" spans="2:13" ht="23.45">
      <c r="B2" s="29" t="s">
        <v>1</v>
      </c>
      <c r="C2" s="29"/>
      <c r="D2" s="25" t="s">
        <v>2</v>
      </c>
      <c r="E2" s="28" t="s">
        <v>3</v>
      </c>
      <c r="F2" s="25" t="str">
        <f ca="1">kode_jawaban</f>
        <v>HC1|181-2C01;251-FA2C71;111-3341;161-2DA1;551-2B5C1;EA1-FA001</v>
      </c>
    </row>
    <row r="4" spans="2:13">
      <c r="D4" s="7">
        <v>1</v>
      </c>
      <c r="E4" s="7">
        <v>2</v>
      </c>
      <c r="F4" s="7">
        <v>3</v>
      </c>
      <c r="G4" s="7">
        <v>4</v>
      </c>
      <c r="H4" s="7">
        <v>5</v>
      </c>
      <c r="I4" s="2"/>
      <c r="J4" s="2"/>
      <c r="K4" s="2"/>
      <c r="L4" s="7">
        <v>6</v>
      </c>
    </row>
    <row r="5" spans="2:13" ht="21" customHeight="1">
      <c r="B5" s="3" t="s">
        <v>4</v>
      </c>
      <c r="C5" s="3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J5" s="3" t="s">
        <v>4</v>
      </c>
      <c r="K5" s="3" t="s">
        <v>5</v>
      </c>
      <c r="L5" s="3" t="s">
        <v>11</v>
      </c>
    </row>
    <row r="6" spans="2:13" ht="18" customHeight="1">
      <c r="B6" s="5">
        <v>1</v>
      </c>
      <c r="C6" s="6" t="s">
        <v>12</v>
      </c>
      <c r="D6" s="21" t="str">
        <f>IF(MID(C6,7,2)*1&lt;40,"Laki-Laki","Perempuan")</f>
        <v>Laki-Laki</v>
      </c>
      <c r="E6" s="22">
        <f>DATE(IF(MID(C6,11,2)*1&gt;25,1900,2000)+MID(C6,11,2)*1,MID(C6,9,2),MOD(MID(C6,7,2),40))</f>
        <v>35807</v>
      </c>
      <c r="F6" s="23">
        <f>DATEDIF(E6,"20-05-2025","Y")</f>
        <v>27</v>
      </c>
      <c r="G6" s="21" t="str" cm="1">
        <f t="array" ref="G6">IF(SUMPRODUCT(($C$6:$C$25=C6)*1)&gt;1,"Ganda","Tidak")</f>
        <v>Tidak</v>
      </c>
      <c r="H6" s="24">
        <f>IF(D6="Laki-Laki",40000,35000)</f>
        <v>40000</v>
      </c>
      <c r="J6" s="5">
        <v>1</v>
      </c>
      <c r="K6" s="6" t="s">
        <v>13</v>
      </c>
      <c r="L6" s="20" cm="1">
        <f t="array" ref="L6">SUMPRODUCT(($C$6:$C$25=K6)*$H$6:$H$25)</f>
        <v>40000</v>
      </c>
      <c r="M6" s="17"/>
    </row>
    <row r="7" spans="2:13" ht="18" customHeight="1">
      <c r="B7" s="5">
        <v>2</v>
      </c>
      <c r="C7" s="6" t="s">
        <v>14</v>
      </c>
      <c r="D7" s="21" t="str">
        <f t="shared" ref="D7:D25" si="0">IF(MID(C7,7,2)*1&lt;40,"Laki-Laki","Perempuan")</f>
        <v>Laki-Laki</v>
      </c>
      <c r="E7" s="22">
        <f t="shared" ref="E7:E25" si="1">DATE(IF(MID(C7,11,2)*1&gt;25,1900,2000)+MID(C7,11,2)*1,MID(C7,9,2),MOD(MID(C7,7,2),40))</f>
        <v>35807</v>
      </c>
      <c r="F7" s="23">
        <f t="shared" ref="F7:F25" si="2">DATEDIF(E7,"20-05-2025","Y")</f>
        <v>27</v>
      </c>
      <c r="G7" s="21" t="str" cm="1">
        <f t="array" ref="G7">IF(SUMPRODUCT(($C$6:$C$25=C7)*1)&gt;1,"Ganda","Tidak")</f>
        <v>Tidak</v>
      </c>
      <c r="H7" s="24">
        <f t="shared" ref="H7:H25" si="3">IF(D7="Laki-Laki",40000,35000)</f>
        <v>40000</v>
      </c>
      <c r="J7" s="5">
        <v>2</v>
      </c>
      <c r="K7" s="6" t="s">
        <v>15</v>
      </c>
      <c r="L7" s="20" cm="1">
        <f t="array" ref="L7">SUMPRODUCT(($C$6:$C$25=K7)*$H$6:$H$25)</f>
        <v>40000</v>
      </c>
      <c r="M7" s="17"/>
    </row>
    <row r="8" spans="2:13" ht="18" customHeight="1">
      <c r="B8" s="5">
        <v>3</v>
      </c>
      <c r="C8" s="6" t="s">
        <v>16</v>
      </c>
      <c r="D8" s="21" t="str">
        <f t="shared" si="0"/>
        <v>Perempuan</v>
      </c>
      <c r="E8" s="22">
        <f t="shared" si="1"/>
        <v>36224</v>
      </c>
      <c r="F8" s="23">
        <f t="shared" si="2"/>
        <v>26</v>
      </c>
      <c r="G8" s="21" t="str" cm="1">
        <f t="array" ref="G8">IF(SUMPRODUCT(($C$6:$C$25=C8)*1)&gt;1,"Ganda","Tidak")</f>
        <v>Tidak</v>
      </c>
      <c r="H8" s="24">
        <f t="shared" si="3"/>
        <v>35000</v>
      </c>
      <c r="J8" s="5">
        <v>3</v>
      </c>
      <c r="K8" s="6" t="s">
        <v>17</v>
      </c>
      <c r="L8" s="20" cm="1">
        <f t="array" ref="L8">SUMPRODUCT(($C$6:$C$25=K8)*$H$6:$H$25)</f>
        <v>0</v>
      </c>
      <c r="M8" s="17"/>
    </row>
    <row r="9" spans="2:13" ht="18" customHeight="1">
      <c r="B9" s="5">
        <v>4</v>
      </c>
      <c r="C9" s="6" t="s">
        <v>18</v>
      </c>
      <c r="D9" s="21" t="str">
        <f t="shared" si="0"/>
        <v>Laki-Laki</v>
      </c>
      <c r="E9" s="22">
        <f t="shared" si="1"/>
        <v>28463</v>
      </c>
      <c r="F9" s="23">
        <f t="shared" si="2"/>
        <v>47</v>
      </c>
      <c r="G9" s="21" t="str" cm="1">
        <f t="array" ref="G9">IF(SUMPRODUCT(($C$6:$C$25=C9)*1)&gt;1,"Ganda","Tidak")</f>
        <v>Ganda</v>
      </c>
      <c r="H9" s="24">
        <f t="shared" si="3"/>
        <v>40000</v>
      </c>
      <c r="J9" s="5">
        <v>4</v>
      </c>
      <c r="K9" s="6" t="s">
        <v>19</v>
      </c>
      <c r="L9" s="20" cm="1">
        <f t="array" ref="L9">SUMPRODUCT(($C$6:$C$25=K9)*$H$6:$H$25)</f>
        <v>120000</v>
      </c>
      <c r="M9" s="17"/>
    </row>
    <row r="10" spans="2:13" ht="18" customHeight="1">
      <c r="B10" s="5">
        <v>5</v>
      </c>
      <c r="C10" s="6" t="s">
        <v>20</v>
      </c>
      <c r="D10" s="21" t="str">
        <f t="shared" si="0"/>
        <v>Perempuan</v>
      </c>
      <c r="E10" s="22">
        <f t="shared" si="1"/>
        <v>37100</v>
      </c>
      <c r="F10" s="23">
        <f t="shared" si="2"/>
        <v>23</v>
      </c>
      <c r="G10" s="21" t="str" cm="1">
        <f t="array" ref="G10">IF(SUMPRODUCT(($C$6:$C$25=C10)*1)&gt;1,"Ganda","Tidak")</f>
        <v>Tidak</v>
      </c>
      <c r="H10" s="24">
        <f t="shared" si="3"/>
        <v>35000</v>
      </c>
      <c r="L10" s="18"/>
      <c r="M10" s="18"/>
    </row>
    <row r="11" spans="2:13" ht="18" customHeight="1">
      <c r="B11" s="5">
        <v>6</v>
      </c>
      <c r="C11" s="6" t="s">
        <v>13</v>
      </c>
      <c r="D11" s="21" t="str">
        <f t="shared" si="0"/>
        <v>Laki-Laki</v>
      </c>
      <c r="E11" s="22">
        <f t="shared" si="1"/>
        <v>32675</v>
      </c>
      <c r="F11" s="23">
        <f t="shared" si="2"/>
        <v>35</v>
      </c>
      <c r="G11" s="21" t="str" cm="1">
        <f t="array" ref="G11">IF(SUMPRODUCT(($C$6:$C$25=C11)*1)&gt;1,"Ganda","Tidak")</f>
        <v>Tidak</v>
      </c>
      <c r="H11" s="24">
        <f t="shared" si="3"/>
        <v>40000</v>
      </c>
    </row>
    <row r="12" spans="2:13" ht="18" customHeight="1">
      <c r="B12" s="5">
        <v>7</v>
      </c>
      <c r="C12" s="6" t="s">
        <v>15</v>
      </c>
      <c r="D12" s="21" t="str">
        <f t="shared" si="0"/>
        <v>Laki-Laki</v>
      </c>
      <c r="E12" s="22">
        <f t="shared" si="1"/>
        <v>37675</v>
      </c>
      <c r="F12" s="23">
        <f t="shared" si="2"/>
        <v>22</v>
      </c>
      <c r="G12" s="21" t="str" cm="1">
        <f t="array" ref="G12">IF(SUMPRODUCT(($C$6:$C$25=C12)*1)&gt;1,"Ganda","Tidak")</f>
        <v>Tidak</v>
      </c>
      <c r="H12" s="24">
        <f t="shared" si="3"/>
        <v>40000</v>
      </c>
      <c r="L12" s="18"/>
      <c r="M12" s="18"/>
    </row>
    <row r="13" spans="2:13" ht="18" customHeight="1">
      <c r="B13" s="5">
        <v>8</v>
      </c>
      <c r="C13" s="6" t="s">
        <v>21</v>
      </c>
      <c r="D13" s="21" t="str">
        <f t="shared" si="0"/>
        <v>Laki-Laki</v>
      </c>
      <c r="E13" s="22">
        <f t="shared" si="1"/>
        <v>36224</v>
      </c>
      <c r="F13" s="23">
        <f t="shared" si="2"/>
        <v>26</v>
      </c>
      <c r="G13" s="21" t="str" cm="1">
        <f t="array" ref="G13">IF(SUMPRODUCT(($C$6:$C$25=C13)*1)&gt;1,"Ganda","Tidak")</f>
        <v>Tidak</v>
      </c>
      <c r="H13" s="24">
        <f t="shared" si="3"/>
        <v>40000</v>
      </c>
    </row>
    <row r="14" spans="2:13" ht="18" customHeight="1">
      <c r="B14" s="5">
        <v>9</v>
      </c>
      <c r="C14" s="6" t="s">
        <v>22</v>
      </c>
      <c r="D14" s="21" t="str">
        <f t="shared" si="0"/>
        <v>Laki-Laki</v>
      </c>
      <c r="E14" s="22">
        <f t="shared" si="1"/>
        <v>37675</v>
      </c>
      <c r="F14" s="23">
        <f t="shared" si="2"/>
        <v>22</v>
      </c>
      <c r="G14" s="21" t="str" cm="1">
        <f t="array" ref="G14">IF(SUMPRODUCT(($C$6:$C$25=C14)*1)&gt;1,"Ganda","Tidak")</f>
        <v>Tidak</v>
      </c>
      <c r="H14" s="24">
        <f t="shared" si="3"/>
        <v>40000</v>
      </c>
    </row>
    <row r="15" spans="2:13" ht="18" customHeight="1">
      <c r="B15" s="5">
        <v>10</v>
      </c>
      <c r="C15" s="6" t="s">
        <v>19</v>
      </c>
      <c r="D15" s="21" t="str">
        <f t="shared" si="0"/>
        <v>Laki-Laki</v>
      </c>
      <c r="E15" s="22">
        <f t="shared" si="1"/>
        <v>34438</v>
      </c>
      <c r="F15" s="23">
        <f t="shared" si="2"/>
        <v>31</v>
      </c>
      <c r="G15" s="21" t="str" cm="1">
        <f t="array" ref="G15">IF(SUMPRODUCT(($C$6:$C$25=C15)*1)&gt;1,"Ganda","Tidak")</f>
        <v>Ganda</v>
      </c>
      <c r="H15" s="24">
        <f t="shared" si="3"/>
        <v>40000</v>
      </c>
    </row>
    <row r="16" spans="2:13" ht="18" customHeight="1">
      <c r="B16" s="5">
        <v>11</v>
      </c>
      <c r="C16" s="6" t="s">
        <v>23</v>
      </c>
      <c r="D16" s="21" t="str">
        <f t="shared" si="0"/>
        <v>Perempuan</v>
      </c>
      <c r="E16" s="22">
        <f t="shared" si="1"/>
        <v>38422</v>
      </c>
      <c r="F16" s="23">
        <f t="shared" si="2"/>
        <v>20</v>
      </c>
      <c r="G16" s="21" t="str" cm="1">
        <f t="array" ref="G16">IF(SUMPRODUCT(($C$6:$C$25=C16)*1)&gt;1,"Ganda","Tidak")</f>
        <v>Tidak</v>
      </c>
      <c r="H16" s="24">
        <f t="shared" si="3"/>
        <v>35000</v>
      </c>
    </row>
    <row r="17" spans="2:11" ht="18" customHeight="1">
      <c r="B17" s="5">
        <v>12</v>
      </c>
      <c r="C17" s="6" t="s">
        <v>24</v>
      </c>
      <c r="D17" s="21" t="str">
        <f t="shared" si="0"/>
        <v>Laki-Laki</v>
      </c>
      <c r="E17" s="22">
        <f t="shared" si="1"/>
        <v>36658</v>
      </c>
      <c r="F17" s="23">
        <f t="shared" si="2"/>
        <v>25</v>
      </c>
      <c r="G17" s="21" t="str" cm="1">
        <f t="array" ref="G17">IF(SUMPRODUCT(($C$6:$C$25=C17)*1)&gt;1,"Ganda","Tidak")</f>
        <v>Tidak</v>
      </c>
      <c r="H17" s="24">
        <f t="shared" si="3"/>
        <v>40000</v>
      </c>
    </row>
    <row r="18" spans="2:11" ht="18" customHeight="1">
      <c r="B18" s="5">
        <v>13</v>
      </c>
      <c r="C18" s="6" t="s">
        <v>25</v>
      </c>
      <c r="D18" s="21" t="str">
        <f t="shared" si="0"/>
        <v>Laki-Laki</v>
      </c>
      <c r="E18" s="22">
        <f t="shared" si="1"/>
        <v>36430</v>
      </c>
      <c r="F18" s="23">
        <f t="shared" si="2"/>
        <v>25</v>
      </c>
      <c r="G18" s="21" t="str" cm="1">
        <f t="array" ref="G18">IF(SUMPRODUCT(($C$6:$C$25=C18)*1)&gt;1,"Ganda","Tidak")</f>
        <v>Tidak</v>
      </c>
      <c r="H18" s="24">
        <f t="shared" si="3"/>
        <v>40000</v>
      </c>
    </row>
    <row r="19" spans="2:11" ht="18" customHeight="1">
      <c r="B19" s="5">
        <v>14</v>
      </c>
      <c r="C19" s="6" t="s">
        <v>18</v>
      </c>
      <c r="D19" s="21" t="str">
        <f t="shared" si="0"/>
        <v>Laki-Laki</v>
      </c>
      <c r="E19" s="22">
        <f t="shared" si="1"/>
        <v>28463</v>
      </c>
      <c r="F19" s="23">
        <f t="shared" si="2"/>
        <v>47</v>
      </c>
      <c r="G19" s="21" t="str" cm="1">
        <f t="array" ref="G19">IF(SUMPRODUCT(($C$6:$C$25=C19)*1)&gt;1,"Ganda","Tidak")</f>
        <v>Ganda</v>
      </c>
      <c r="H19" s="24">
        <f t="shared" si="3"/>
        <v>40000</v>
      </c>
    </row>
    <row r="20" spans="2:11" ht="18" customHeight="1">
      <c r="B20" s="5">
        <v>15</v>
      </c>
      <c r="C20" s="6" t="s">
        <v>19</v>
      </c>
      <c r="D20" s="21" t="str">
        <f t="shared" si="0"/>
        <v>Laki-Laki</v>
      </c>
      <c r="E20" s="22">
        <f t="shared" si="1"/>
        <v>34438</v>
      </c>
      <c r="F20" s="23">
        <f t="shared" si="2"/>
        <v>31</v>
      </c>
      <c r="G20" s="21" t="str" cm="1">
        <f t="array" ref="G20">IF(SUMPRODUCT(($C$6:$C$25=C20)*1)&gt;1,"Ganda","Tidak")</f>
        <v>Ganda</v>
      </c>
      <c r="H20" s="24">
        <f t="shared" si="3"/>
        <v>40000</v>
      </c>
    </row>
    <row r="21" spans="2:11" ht="18" customHeight="1">
      <c r="B21" s="5">
        <v>16</v>
      </c>
      <c r="C21" s="6" t="s">
        <v>26</v>
      </c>
      <c r="D21" s="21" t="str">
        <f t="shared" si="0"/>
        <v>Perempuan</v>
      </c>
      <c r="E21" s="22">
        <f t="shared" si="1"/>
        <v>28463</v>
      </c>
      <c r="F21" s="23">
        <f t="shared" si="2"/>
        <v>47</v>
      </c>
      <c r="G21" s="21" t="str" cm="1">
        <f t="array" ref="G21">IF(SUMPRODUCT(($C$6:$C$25=C21)*1)&gt;1,"Ganda","Tidak")</f>
        <v>Tidak</v>
      </c>
      <c r="H21" s="24">
        <f t="shared" si="3"/>
        <v>35000</v>
      </c>
    </row>
    <row r="22" spans="2:11" ht="18" customHeight="1">
      <c r="B22" s="5">
        <v>17</v>
      </c>
      <c r="C22" s="6" t="s">
        <v>27</v>
      </c>
      <c r="D22" s="21" t="str">
        <f t="shared" si="0"/>
        <v>Laki-Laki</v>
      </c>
      <c r="E22" s="22">
        <f t="shared" si="1"/>
        <v>40780</v>
      </c>
      <c r="F22" s="23">
        <f t="shared" si="2"/>
        <v>13</v>
      </c>
      <c r="G22" s="21" t="str" cm="1">
        <f t="array" ref="G22">IF(SUMPRODUCT(($C$6:$C$25=C22)*1)&gt;1,"Ganda","Tidak")</f>
        <v>Tidak</v>
      </c>
      <c r="H22" s="24">
        <f t="shared" si="3"/>
        <v>40000</v>
      </c>
    </row>
    <row r="23" spans="2:11" ht="18" customHeight="1">
      <c r="B23" s="5">
        <v>18</v>
      </c>
      <c r="C23" s="6" t="s">
        <v>28</v>
      </c>
      <c r="D23" s="21" t="str">
        <f t="shared" si="0"/>
        <v>Laki-Laki</v>
      </c>
      <c r="E23" s="22">
        <f t="shared" si="1"/>
        <v>37598</v>
      </c>
      <c r="F23" s="23">
        <f t="shared" si="2"/>
        <v>22</v>
      </c>
      <c r="G23" s="21" t="str" cm="1">
        <f t="array" ref="G23">IF(SUMPRODUCT(($C$6:$C$25=C23)*1)&gt;1,"Ganda","Tidak")</f>
        <v>Tidak</v>
      </c>
      <c r="H23" s="24">
        <f t="shared" si="3"/>
        <v>40000</v>
      </c>
    </row>
    <row r="24" spans="2:11" ht="18" customHeight="1">
      <c r="B24" s="5">
        <v>19</v>
      </c>
      <c r="C24" s="6" t="s">
        <v>19</v>
      </c>
      <c r="D24" s="21" t="str">
        <f t="shared" si="0"/>
        <v>Laki-Laki</v>
      </c>
      <c r="E24" s="22">
        <f t="shared" si="1"/>
        <v>34438</v>
      </c>
      <c r="F24" s="23">
        <f t="shared" si="2"/>
        <v>31</v>
      </c>
      <c r="G24" s="21" t="str" cm="1">
        <f t="array" ref="G24">IF(SUMPRODUCT(($C$6:$C$25=C24)*1)&gt;1,"Ganda","Tidak")</f>
        <v>Ganda</v>
      </c>
      <c r="H24" s="24">
        <f t="shared" si="3"/>
        <v>40000</v>
      </c>
    </row>
    <row r="25" spans="2:11" ht="18" customHeight="1">
      <c r="B25" s="5">
        <v>20</v>
      </c>
      <c r="C25" s="6" t="s">
        <v>29</v>
      </c>
      <c r="D25" s="21" t="str">
        <f t="shared" si="0"/>
        <v>Perempuan</v>
      </c>
      <c r="E25" s="22">
        <f t="shared" si="1"/>
        <v>37183</v>
      </c>
      <c r="F25" s="23">
        <f t="shared" si="2"/>
        <v>23</v>
      </c>
      <c r="G25" s="21" t="str" cm="1">
        <f t="array" ref="G25">IF(SUMPRODUCT(($C$6:$C$25=C25)*1)&gt;1,"Ganda","Tidak")</f>
        <v>Tidak</v>
      </c>
      <c r="H25" s="24">
        <f t="shared" si="3"/>
        <v>35000</v>
      </c>
    </row>
    <row r="26" spans="2:11">
      <c r="C26" s="1"/>
    </row>
    <row r="28" spans="2:11">
      <c r="C28" s="1"/>
    </row>
    <row r="29" spans="2:11">
      <c r="D29" s="8" t="s">
        <v>30</v>
      </c>
      <c r="H29" s="26"/>
      <c r="I29" s="26"/>
      <c r="J29" s="26"/>
      <c r="K29" s="26"/>
    </row>
    <row r="30" spans="2:11">
      <c r="C30">
        <v>1</v>
      </c>
      <c r="D30" s="9" t="s">
        <v>6</v>
      </c>
      <c r="H30" s="12" t="s">
        <v>31</v>
      </c>
      <c r="I30" s="12"/>
      <c r="J30" s="12"/>
      <c r="K30" s="12"/>
    </row>
    <row r="31" spans="2:11">
      <c r="D31" t="s">
        <v>32</v>
      </c>
      <c r="H31" s="13" t="s">
        <v>33</v>
      </c>
      <c r="I31" s="12"/>
      <c r="J31" s="12"/>
      <c r="K31" s="12"/>
    </row>
    <row r="32" spans="2:11">
      <c r="H32" s="12"/>
      <c r="I32" s="12"/>
      <c r="J32" s="12"/>
      <c r="K32" s="12"/>
    </row>
    <row r="33" spans="2:11">
      <c r="C33">
        <v>2</v>
      </c>
      <c r="D33" s="9" t="s">
        <v>7</v>
      </c>
      <c r="H33" s="14" t="s">
        <v>34</v>
      </c>
      <c r="I33" s="12"/>
      <c r="J33" s="12"/>
      <c r="K33" s="12"/>
    </row>
    <row r="34" spans="2:11">
      <c r="D34" t="s">
        <v>35</v>
      </c>
      <c r="H34" s="14" t="s">
        <v>36</v>
      </c>
      <c r="I34" s="12"/>
      <c r="J34" s="12"/>
      <c r="K34" s="12"/>
    </row>
    <row r="35" spans="2:11">
      <c r="H35" s="14" t="s">
        <v>37</v>
      </c>
      <c r="I35" s="12"/>
      <c r="J35" s="12"/>
      <c r="K35" s="12"/>
    </row>
    <row r="36" spans="2:11">
      <c r="C36">
        <v>3</v>
      </c>
      <c r="D36" s="9" t="s">
        <v>38</v>
      </c>
      <c r="H36" s="12" t="s">
        <v>39</v>
      </c>
      <c r="I36" s="12"/>
      <c r="J36" s="12"/>
      <c r="K36" s="12"/>
    </row>
    <row r="37" spans="2:11">
      <c r="D37" t="s">
        <v>40</v>
      </c>
      <c r="H37" s="14" t="s">
        <v>41</v>
      </c>
      <c r="I37" s="15"/>
      <c r="J37" s="15"/>
      <c r="K37" s="15"/>
    </row>
    <row r="38" spans="2:11">
      <c r="H38" s="15"/>
      <c r="I38" s="15"/>
      <c r="J38" s="15"/>
      <c r="K38" s="15"/>
    </row>
    <row r="39" spans="2:11">
      <c r="C39">
        <v>4</v>
      </c>
      <c r="D39" s="9" t="s">
        <v>42</v>
      </c>
      <c r="H39" s="15"/>
      <c r="I39" s="15"/>
      <c r="J39" s="15"/>
      <c r="K39" s="15"/>
    </row>
    <row r="40" spans="2:11">
      <c r="B40" s="19"/>
      <c r="D40" t="s">
        <v>43</v>
      </c>
    </row>
    <row r="41" spans="2:11">
      <c r="D41" s="10" t="s">
        <v>44</v>
      </c>
    </row>
    <row r="42" spans="2:11">
      <c r="D42" s="10" t="s">
        <v>45</v>
      </c>
    </row>
    <row r="43" spans="2:11">
      <c r="D43" s="10"/>
    </row>
    <row r="44" spans="2:11">
      <c r="C44">
        <v>5</v>
      </c>
      <c r="D44" s="9" t="s">
        <v>46</v>
      </c>
    </row>
    <row r="45" spans="2:11">
      <c r="D45" t="s">
        <v>47</v>
      </c>
    </row>
    <row r="46" spans="2:11">
      <c r="D46" s="11" t="s">
        <v>48</v>
      </c>
    </row>
    <row r="47" spans="2:11">
      <c r="D47" s="11" t="s">
        <v>49</v>
      </c>
    </row>
    <row r="49" spans="3:5">
      <c r="C49">
        <v>6</v>
      </c>
      <c r="D49" s="9" t="s">
        <v>50</v>
      </c>
    </row>
    <row r="50" spans="3:5">
      <c r="D50" t="s">
        <v>51</v>
      </c>
    </row>
    <row r="53" spans="3:5">
      <c r="D53" s="16" t="s">
        <v>52</v>
      </c>
    </row>
    <row r="54" spans="3:5">
      <c r="D54" s="16" t="s">
        <v>53</v>
      </c>
      <c r="E54" s="1"/>
    </row>
  </sheetData>
  <mergeCells count="2">
    <mergeCell ref="B2:C2"/>
    <mergeCell ref="B1:C1"/>
  </mergeCells>
  <conditionalFormatting sqref="C6:C25">
    <cfRule type="duplicateValues" dxfId="0" priority="1"/>
  </conditionalFormatting>
  <pageMargins left="0.7" right="0.7" top="0.75" bottom="0.75" header="0.3" footer="0.3"/>
  <ignoredErrors>
    <ignoredError sqref="C6:C9 C17:C25 C10:C14 K6:K9 C15:C16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B0C4-7DAD-4154-AFA6-33373B36BB16}">
  <sheetPr codeName="Sheet2"/>
  <dimension ref="A1:X31"/>
  <sheetViews>
    <sheetView workbookViewId="0">
      <selection activeCell="J14" sqref="J14"/>
    </sheetView>
  </sheetViews>
  <sheetFormatPr defaultRowHeight="14.45"/>
  <cols>
    <col min="2" max="2" width="11" customWidth="1"/>
    <col min="3" max="3" width="12.140625" customWidth="1"/>
    <col min="4" max="4" width="11.5703125" customWidth="1"/>
    <col min="5" max="5" width="9.7109375" customWidth="1"/>
    <col min="6" max="7" width="9.5703125" customWidth="1"/>
    <col min="8" max="8" width="11.7109375" customWidth="1"/>
    <col min="19" max="19" width="78.28515625" customWidth="1"/>
    <col min="20" max="20" width="9.7109375" customWidth="1"/>
  </cols>
  <sheetData>
    <row r="1" spans="1:24">
      <c r="A1" t="s">
        <v>54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24">
      <c r="A2" t="s">
        <v>55</v>
      </c>
      <c r="C2" t="str">
        <f>'XL-TEST'!D6</f>
        <v>Laki-Laki</v>
      </c>
      <c r="D2">
        <f>'XL-TEST'!E6</f>
        <v>35807</v>
      </c>
      <c r="E2">
        <f>'XL-TEST'!F6</f>
        <v>27</v>
      </c>
      <c r="F2" t="str">
        <f>'XL-TEST'!G6</f>
        <v>Tidak</v>
      </c>
      <c r="G2">
        <f>'XL-TEST'!H6</f>
        <v>40000</v>
      </c>
      <c r="H2">
        <f>'XL-TEST'!L6</f>
        <v>40000</v>
      </c>
      <c r="R2">
        <v>1</v>
      </c>
      <c r="S2" t="str">
        <f ca="1">_xlfn.FORMULATEXT('XL-TEST'!D6)</f>
        <v>=IF(MID(C6;7;2)*1&lt;40;"Laki-Laki";"Perempuan")</v>
      </c>
      <c r="T2" t="str">
        <f ca="1">_xlfn.FORMULATEXT('XL-TEST'!E6)</f>
        <v>=DATE(IF(MID(C6;11;2)*1&gt;25;1900;2000)+MID(C6;11;2)*1;MID(C6;9;2);MOD(MID(C6;7;2);40))</v>
      </c>
      <c r="U2" t="str">
        <f ca="1">_xlfn.FORMULATEXT('XL-TEST'!F6)</f>
        <v>=DATEDIF(E6;"20-05-2025";"Y")</v>
      </c>
      <c r="V2" t="str">
        <f ca="1">_xlfn.FORMULATEXT('XL-TEST'!G6)</f>
        <v>=IF(SUMPRODUCT(($C$6:$C$25=C6)*1)&gt;1;"Ganda";"Tidak")</v>
      </c>
      <c r="W2" t="str">
        <f ca="1">_xlfn.FORMULATEXT('XL-TEST'!H6)</f>
        <v>=IF(D6="Laki-Laki";40000;35000)</v>
      </c>
      <c r="X2" t="str">
        <f ca="1">_xlfn.FORMULATEXT('XL-TEST'!L6)</f>
        <v>=SUMPRODUCT(($C$6:$C$25=K6)*$H$6:$H$25)</v>
      </c>
    </row>
    <row r="3" spans="1:24">
      <c r="C3" t="str">
        <f>'XL-TEST'!D8</f>
        <v>Perempuan</v>
      </c>
      <c r="D3">
        <f>'XL-TEST'!E8</f>
        <v>36224</v>
      </c>
      <c r="E3">
        <f>'XL-TEST'!F8</f>
        <v>26</v>
      </c>
      <c r="F3" t="str">
        <f>'XL-TEST'!G8</f>
        <v>Tidak</v>
      </c>
      <c r="G3">
        <f>'XL-TEST'!H8</f>
        <v>35000</v>
      </c>
      <c r="H3">
        <f>'XL-TEST'!L7</f>
        <v>40000</v>
      </c>
      <c r="R3">
        <v>2</v>
      </c>
      <c r="S3" t="str">
        <f ca="1">_xlfn.FORMULATEXT('XL-TEST'!E6)</f>
        <v>=DATE(IF(MID(C6;11;2)*1&gt;25;1900;2000)+MID(C6;11;2)*1;MID(C6;9;2);MOD(MID(C6;7;2);40))</v>
      </c>
    </row>
    <row r="4" spans="1:24">
      <c r="C4" t="str">
        <f>'XL-TEST'!D10</f>
        <v>Perempuan</v>
      </c>
      <c r="D4">
        <f>'XL-TEST'!E10</f>
        <v>37100</v>
      </c>
      <c r="E4">
        <f>'XL-TEST'!F10</f>
        <v>23</v>
      </c>
      <c r="F4" t="str">
        <f>'XL-TEST'!G10</f>
        <v>Tidak</v>
      </c>
      <c r="G4">
        <f>'XL-TEST'!H10</f>
        <v>35000</v>
      </c>
      <c r="H4">
        <f>'XL-TEST'!L8</f>
        <v>0</v>
      </c>
      <c r="R4">
        <v>3</v>
      </c>
      <c r="S4" t="str">
        <f ca="1">_xlfn.FORMULATEXT('XL-TEST'!F6)</f>
        <v>=DATEDIF(E6;"20-05-2025";"Y")</v>
      </c>
    </row>
    <row r="5" spans="1:24">
      <c r="C5" t="str">
        <f>'XL-TEST'!D14</f>
        <v>Laki-Laki</v>
      </c>
      <c r="D5">
        <f>'XL-TEST'!E14</f>
        <v>37675</v>
      </c>
      <c r="E5">
        <f>'XL-TEST'!F14</f>
        <v>22</v>
      </c>
      <c r="F5" t="str">
        <f>'XL-TEST'!G14</f>
        <v>Tidak</v>
      </c>
      <c r="G5">
        <f>'XL-TEST'!H14</f>
        <v>40000</v>
      </c>
      <c r="H5">
        <f>'XL-TEST'!L9</f>
        <v>120000</v>
      </c>
      <c r="R5">
        <v>4</v>
      </c>
      <c r="S5" t="str">
        <f ca="1">_xlfn.FORMULATEXT('XL-TEST'!G6)</f>
        <v>=IF(SUMPRODUCT(($C$6:$C$25=C6)*1)&gt;1;"Ganda";"Tidak")</v>
      </c>
    </row>
    <row r="6" spans="1:24">
      <c r="C6" t="str">
        <f>'XL-TEST'!D16</f>
        <v>Perempuan</v>
      </c>
      <c r="D6">
        <f>'XL-TEST'!E16</f>
        <v>38422</v>
      </c>
      <c r="E6">
        <f>'XL-TEST'!F16</f>
        <v>20</v>
      </c>
      <c r="F6" t="str">
        <f>'XL-TEST'!G16</f>
        <v>Tidak</v>
      </c>
      <c r="G6">
        <f>'XL-TEST'!H16</f>
        <v>35000</v>
      </c>
      <c r="H6">
        <f>'XL-TEST'!L10</f>
        <v>0</v>
      </c>
      <c r="R6">
        <v>5</v>
      </c>
      <c r="S6" t="str">
        <f ca="1">_xlfn.FORMULATEXT('XL-TEST'!H6)</f>
        <v>=IF(D6="Laki-Laki";40000;35000)</v>
      </c>
    </row>
    <row r="7" spans="1:24">
      <c r="C7" t="str">
        <f>'XL-TEST'!D20</f>
        <v>Laki-Laki</v>
      </c>
      <c r="D7">
        <f>'XL-TEST'!E20</f>
        <v>34438</v>
      </c>
      <c r="E7">
        <f>'XL-TEST'!F20</f>
        <v>31</v>
      </c>
      <c r="F7" t="str">
        <f>'XL-TEST'!G20</f>
        <v>Ganda</v>
      </c>
      <c r="G7">
        <f>'XL-TEST'!H20</f>
        <v>40000</v>
      </c>
      <c r="R7">
        <v>6</v>
      </c>
      <c r="S7" t="str">
        <f ca="1">_xlfn.FORMULATEXT('XL-TEST'!L6)</f>
        <v>=SUMPRODUCT(($C$6:$C$25=K6)*$H$6:$H$25)</v>
      </c>
    </row>
    <row r="8" spans="1:24">
      <c r="C8" t="str">
        <f>'XL-TEST'!D21</f>
        <v>Perempuan</v>
      </c>
      <c r="D8">
        <f>'XL-TEST'!E21</f>
        <v>28463</v>
      </c>
      <c r="E8">
        <f>'XL-TEST'!F21</f>
        <v>47</v>
      </c>
      <c r="F8" t="str">
        <f>'XL-TEST'!G21</f>
        <v>Tidak</v>
      </c>
      <c r="G8">
        <f>'XL-TEST'!H21</f>
        <v>35000</v>
      </c>
    </row>
    <row r="9" spans="1:24">
      <c r="C9" t="str">
        <f>'XL-TEST'!D24</f>
        <v>Laki-Laki</v>
      </c>
      <c r="D9">
        <f>'XL-TEST'!E24</f>
        <v>34438</v>
      </c>
      <c r="E9">
        <f>'XL-TEST'!F24</f>
        <v>31</v>
      </c>
      <c r="F9" t="str">
        <f>'XL-TEST'!G24</f>
        <v>Ganda</v>
      </c>
      <c r="G9">
        <f>'XL-TEST'!H24</f>
        <v>40000</v>
      </c>
    </row>
    <row r="10" spans="1:24">
      <c r="C10" t="str">
        <f>'XL-TEST'!D25</f>
        <v>Perempuan</v>
      </c>
      <c r="D10">
        <f>'XL-TEST'!E25</f>
        <v>37183</v>
      </c>
      <c r="E10">
        <f>'XL-TEST'!F25</f>
        <v>23</v>
      </c>
      <c r="F10" t="str">
        <f>'XL-TEST'!G25</f>
        <v>Tidak</v>
      </c>
      <c r="G10">
        <f>'XL-TEST'!H25</f>
        <v>35000</v>
      </c>
    </row>
    <row r="11" spans="1:24">
      <c r="D11" s="27">
        <f>SUM('XL-TEST'!E6:E25)</f>
        <v>704961</v>
      </c>
      <c r="E11">
        <f>SUM('XL-TEST'!F6:F25)</f>
        <v>570</v>
      </c>
      <c r="G11">
        <f>SUM('XL-TEST'!H6:H25)</f>
        <v>775000</v>
      </c>
      <c r="H11">
        <f>SUM(H2:H6)</f>
        <v>200000</v>
      </c>
    </row>
    <row r="12" spans="1:24">
      <c r="C12">
        <f>CODE(LEFT(UPPER(C2)))+CODE(LEFT(UPPER(C3)))+CODE(LEFT(UPPER(C4)))+CODE(LEFT(UPPER(C5)))+CODE(LEFT(UPPER(C6)))+CODE(LEFT(UPPER(C7)))+CODE(LEFT(UPPER(C8)))+CODE(LEFT(UPPER(C9)))+CODE(LEFT(UPPER(C10)))</f>
        <v>704</v>
      </c>
      <c r="D12">
        <f>SUM(D2:D11)</f>
        <v>1024711</v>
      </c>
      <c r="E12">
        <f>SUM(E2:E11)</f>
        <v>820</v>
      </c>
      <c r="F12">
        <f>CODE(LEFT(UPPER(F2)))+CODE(LEFT(UPPER(F3)))+CODE(LEFT(UPPER(F4)))+CODE(LEFT(UPPER(F5)))+CODE(LEFT(UPPER(F6)))+CODE(LEFT(UPPER(F7)))+CODE(LEFT(UPPER(F8)))+CODE(LEFT(UPPER(F9)))+CODE(LEFT(UPPER(F10)))</f>
        <v>730</v>
      </c>
      <c r="G12">
        <f>SUM(G2:G11)/100</f>
        <v>11100</v>
      </c>
      <c r="H12">
        <f>SUM(H2:H11)/100</f>
        <v>4000</v>
      </c>
    </row>
    <row r="13" spans="1:24">
      <c r="B13" t="s">
        <v>56</v>
      </c>
      <c r="C13" t="str">
        <f>DEC2HEX(IF(OR(C2=0,C2=""),C15,C12))</f>
        <v>2C0</v>
      </c>
      <c r="D13" t="str">
        <f t="shared" ref="D13:H13" si="0">DEC2HEX(IF(OR(D2=0,D2=""),D15,D12))</f>
        <v>FA2C7</v>
      </c>
      <c r="E13" t="str">
        <f t="shared" si="0"/>
        <v>334</v>
      </c>
      <c r="F13" t="str">
        <f t="shared" si="0"/>
        <v>2DA</v>
      </c>
      <c r="G13" t="str">
        <f t="shared" si="0"/>
        <v>2B5C</v>
      </c>
      <c r="H13" t="str">
        <f>DEC2HEX(IF(OR(H2=0,H2=""),H15,H12))&amp;LEFT(H4)</f>
        <v>FA00</v>
      </c>
    </row>
    <row r="14" spans="1:24">
      <c r="C14" t="str">
        <f ca="1">IFERROR(C13,"EEEE")&amp;C19</f>
        <v>2C01</v>
      </c>
      <c r="D14" t="str">
        <f t="shared" ref="D14:H14" ca="1" si="1">IFERROR(D13,"EEEE")&amp;D19</f>
        <v>FA2C71</v>
      </c>
      <c r="E14" t="str">
        <f t="shared" ca="1" si="1"/>
        <v>3341</v>
      </c>
      <c r="F14" t="str">
        <f t="shared" ca="1" si="1"/>
        <v>2DA1</v>
      </c>
      <c r="G14" t="str">
        <f t="shared" ca="1" si="1"/>
        <v>2B5C1</v>
      </c>
      <c r="H14" t="str">
        <f t="shared" ca="1" si="1"/>
        <v>FA001</v>
      </c>
    </row>
    <row r="15" spans="1:24">
      <c r="B15" t="s">
        <v>57</v>
      </c>
      <c r="C15">
        <v>6175</v>
      </c>
      <c r="D15">
        <v>9711</v>
      </c>
      <c r="E15">
        <v>4484</v>
      </c>
      <c r="F15">
        <v>5868</v>
      </c>
      <c r="G15">
        <v>1362</v>
      </c>
      <c r="H15">
        <v>3750</v>
      </c>
    </row>
    <row r="17" spans="2:8">
      <c r="B17" t="b">
        <v>1</v>
      </c>
      <c r="C17" t="str">
        <f>LEFT(DEC2HEX(C15),2)</f>
        <v>18</v>
      </c>
      <c r="D17" t="str">
        <f t="shared" ref="D17:H17" si="2">LEFT(DEC2HEX(D15),2)</f>
        <v>25</v>
      </c>
      <c r="E17" t="str">
        <f t="shared" si="2"/>
        <v>11</v>
      </c>
      <c r="F17" t="str">
        <f t="shared" si="2"/>
        <v>16</v>
      </c>
      <c r="G17" t="str">
        <f t="shared" si="2"/>
        <v>55</v>
      </c>
      <c r="H17" t="str">
        <f t="shared" si="2"/>
        <v>EA</v>
      </c>
    </row>
    <row r="18" spans="2:8">
      <c r="B18" t="b">
        <v>0</v>
      </c>
      <c r="C18" t="str">
        <f>RIGHT(DEC2HEX(C15),2)</f>
        <v>1F</v>
      </c>
      <c r="D18" t="str">
        <f t="shared" ref="D18:H18" si="3">RIGHT(DEC2HEX(D15),2)</f>
        <v>EF</v>
      </c>
      <c r="E18" t="str">
        <f t="shared" si="3"/>
        <v>84</v>
      </c>
      <c r="F18" t="str">
        <f t="shared" si="3"/>
        <v>EC</v>
      </c>
      <c r="G18" t="str">
        <f t="shared" si="3"/>
        <v>52</v>
      </c>
      <c r="H18" t="str">
        <f t="shared" si="3"/>
        <v>A6</v>
      </c>
    </row>
    <row r="19" spans="2:8">
      <c r="B19" t="s">
        <v>58</v>
      </c>
      <c r="C19">
        <f ca="1">AND(ISNUMBER(FIND("=",S2)),ISNUMBER(FIND("(",S2)))+0</f>
        <v>1</v>
      </c>
      <c r="D19">
        <f t="shared" ref="D19:H19" ca="1" si="4">AND(ISNUMBER(FIND("=",T2)),ISNUMBER(FIND("(",T2)))+0</f>
        <v>1</v>
      </c>
      <c r="E19">
        <f t="shared" ca="1" si="4"/>
        <v>1</v>
      </c>
      <c r="F19">
        <f t="shared" ca="1" si="4"/>
        <v>1</v>
      </c>
      <c r="G19">
        <f t="shared" ca="1" si="4"/>
        <v>1</v>
      </c>
      <c r="H19">
        <f t="shared" ca="1" si="4"/>
        <v>1</v>
      </c>
    </row>
    <row r="21" spans="2:8">
      <c r="B21" t="s">
        <v>59</v>
      </c>
      <c r="C21" t="b">
        <f ca="1">AND(ISNUMBER(FIND("IF",S2)),ISNUMBER(FIND("MI",S2)))</f>
        <v>1</v>
      </c>
      <c r="D21" t="b">
        <f ca="1">AND(ISNUMBER(FIND("ATE",T2)),ISNUMBER(FIND("MI",T2)))</f>
        <v>1</v>
      </c>
      <c r="E21" t="b">
        <f ca="1">AND(ISNUMBER(FIND("ATED",U2)),ISNUMBER(FIND("Y",U2)))</f>
        <v>1</v>
      </c>
      <c r="F21" t="b">
        <f ca="1">AND(ISNUMBER(FIND("IF",V2)),OR(ISNUMBER(FIND("SUM(",V2)),ISNUMBER(FIND("MPRO",V2)),ISNUMBER(FIND("OUNTI",V2))))</f>
        <v>1</v>
      </c>
      <c r="G21" t="b">
        <f ca="1">AND(ISNUMBER(FIND("IF",W2)))</f>
        <v>1</v>
      </c>
      <c r="H21" t="b">
        <f ca="1">OR(ISNUMBER(FIND("SUM(",X2)),ISNUMBER(FIND("MPRO",X2)),ISNUMBER(FIND("MIF",X2)))</f>
        <v>1</v>
      </c>
    </row>
    <row r="23" spans="2:8">
      <c r="B23" t="s">
        <v>60</v>
      </c>
      <c r="C23">
        <f ca="1">IFERROR(LEN(S2)-LEN(SUBSTITUTE(S2,"(","")),99)</f>
        <v>2</v>
      </c>
      <c r="D23">
        <f t="shared" ref="D23:H23" ca="1" si="5">IFERROR(LEN(T2)-LEN(SUBSTITUTE(T2,"(","")),99)</f>
        <v>7</v>
      </c>
      <c r="E23">
        <f t="shared" ca="1" si="5"/>
        <v>1</v>
      </c>
      <c r="F23">
        <f t="shared" ca="1" si="5"/>
        <v>3</v>
      </c>
      <c r="G23">
        <f t="shared" ca="1" si="5"/>
        <v>1</v>
      </c>
      <c r="H23">
        <f t="shared" ca="1" si="5"/>
        <v>2</v>
      </c>
    </row>
    <row r="24" spans="2:8">
      <c r="B24" t="s">
        <v>61</v>
      </c>
      <c r="C24">
        <v>3</v>
      </c>
      <c r="D24">
        <v>8</v>
      </c>
      <c r="E24">
        <v>2</v>
      </c>
      <c r="F24">
        <v>3</v>
      </c>
      <c r="G24">
        <v>1</v>
      </c>
      <c r="H24">
        <v>2</v>
      </c>
    </row>
    <row r="25" spans="2:8">
      <c r="B25" t="s">
        <v>62</v>
      </c>
      <c r="C25">
        <f ca="1">(C23&lt;=C24)+0</f>
        <v>1</v>
      </c>
      <c r="D25">
        <f t="shared" ref="D25:H25" ca="1" si="6">(D23&lt;=D24)+0</f>
        <v>1</v>
      </c>
      <c r="E25">
        <f t="shared" ca="1" si="6"/>
        <v>1</v>
      </c>
      <c r="F25">
        <f t="shared" ca="1" si="6"/>
        <v>1</v>
      </c>
      <c r="G25">
        <f t="shared" ca="1" si="6"/>
        <v>1</v>
      </c>
      <c r="H25">
        <f t="shared" ca="1" si="6"/>
        <v>1</v>
      </c>
    </row>
    <row r="27" spans="2:8">
      <c r="B27" t="s">
        <v>56</v>
      </c>
      <c r="C27" t="str">
        <f ca="1">IF(C21,C17,C18)&amp;C25</f>
        <v>181</v>
      </c>
      <c r="D27" t="str">
        <f t="shared" ref="D27:H27" ca="1" si="7">IF(D21,D17,D18)&amp;D25</f>
        <v>251</v>
      </c>
      <c r="E27" t="str">
        <f t="shared" ca="1" si="7"/>
        <v>111</v>
      </c>
      <c r="F27" t="str">
        <f t="shared" ca="1" si="7"/>
        <v>161</v>
      </c>
      <c r="G27" t="str">
        <f t="shared" ca="1" si="7"/>
        <v>551</v>
      </c>
      <c r="H27" t="str">
        <f t="shared" ca="1" si="7"/>
        <v>EA1</v>
      </c>
    </row>
    <row r="29" spans="2:8">
      <c r="B29" t="s">
        <v>63</v>
      </c>
      <c r="C29" t="str">
        <f ca="1">C27&amp;"-"&amp;C14&amp;";"</f>
        <v>181-2C01;</v>
      </c>
      <c r="D29" t="str">
        <f t="shared" ref="D29:H29" ca="1" si="8">D27&amp;"-"&amp;D14&amp;";"</f>
        <v>251-FA2C71;</v>
      </c>
      <c r="E29" t="str">
        <f t="shared" ca="1" si="8"/>
        <v>111-3341;</v>
      </c>
      <c r="F29" t="str">
        <f t="shared" ca="1" si="8"/>
        <v>161-2DA1;</v>
      </c>
      <c r="G29" t="str">
        <f t="shared" ca="1" si="8"/>
        <v>551-2B5C1;</v>
      </c>
      <c r="H29" t="str">
        <f ca="1">H27&amp;"-"&amp;H14</f>
        <v>EA1-FA001</v>
      </c>
    </row>
    <row r="31" spans="2:8">
      <c r="C31" t="str">
        <f ca="1">A2&amp;"|"&amp;C29&amp;D29&amp;E29&amp;F29&amp;G29&amp;H29</f>
        <v>HC1|181-2C01;251-FA2C71;111-3341;161-2DA1;551-2B5C1;EA1-FA001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2025-05-20T05:37:08Z</dcterms:created>
  <dcterms:modified xsi:type="dcterms:W3CDTF">2026-06-12T18:51:37Z</dcterms:modified>
  <cp:category/>
  <cp:contentStatus/>
</cp:coreProperties>
</file>