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501" documentId="8_{8AC65CE8-A2B6-459A-A86F-0D719A1CA042}" xr6:coauthVersionLast="47" xr6:coauthVersionMax="47" xr10:uidLastSave="{7CA2EABB-ADBA-4BDA-A3C2-3BE6FAFB4E7D}"/>
  <workbookProtection workbookAlgorithmName="SHA-512" workbookHashValue="s/MsUKVXXbajAaG8q53XVpckM6+if0S9h4JQakvxcYrpQEV729mDdAPjwV4wcXZLPRtTp5+K9T+qTJ1hu/8RYQ==" workbookSaltValue="/F0qaDgm2uHrzwtAP5Q/9g==" workbookSpinCount="100000" lockStructure="1"/>
  <bookViews>
    <workbookView xWindow="28692" yWindow="-108" windowWidth="29016" windowHeight="15696" xr2:uid="{AA5DEDF4-0583-4C2A-9433-BFDB5C1C0570}"/>
  </bookViews>
  <sheets>
    <sheet name="Soal" sheetId="1" r:id="rId1"/>
    <sheet name="Data Libur" sheetId="2" r:id="rId2"/>
    <sheet name="Data Gaji" sheetId="3" r:id="rId3"/>
    <sheet name="About" sheetId="6" r:id="rId4"/>
    <sheet name="DF" sheetId="4" state="veryHidden" r:id="rId5"/>
  </sheets>
  <definedNames>
    <definedName name="kamujuga" localSheetId="4">DF!$C$48</definedName>
    <definedName name="kode_jawaban">DF!$C$52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42" i="1" a="1"/>
  <c r="H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D26" i="4"/>
  <c r="E26" i="4"/>
  <c r="C26" i="4"/>
  <c r="P4" i="4"/>
  <c r="P3" i="4"/>
  <c r="Q2" i="4"/>
  <c r="D36" i="4" s="1"/>
  <c r="D38" i="4" s="1"/>
  <c r="R2" i="4"/>
  <c r="P2" i="4"/>
  <c r="C36" i="4" s="1"/>
  <c r="C38" i="4" s="1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4"/>
  <c r="E27" i="4"/>
  <c r="D27" i="4"/>
  <c r="C2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2" i="4"/>
  <c r="D10" i="4" l="1"/>
  <c r="E10" i="4"/>
  <c r="D17" i="4"/>
  <c r="E17" i="4"/>
  <c r="E35" i="4"/>
  <c r="E36" i="4"/>
  <c r="E38" i="4" s="1"/>
  <c r="E40" i="4" s="1"/>
  <c r="E44" i="4" s="1"/>
  <c r="C35" i="4"/>
  <c r="C40" i="4" s="1"/>
  <c r="C44" i="4" s="1"/>
  <c r="D30" i="4"/>
  <c r="D35" i="4"/>
  <c r="D40" i="4" s="1"/>
  <c r="D44" i="4" s="1"/>
  <c r="E30" i="4"/>
  <c r="C30" i="4"/>
  <c r="C21" i="4"/>
  <c r="C29" i="4"/>
  <c r="E3" i="4"/>
  <c r="D3" i="4"/>
  <c r="E4" i="4"/>
  <c r="D4" i="4"/>
  <c r="E5" i="4"/>
  <c r="D5" i="4"/>
  <c r="E6" i="4"/>
  <c r="J22" i="4" s="1"/>
  <c r="D6" i="4"/>
  <c r="I22" i="4" s="1"/>
  <c r="E7" i="4"/>
  <c r="D7" i="4"/>
  <c r="E8" i="4"/>
  <c r="D8" i="4"/>
  <c r="E9" i="4"/>
  <c r="D9" i="4"/>
  <c r="E11" i="4"/>
  <c r="D11" i="4"/>
  <c r="E12" i="4"/>
  <c r="D12" i="4"/>
  <c r="E13" i="4"/>
  <c r="D13" i="4"/>
  <c r="E14" i="4"/>
  <c r="D14" i="4"/>
  <c r="E15" i="4"/>
  <c r="D15" i="4"/>
  <c r="E16" i="4"/>
  <c r="D16" i="4"/>
  <c r="E18" i="4"/>
  <c r="D18" i="4"/>
  <c r="E2" i="4"/>
  <c r="D2" i="4"/>
  <c r="J21" i="4"/>
  <c r="I21" i="4"/>
  <c r="H21" i="4"/>
  <c r="H22" i="4"/>
  <c r="E29" i="4" l="1"/>
  <c r="E21" i="4"/>
  <c r="D21" i="4"/>
  <c r="D29" i="4"/>
  <c r="J23" i="4"/>
  <c r="E31" i="4" s="1"/>
  <c r="I23" i="4"/>
  <c r="D31" i="4" s="1"/>
  <c r="D33" i="4" s="1"/>
  <c r="D43" i="4" s="1"/>
  <c r="D46" i="4" s="1"/>
  <c r="H23" i="4"/>
  <c r="C31" i="4" s="1"/>
  <c r="C33" i="4" s="1"/>
  <c r="C43" i="4" s="1"/>
  <c r="C46" i="4" s="1"/>
  <c r="I59" i="1"/>
  <c r="E33" i="4" l="1"/>
  <c r="E43" i="4" s="1"/>
  <c r="E46" i="4" s="1"/>
  <c r="C48" i="4" s="1"/>
  <c r="C50" i="4" s="1" a="1"/>
  <c r="C50" i="4" s="1"/>
  <c r="C52" i="4" s="1"/>
  <c r="G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<sst xmlns="http://schemas.openxmlformats.org/spreadsheetml/2006/main" count="283" uniqueCount="119">
  <si>
    <t>KODE SOAL</t>
  </si>
  <si>
    <t>SBEH001</t>
  </si>
  <si>
    <t>KODE JAWABAN</t>
  </si>
  <si>
    <t>Intruksi</t>
  </si>
  <si>
    <r>
      <rPr>
        <b/>
        <sz val="12"/>
        <color rgb="FF00B050"/>
        <rFont val="Aptos Narrow"/>
        <family val="2"/>
        <scheme val="minor"/>
      </rPr>
      <t>Hard Level</t>
    </r>
    <r>
      <rPr>
        <b/>
        <sz val="12"/>
        <color theme="1"/>
        <rFont val="Aptos Narrow"/>
        <family val="2"/>
        <scheme val="minor"/>
      </rPr>
      <t xml:space="preserve"> - Latihan Soal Excel Hari Libur Kerja</t>
    </r>
  </si>
  <si>
    <t>Soal  :</t>
  </si>
  <si>
    <t>Gunakan Fungsi Excel (Function) untuk menyelsaikan kasus dibawah ini</t>
  </si>
  <si>
    <t>Hitung berapa jumlah hari kerja dari masing-masing karyawan normal tanpa ketidak hadiran.</t>
  </si>
  <si>
    <t>Hitung berapa jumlah hari kerja dari masing-masing karyawan sebenarnya dihitung beserta ketidak hadiran.</t>
  </si>
  <si>
    <t>Hitung berapa pendapatan Gajinya selama Tahun 2024 (Periode 1 Jan 2024 - 31 Des 2024)</t>
  </si>
  <si>
    <t>hitung gaji dengan menghitung gaji perhari dikurangi dengan denda jika tidak hadir</t>
  </si>
  <si>
    <t>Gunakan table (data gaji) yang disediakan!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</si>
  <si>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</si>
  <si>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</si>
  <si>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Data Gaji Periode 1 Januari 2024 - 31 Desember 2024</t>
  </si>
  <si>
    <t>Periode Awal</t>
  </si>
  <si>
    <t>Periode Akhir</t>
  </si>
  <si>
    <t>No</t>
  </si>
  <si>
    <t>NIK</t>
  </si>
  <si>
    <t>Nama</t>
  </si>
  <si>
    <t>Jadwal Hari Libur Kerja</t>
  </si>
  <si>
    <t>Jumlah Hari Kerja 
(Normal)</t>
  </si>
  <si>
    <t>Jumlah Hari Kerja</t>
  </si>
  <si>
    <t>Gaji</t>
  </si>
  <si>
    <t>ID001</t>
  </si>
  <si>
    <t>Austin Cooke</t>
  </si>
  <si>
    <t>Sabtu</t>
  </si>
  <si>
    <t>ID002</t>
  </si>
  <si>
    <t>Randy Beasley</t>
  </si>
  <si>
    <t>Senin dan Kamis</t>
  </si>
  <si>
    <t>ID003</t>
  </si>
  <si>
    <t>Kelly Williams</t>
  </si>
  <si>
    <t>Minggu</t>
  </si>
  <si>
    <t>ID004</t>
  </si>
  <si>
    <t>Steven Daniel</t>
  </si>
  <si>
    <t>Sabtu dan Senin</t>
  </si>
  <si>
    <t>ID005</t>
  </si>
  <si>
    <t>Anthony Sharp</t>
  </si>
  <si>
    <t>Sabtu dan Minggu</t>
  </si>
  <si>
    <t>ID006</t>
  </si>
  <si>
    <t>Richard Miller</t>
  </si>
  <si>
    <t>Kamis</t>
  </si>
  <si>
    <t>ID007</t>
  </si>
  <si>
    <t>Elizabeth White</t>
  </si>
  <si>
    <t>Minggu dan Senin</t>
  </si>
  <si>
    <t>ID008</t>
  </si>
  <si>
    <t>Brian Tucker</t>
  </si>
  <si>
    <t>ID009</t>
  </si>
  <si>
    <t>Elizabeth Villarreal</t>
  </si>
  <si>
    <t>Senin</t>
  </si>
  <si>
    <t>ID010</t>
  </si>
  <si>
    <t>Norman Beck</t>
  </si>
  <si>
    <t>ID011</t>
  </si>
  <si>
    <t>Sheila Daniels</t>
  </si>
  <si>
    <t>ID012</t>
  </si>
  <si>
    <t>Jessica Burton</t>
  </si>
  <si>
    <t>ID013</t>
  </si>
  <si>
    <t>Melissa Garcia</t>
  </si>
  <si>
    <t>Senin, Kamis dan Minggu</t>
  </si>
  <si>
    <t>ID014</t>
  </si>
  <si>
    <t>Veronica Wilson</t>
  </si>
  <si>
    <t>ID015</t>
  </si>
  <si>
    <t>Wayne Harris</t>
  </si>
  <si>
    <t>Rabu dan Jum'at</t>
  </si>
  <si>
    <t>ID016</t>
  </si>
  <si>
    <t>Stanley Dorsey</t>
  </si>
  <si>
    <t>Jum'at dan Sabtu</t>
  </si>
  <si>
    <t>ID017</t>
  </si>
  <si>
    <t>Brenda Chan</t>
  </si>
  <si>
    <t>Total</t>
  </si>
  <si>
    <t>Dilarang mengubah Table atau Menambah Table Baru atau Menambah Kolom Bantuan !!, Gunakan Table seperti yang sudah di sediakan soal.</t>
  </si>
  <si>
    <t>List Data Karyawan Tidak Masuk Kerja</t>
  </si>
  <si>
    <t>Tanggal</t>
  </si>
  <si>
    <t>Keterangan</t>
  </si>
  <si>
    <t>Izin</t>
  </si>
  <si>
    <t>Cuti</t>
  </si>
  <si>
    <t>Tanpa Keterangan</t>
  </si>
  <si>
    <t>Gaji Per hari</t>
  </si>
  <si>
    <t>Denda Tidak Hadir Per Hari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</si>
  <si>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</si>
  <si>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</si>
  <si>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</si>
  <si>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</si>
  <si>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</si>
  <si>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</si>
  <si>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</si>
  <si>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</si>
  <si>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</si>
  <si>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</si>
  <si>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</si>
  <si>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</si>
  <si>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</si>
  <si>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</si>
  <si>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</si>
  <si>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</si>
  <si>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</si>
  <si>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</si>
  <si>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</si>
  <si>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</si>
  <si>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</si>
  <si>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</si>
  <si>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</si>
  <si>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</si>
  <si>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</si>
  <si>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</si>
  <si>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HA1</t>
  </si>
  <si>
    <t>Arr</t>
  </si>
  <si>
    <t>**</t>
  </si>
  <si>
    <t>Rand</t>
  </si>
  <si>
    <t>Kosong</t>
  </si>
  <si>
    <t>Cek Form</t>
  </si>
  <si>
    <t>Akhir</t>
  </si>
  <si>
    <t>Cek Formula</t>
  </si>
  <si>
    <t>ka</t>
  </si>
  <si>
    <t>mu</t>
  </si>
  <si>
    <t>juga</t>
  </si>
  <si>
    <t>Cek banyak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</si>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</sst>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d\-mmm\-yyyy;@"/>
    <numFmt numFmtId="166" formatCode="dd\-mmm\-yyyy"/>
    <numFmt numFmtId="167" formatCode="_(* #,##0_);_(* \(#,##0\);_(* &quot;-&quot;??_);_(@_)"/>
    <numFmt numFmtId="168" formatCode="000"/>
    <numFmt numFmtId="169" formatCode="#,##0;\(#,##0\);\-"/>
    <numFmt numFmtId="170" formatCode="[$-421]d\ mmmm\ yyyy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i/>
      <sz val="11"/>
      <color rgb="FFEE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4" tint="0.3999755851924192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9"/>
      <color theme="4" tint="-0.249977111117893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0"/>
      <name val="ROBOTECH GP"/>
      <family val="2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28" fillId="0" borderId="0" applyNumberFormat="0" applyFill="0" applyBorder="0" applyAlignment="0" applyProtection="0"/>
  </cellStyleXfs>
  <cellXfs count="8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66" fontId="0" fillId="0" borderId="0" xfId="0" applyNumberFormat="1"/>
    <xf numFmtId="0" fontId="5" fillId="0" borderId="0" xfId="0" applyFont="1"/>
    <xf numFmtId="0" fontId="2" fillId="0" borderId="0" xfId="0" applyFont="1"/>
    <xf numFmtId="0" fontId="6" fillId="0" borderId="0" xfId="0" applyFont="1"/>
    <xf numFmtId="167" fontId="0" fillId="0" borderId="1" xfId="1" applyNumberFormat="1" applyFont="1" applyBorder="1"/>
    <xf numFmtId="1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/>
    <xf numFmtId="169" fontId="11" fillId="6" borderId="0" xfId="0" applyNumberFormat="1" applyFont="1" applyFill="1" applyAlignment="1">
      <alignment horizontal="center" vertical="center"/>
    </xf>
    <xf numFmtId="169" fontId="11" fillId="6" borderId="4" xfId="0" applyNumberFormat="1" applyFont="1" applyFill="1" applyBorder="1" applyAlignment="1">
      <alignment horizontal="left" vertical="center"/>
    </xf>
    <xf numFmtId="169" fontId="12" fillId="6" borderId="0" xfId="0" applyNumberFormat="1" applyFont="1" applyFill="1" applyAlignment="1">
      <alignment horizontal="left" vertical="center"/>
    </xf>
    <xf numFmtId="0" fontId="14" fillId="7" borderId="8" xfId="0" applyFont="1" applyFill="1" applyBorder="1" applyAlignment="1">
      <alignment vertical="top" wrapText="1"/>
    </xf>
    <xf numFmtId="0" fontId="14" fillId="7" borderId="0" xfId="0" applyFont="1" applyFill="1" applyAlignment="1">
      <alignment vertical="top" wrapText="1"/>
    </xf>
    <xf numFmtId="0" fontId="14" fillId="7" borderId="10" xfId="0" applyFont="1" applyFill="1" applyBorder="1" applyAlignment="1">
      <alignment vertical="top" wrapText="1"/>
    </xf>
    <xf numFmtId="0" fontId="0" fillId="7" borderId="0" xfId="0" applyFill="1"/>
    <xf numFmtId="0" fontId="15" fillId="7" borderId="0" xfId="0" applyFont="1" applyFill="1" applyAlignment="1">
      <alignment horizontal="left" vertical="top"/>
    </xf>
    <xf numFmtId="0" fontId="14" fillId="7" borderId="11" xfId="0" applyFont="1" applyFill="1" applyBorder="1" applyAlignment="1">
      <alignment vertical="top" wrapText="1"/>
    </xf>
    <xf numFmtId="0" fontId="15" fillId="7" borderId="0" xfId="0" applyFont="1" applyFill="1" applyAlignment="1">
      <alignment vertical="top"/>
    </xf>
    <xf numFmtId="0" fontId="17" fillId="7" borderId="0" xfId="0" applyFont="1" applyFill="1" applyAlignment="1">
      <alignment horizontal="center" vertical="top" wrapText="1"/>
    </xf>
    <xf numFmtId="0" fontId="18" fillId="7" borderId="0" xfId="0" applyFont="1" applyFill="1" applyAlignment="1">
      <alignment horizontal="right"/>
    </xf>
    <xf numFmtId="0" fontId="19" fillId="7" borderId="0" xfId="0" applyFont="1" applyFill="1" applyAlignment="1">
      <alignment vertical="top"/>
    </xf>
    <xf numFmtId="0" fontId="20" fillId="0" borderId="0" xfId="0" applyFont="1" applyAlignment="1">
      <alignment wrapText="1"/>
    </xf>
    <xf numFmtId="0" fontId="8" fillId="7" borderId="0" xfId="0" applyFont="1" applyFill="1"/>
    <xf numFmtId="0" fontId="20" fillId="7" borderId="0" xfId="0" applyFont="1" applyFill="1" applyAlignment="1">
      <alignment wrapText="1"/>
    </xf>
    <xf numFmtId="0" fontId="20" fillId="7" borderId="11" xfId="0" applyFont="1" applyFill="1" applyBorder="1" applyAlignment="1">
      <alignment wrapText="1"/>
    </xf>
    <xf numFmtId="0" fontId="8" fillId="7" borderId="0" xfId="0" applyFont="1" applyFill="1" applyAlignment="1">
      <alignment horizontal="center" vertical="center"/>
    </xf>
    <xf numFmtId="0" fontId="21" fillId="7" borderId="0" xfId="0" applyFont="1" applyFill="1"/>
    <xf numFmtId="0" fontId="22" fillId="7" borderId="0" xfId="0" applyFont="1" applyFill="1"/>
    <xf numFmtId="0" fontId="0" fillId="0" borderId="0" xfId="0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167" fontId="0" fillId="3" borderId="13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67" fontId="7" fillId="8" borderId="2" xfId="1" applyNumberFormat="1" applyFont="1" applyFill="1" applyBorder="1" applyAlignment="1">
      <alignment horizontal="center" vertical="center"/>
    </xf>
    <xf numFmtId="165" fontId="0" fillId="8" borderId="13" xfId="0" applyNumberFormat="1" applyFill="1" applyBorder="1" applyAlignment="1">
      <alignment horizontal="left" indent="1"/>
    </xf>
    <xf numFmtId="169" fontId="24" fillId="6" borderId="16" xfId="0" applyNumberFormat="1" applyFont="1" applyFill="1" applyBorder="1" applyAlignment="1">
      <alignment horizontal="center" vertical="center"/>
    </xf>
    <xf numFmtId="170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8" borderId="13" xfId="0" applyNumberFormat="1" applyFill="1" applyBorder="1" applyAlignment="1">
      <alignment horizontal="center"/>
    </xf>
    <xf numFmtId="0" fontId="27" fillId="7" borderId="0" xfId="0" applyFont="1" applyFill="1"/>
    <xf numFmtId="0" fontId="1" fillId="0" borderId="0" xfId="3"/>
    <xf numFmtId="0" fontId="1" fillId="0" borderId="13" xfId="3" applyBorder="1"/>
    <xf numFmtId="0" fontId="1" fillId="0" borderId="17" xfId="3" applyBorder="1"/>
    <xf numFmtId="0" fontId="1" fillId="0" borderId="18" xfId="3" applyBorder="1"/>
    <xf numFmtId="0" fontId="29" fillId="0" borderId="13" xfId="3" applyFont="1" applyBorder="1"/>
    <xf numFmtId="0" fontId="31" fillId="0" borderId="13" xfId="3" applyFont="1" applyBorder="1"/>
    <xf numFmtId="0" fontId="32" fillId="0" borderId="17" xfId="0" applyFont="1" applyBorder="1" applyAlignment="1">
      <alignment horizontal="left" vertical="top" wrapText="1"/>
    </xf>
    <xf numFmtId="0" fontId="34" fillId="0" borderId="17" xfId="0" applyFont="1" applyBorder="1" applyAlignment="1">
      <alignment horizontal="left" vertical="top" wrapText="1"/>
    </xf>
    <xf numFmtId="0" fontId="28" fillId="0" borderId="13" xfId="4" applyBorder="1" applyAlignment="1">
      <alignment vertical="top"/>
    </xf>
    <xf numFmtId="0" fontId="2" fillId="0" borderId="0" xfId="3" applyFont="1"/>
    <xf numFmtId="0" fontId="35" fillId="0" borderId="0" xfId="3" applyFont="1"/>
    <xf numFmtId="0" fontId="28" fillId="0" borderId="0" xfId="2"/>
    <xf numFmtId="0" fontId="35" fillId="0" borderId="0" xfId="3" quotePrefix="1" applyFont="1"/>
    <xf numFmtId="0" fontId="0" fillId="6" borderId="0" xfId="0" applyFill="1"/>
    <xf numFmtId="0" fontId="36" fillId="6" borderId="0" xfId="0" applyFont="1" applyFill="1"/>
    <xf numFmtId="0" fontId="9" fillId="6" borderId="0" xfId="0" applyFont="1" applyFill="1"/>
    <xf numFmtId="0" fontId="37" fillId="6" borderId="0" xfId="0" applyFont="1" applyFill="1"/>
    <xf numFmtId="0" fontId="38" fillId="6" borderId="0" xfId="2" applyFont="1" applyFill="1"/>
    <xf numFmtId="0" fontId="31" fillId="0" borderId="13" xfId="3" applyFont="1" applyBorder="1" applyAlignment="1">
      <alignment horizontal="left"/>
    </xf>
    <xf numFmtId="0" fontId="0" fillId="3" borderId="13" xfId="0" applyFill="1" applyBorder="1" applyAlignment="1">
      <alignment horizontal="center" wrapText="1"/>
    </xf>
    <xf numFmtId="1" fontId="0" fillId="3" borderId="13" xfId="0" applyNumberFormat="1" applyFill="1" applyBorder="1" applyAlignment="1">
      <alignment horizontal="center" wrapText="1"/>
    </xf>
    <xf numFmtId="0" fontId="25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/>
    </xf>
    <xf numFmtId="0" fontId="32" fillId="0" borderId="0" xfId="0" applyFont="1" applyAlignment="1">
      <alignment horizontal="left" vertical="top" wrapText="1"/>
    </xf>
    <xf numFmtId="0" fontId="32" fillId="0" borderId="19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33" fillId="0" borderId="19" xfId="0" applyFont="1" applyBorder="1" applyAlignment="1">
      <alignment horizontal="left" vertical="top" wrapText="1"/>
    </xf>
    <xf numFmtId="0" fontId="25" fillId="5" borderId="8" xfId="0" applyFont="1" applyFill="1" applyBorder="1" applyAlignment="1">
      <alignment horizontal="center" vertical="center"/>
    </xf>
    <xf numFmtId="0" fontId="30" fillId="0" borderId="13" xfId="3" applyFont="1" applyBorder="1" applyAlignment="1">
      <alignment horizontal="left"/>
    </xf>
    <xf numFmtId="0" fontId="31" fillId="0" borderId="13" xfId="3" applyFont="1" applyBorder="1" applyAlignment="1">
      <alignment horizontal="left"/>
    </xf>
  </cellXfs>
  <cellStyles count="5">
    <cellStyle name="Comma" xfId="1" builtinId="3"/>
    <cellStyle name="Hyperlink" xfId="2" builtinId="8"/>
    <cellStyle name="Hyperlink 2" xfId="4" xr:uid="{3B8AFE35-CD2B-499F-B900-99ED0CAB1E87}"/>
    <cellStyle name="Normal" xfId="0" builtinId="0"/>
    <cellStyle name="Normal 2" xfId="3" xr:uid="{8F1CF9CE-E25D-4287-B0C1-2178CF4F7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731521</xdr:colOff>
      <xdr:row>14</xdr:row>
      <xdr:rowOff>5715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5690A2-4134-38E3-D7FB-2FA1F513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264140" cy="2566035"/>
        </a:xfrm>
        <a:prstGeom prst="rect">
          <a:avLst/>
        </a:prstGeom>
      </xdr:spPr>
    </xdr:pic>
    <xdr:clientData/>
  </xdr:twoCellAnchor>
  <xdr:twoCellAnchor editAs="oneCell">
    <xdr:from>
      <xdr:col>6</xdr:col>
      <xdr:colOff>243840</xdr:colOff>
      <xdr:row>11</xdr:row>
      <xdr:rowOff>83820</xdr:rowOff>
    </xdr:from>
    <xdr:to>
      <xdr:col>7</xdr:col>
      <xdr:colOff>383540</xdr:colOff>
      <xdr:row>15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1D5F6-390D-4511-8C52-ED3BB26C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4060" y="20955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30</xdr:row>
      <xdr:rowOff>68580</xdr:rowOff>
    </xdr:from>
    <xdr:to>
      <xdr:col>5</xdr:col>
      <xdr:colOff>220980</xdr:colOff>
      <xdr:row>32</xdr:row>
      <xdr:rowOff>22860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544B3-6BB2-4D7B-9AC0-51E7803301FC}"/>
            </a:ext>
          </a:extLst>
        </xdr:cNvPr>
        <xdr:cNvSpPr/>
      </xdr:nvSpPr>
      <xdr:spPr>
        <a:xfrm>
          <a:off x="2697480" y="5966460"/>
          <a:ext cx="161544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9</xdr:col>
      <xdr:colOff>861060</xdr:colOff>
      <xdr:row>0</xdr:row>
      <xdr:rowOff>0</xdr:rowOff>
    </xdr:from>
    <xdr:to>
      <xdr:col>9</xdr:col>
      <xdr:colOff>2504554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C49F0-A672-4C01-9C66-A99152813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93680" y="0"/>
          <a:ext cx="1643494" cy="2560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AB307D0-F4C6-4F37-9934-141F4B9FF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54F93265-D5A3-417D-9195-9BA5674F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518160</xdr:colOff>
      <xdr:row>1</xdr:row>
      <xdr:rowOff>7620</xdr:rowOff>
    </xdr:from>
    <xdr:to>
      <xdr:col>4</xdr:col>
      <xdr:colOff>198120</xdr:colOff>
      <xdr:row>14</xdr:row>
      <xdr:rowOff>99312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09B860-4312-42B1-A2B7-99660A64D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9050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C1C-19D2-442E-A4CF-B84BDE7C391E}">
  <sheetPr codeName="Sheet1"/>
  <dimension ref="A16:N65"/>
  <sheetViews>
    <sheetView tabSelected="1" topLeftCell="A41" workbookViewId="0">
      <selection activeCell="G42" sqref="G42"/>
    </sheetView>
  </sheetViews>
  <sheetFormatPr defaultRowHeight="14.45"/>
  <cols>
    <col min="1" max="1" width="5" customWidth="1"/>
    <col min="2" max="2" width="11.28515625" customWidth="1"/>
    <col min="3" max="3" width="16.5703125" customWidth="1"/>
    <col min="4" max="4" width="20.7109375" customWidth="1"/>
    <col min="5" max="5" width="6.28515625" customWidth="1"/>
    <col min="6" max="6" width="22.140625" customWidth="1"/>
    <col min="7" max="7" width="20" customWidth="1"/>
    <col min="8" max="8" width="18.5703125" customWidth="1"/>
    <col min="9" max="9" width="18.7109375" customWidth="1"/>
    <col min="10" max="10" width="37.7109375" customWidth="1"/>
    <col min="11" max="11" width="14.5703125" customWidth="1"/>
    <col min="12" max="12" width="14.42578125" customWidth="1"/>
  </cols>
  <sheetData>
    <row r="16" spans="1:10" ht="23.45">
      <c r="A16" s="68" t="s">
        <v>0</v>
      </c>
      <c r="B16" s="68"/>
      <c r="C16" s="12" t="s">
        <v>1</v>
      </c>
      <c r="E16" s="68" t="s">
        <v>2</v>
      </c>
      <c r="F16" s="69"/>
      <c r="G16" s="13" t="str">
        <f ca="1">kode_jawaban</f>
        <v>HA1|C0-1A26;F6-19F1;41-20B662F8</v>
      </c>
      <c r="H16" s="14"/>
      <c r="I16" s="14"/>
      <c r="J16" s="14"/>
    </row>
    <row r="18" spans="1:13" ht="22.9">
      <c r="A18" s="72" t="s">
        <v>3</v>
      </c>
      <c r="B18" s="73"/>
      <c r="C18" s="73"/>
      <c r="D18" s="73"/>
      <c r="E18" s="73"/>
      <c r="F18" s="73"/>
      <c r="G18" s="73"/>
      <c r="H18" s="73"/>
      <c r="I18" s="73"/>
      <c r="J18" s="74"/>
    </row>
    <row r="19" spans="1:13" ht="15.6">
      <c r="A19" s="15"/>
      <c r="B19" s="16"/>
      <c r="C19" s="16"/>
      <c r="D19" s="16"/>
      <c r="E19" s="16"/>
      <c r="F19" s="16"/>
      <c r="G19" s="16"/>
      <c r="H19" s="16"/>
      <c r="I19" s="16"/>
      <c r="J19" s="17"/>
    </row>
    <row r="20" spans="1:13" ht="15.6">
      <c r="A20" s="18"/>
      <c r="B20" s="19" t="s">
        <v>4</v>
      </c>
      <c r="C20" s="18"/>
      <c r="D20" s="18"/>
      <c r="E20" s="16"/>
      <c r="F20" s="16"/>
      <c r="G20" s="16"/>
      <c r="H20" s="16"/>
      <c r="I20" s="16"/>
      <c r="J20" s="20"/>
    </row>
    <row r="21" spans="1:13" ht="15.6">
      <c r="A21" s="18"/>
      <c r="B21" s="18"/>
      <c r="C21" s="21"/>
      <c r="D21" s="18"/>
      <c r="E21" s="16"/>
      <c r="F21" s="16"/>
      <c r="G21" s="16"/>
      <c r="H21" s="22"/>
      <c r="I21" s="16"/>
      <c r="J21" s="20"/>
    </row>
    <row r="22" spans="1:13" ht="15.6" customHeight="1">
      <c r="A22" s="18"/>
      <c r="B22" s="23" t="s">
        <v>5</v>
      </c>
      <c r="C22" s="24" t="s">
        <v>6</v>
      </c>
      <c r="D22" s="18"/>
      <c r="E22" s="18"/>
      <c r="F22" s="16"/>
      <c r="G22" s="18"/>
      <c r="H22" s="22"/>
      <c r="I22" s="27"/>
      <c r="J22" s="28"/>
      <c r="L22" s="25"/>
      <c r="M22" s="25"/>
    </row>
    <row r="23" spans="1:13" ht="15.6">
      <c r="A23" s="18"/>
      <c r="B23" s="26">
        <v>1</v>
      </c>
      <c r="C23" s="18" t="s">
        <v>7</v>
      </c>
      <c r="D23" s="18"/>
      <c r="E23" s="18"/>
      <c r="F23" s="16"/>
      <c r="G23" s="18"/>
      <c r="H23" s="22"/>
      <c r="I23" s="27"/>
      <c r="J23" s="28"/>
      <c r="L23" s="25"/>
      <c r="M23" s="25"/>
    </row>
    <row r="24" spans="1:13" ht="15.6">
      <c r="A24" s="18"/>
      <c r="B24" s="26">
        <v>2</v>
      </c>
      <c r="C24" s="18" t="s">
        <v>8</v>
      </c>
      <c r="D24" s="18"/>
      <c r="E24" s="18"/>
      <c r="F24" s="16"/>
      <c r="G24" s="18"/>
      <c r="H24" s="22"/>
      <c r="I24" s="16"/>
      <c r="J24" s="20"/>
    </row>
    <row r="25" spans="1:13" ht="15.6" customHeight="1">
      <c r="A25" s="18"/>
      <c r="B25" s="26">
        <v>3</v>
      </c>
      <c r="C25" s="18" t="s">
        <v>9</v>
      </c>
      <c r="D25" s="18"/>
      <c r="E25" s="18"/>
      <c r="F25" s="16"/>
      <c r="G25" s="18"/>
      <c r="H25" s="22"/>
      <c r="I25" s="27"/>
      <c r="J25" s="28"/>
    </row>
    <row r="26" spans="1:13" ht="15.6">
      <c r="A26" s="18"/>
      <c r="B26" s="26"/>
      <c r="C26" s="45" t="s">
        <v>10</v>
      </c>
      <c r="D26" s="18"/>
      <c r="E26" s="18"/>
      <c r="F26" s="16"/>
      <c r="G26" s="18"/>
      <c r="H26" s="22"/>
      <c r="I26" s="27"/>
      <c r="J26" s="28"/>
    </row>
    <row r="27" spans="1:13" ht="15.6">
      <c r="A27" s="18"/>
      <c r="B27" s="26"/>
      <c r="C27" s="18"/>
      <c r="D27" s="18"/>
      <c r="E27" s="18"/>
      <c r="F27" s="16"/>
      <c r="G27" s="18"/>
      <c r="H27" s="22"/>
      <c r="I27" s="27"/>
      <c r="J27" s="28"/>
    </row>
    <row r="28" spans="1:13" ht="16.149999999999999" customHeight="1">
      <c r="A28" s="18"/>
      <c r="B28" s="29"/>
      <c r="C28" s="30" t="s">
        <v>11</v>
      </c>
      <c r="D28" s="18"/>
      <c r="E28" s="18"/>
      <c r="F28" s="16"/>
      <c r="G28" s="18"/>
      <c r="H28" s="22"/>
      <c r="I28" s="27"/>
      <c r="J28" s="28"/>
    </row>
    <row r="29" spans="1:13" ht="15.6">
      <c r="A29" s="18"/>
      <c r="B29" s="29"/>
      <c r="C29" s="18"/>
      <c r="D29" s="18"/>
      <c r="E29" s="18"/>
      <c r="F29" s="16"/>
      <c r="G29" s="18"/>
      <c r="H29" s="18"/>
      <c r="I29" s="16"/>
      <c r="J29" s="20"/>
    </row>
    <row r="30" spans="1:13" ht="15.6">
      <c r="A30" s="18"/>
      <c r="B30" s="18"/>
      <c r="C30" s="31" t="s">
        <v>12</v>
      </c>
      <c r="D30" s="18"/>
      <c r="E30" s="18"/>
      <c r="F30" s="16"/>
      <c r="G30" s="18"/>
      <c r="H30" s="18"/>
      <c r="I30" s="16"/>
      <c r="J30" s="20"/>
    </row>
    <row r="31" spans="1:13" ht="15.6">
      <c r="A31" s="18"/>
      <c r="B31" s="18"/>
      <c r="C31" s="31" t="s">
        <v>13</v>
      </c>
      <c r="D31" s="18"/>
      <c r="E31" s="16"/>
      <c r="F31" s="16"/>
      <c r="G31" s="18"/>
      <c r="H31" s="18"/>
      <c r="I31" s="16"/>
      <c r="J31" s="20"/>
    </row>
    <row r="32" spans="1:13" ht="15.6">
      <c r="A32" s="18"/>
      <c r="B32" s="18"/>
      <c r="C32" s="18"/>
      <c r="D32" s="18"/>
      <c r="E32" s="18"/>
      <c r="F32" s="18"/>
      <c r="G32" s="18"/>
      <c r="H32" s="18"/>
      <c r="I32" s="18"/>
      <c r="J32" s="20"/>
    </row>
    <row r="33" spans="1:14" ht="15.6">
      <c r="A33" s="18"/>
      <c r="B33" s="18"/>
      <c r="C33" s="18"/>
      <c r="D33" s="18"/>
      <c r="E33" s="18"/>
      <c r="F33" s="18"/>
      <c r="G33" s="18"/>
      <c r="H33" s="18"/>
      <c r="I33" s="18"/>
      <c r="J33" s="20"/>
    </row>
    <row r="34" spans="1:14" ht="22.9">
      <c r="A34" s="75"/>
      <c r="B34" s="76"/>
      <c r="C34" s="76"/>
      <c r="D34" s="76"/>
      <c r="E34" s="76"/>
      <c r="F34" s="76"/>
      <c r="G34" s="76"/>
      <c r="H34" s="76"/>
      <c r="I34" s="76"/>
      <c r="J34" s="77"/>
    </row>
    <row r="36" spans="1:14" ht="21">
      <c r="B36" s="78" t="s">
        <v>14</v>
      </c>
      <c r="C36" s="78"/>
      <c r="D36" s="78"/>
      <c r="E36" s="78"/>
      <c r="F36" s="78"/>
      <c r="G36" s="78"/>
      <c r="H36" s="78"/>
      <c r="I36" s="78"/>
    </row>
    <row r="37" spans="1:14" ht="13.9" customHeight="1">
      <c r="C37" s="5"/>
    </row>
    <row r="38" spans="1:14" ht="22.15" customHeight="1">
      <c r="E38" s="32"/>
      <c r="F38" s="43" t="s">
        <v>15</v>
      </c>
      <c r="G38" s="42">
        <v>45292</v>
      </c>
      <c r="H38" s="43" t="s">
        <v>16</v>
      </c>
      <c r="I38" s="42">
        <v>45657</v>
      </c>
    </row>
    <row r="39" spans="1:14" ht="15" thickBot="1"/>
    <row r="40" spans="1:14" ht="16.149999999999999" thickBot="1">
      <c r="G40" s="41">
        <v>1</v>
      </c>
      <c r="H40" s="41">
        <v>2</v>
      </c>
      <c r="I40" s="41">
        <v>3</v>
      </c>
    </row>
    <row r="41" spans="1:14" ht="35.450000000000003" customHeight="1">
      <c r="B41" s="33" t="s">
        <v>17</v>
      </c>
      <c r="C41" s="33" t="s">
        <v>18</v>
      </c>
      <c r="D41" s="33" t="s">
        <v>19</v>
      </c>
      <c r="E41" s="70" t="s">
        <v>20</v>
      </c>
      <c r="F41" s="71"/>
      <c r="G41" s="34" t="s">
        <v>21</v>
      </c>
      <c r="H41" s="35" t="s">
        <v>22</v>
      </c>
      <c r="I41" s="35" t="s">
        <v>23</v>
      </c>
    </row>
    <row r="42" spans="1:14" ht="19.899999999999999" customHeight="1">
      <c r="B42" s="36">
        <v>1</v>
      </c>
      <c r="C42" s="36" t="s">
        <v>24</v>
      </c>
      <c r="D42" s="40" t="s">
        <v>25</v>
      </c>
      <c r="E42" s="44">
        <v>2</v>
      </c>
      <c r="F42" s="40" t="s">
        <v>26</v>
      </c>
      <c r="G42" s="65">
        <f>NETWORKDAYS.INTL($G$38,$I$38,DEC2BIN(E42,7))</f>
        <v>314</v>
      </c>
      <c r="H42" s="66" cm="1">
        <f t="array" ref="H42">NETWORKDAYS.INTL($G$38,$I$38,DEC2BIN(E42,7),IF('Data Libur'!$B$4:$B$43=C42,'Data Libur'!$D$4:$D$43,99999))</f>
        <v>311</v>
      </c>
      <c r="I42" s="37">
        <f>VLOOKUP(C42,'Data Gaji'!$B:$D,3,0)*(H42-(G42-H42)/10)</f>
        <v>31070000</v>
      </c>
    </row>
    <row r="43" spans="1:14" ht="19.899999999999999" customHeight="1">
      <c r="B43" s="36">
        <v>2</v>
      </c>
      <c r="C43" s="36" t="s">
        <v>27</v>
      </c>
      <c r="D43" s="40" t="s">
        <v>28</v>
      </c>
      <c r="E43" s="44">
        <v>72</v>
      </c>
      <c r="F43" s="40" t="s">
        <v>29</v>
      </c>
      <c r="G43" s="65">
        <f t="shared" ref="G43:G58" si="0">NETWORKDAYS.INTL($G$38,$I$38,DEC2BIN(E43,7))</f>
        <v>261</v>
      </c>
      <c r="H43" s="66" cm="1">
        <f t="array" ref="H43">NETWORKDAYS.INTL($G$38,$I$38,DEC2BIN(E43,7),IF('Data Libur'!$B$4:$B$43=C43,'Data Libur'!$D$4:$D$43,99999))</f>
        <v>258</v>
      </c>
      <c r="I43" s="37">
        <f>VLOOKUP(C43,'Data Gaji'!$B:$D,3,0)*(H43-(G43-H43)/10)</f>
        <v>20358300</v>
      </c>
      <c r="K43" s="10"/>
      <c r="L43" s="10"/>
      <c r="M43" s="10"/>
      <c r="N43" s="10"/>
    </row>
    <row r="44" spans="1:14" ht="19.899999999999999" customHeight="1">
      <c r="B44" s="36">
        <v>3</v>
      </c>
      <c r="C44" s="36" t="s">
        <v>30</v>
      </c>
      <c r="D44" s="40" t="s">
        <v>31</v>
      </c>
      <c r="E44" s="44">
        <v>1</v>
      </c>
      <c r="F44" s="40" t="s">
        <v>32</v>
      </c>
      <c r="G44" s="65">
        <f t="shared" si="0"/>
        <v>314</v>
      </c>
      <c r="H44" s="66" cm="1">
        <f t="array" ref="H44">NETWORKDAYS.INTL($G$38,$I$38,DEC2BIN(E44,7),IF('Data Libur'!$B$4:$B$43=C44,'Data Libur'!$D$4:$D$43,99999))</f>
        <v>310</v>
      </c>
      <c r="I44" s="37">
        <f>VLOOKUP(C44,'Data Gaji'!$B:$D,3,0)*(H44-(G44-H44)/10)</f>
        <v>12384000</v>
      </c>
      <c r="K44" s="10"/>
      <c r="L44" s="10"/>
      <c r="M44" s="10"/>
      <c r="N44" s="10"/>
    </row>
    <row r="45" spans="1:14" ht="19.899999999999999" customHeight="1">
      <c r="B45" s="36">
        <v>4</v>
      </c>
      <c r="C45" s="36" t="s">
        <v>33</v>
      </c>
      <c r="D45" s="40" t="s">
        <v>34</v>
      </c>
      <c r="E45" s="44">
        <v>66</v>
      </c>
      <c r="F45" s="40" t="s">
        <v>35</v>
      </c>
      <c r="G45" s="65">
        <f t="shared" si="0"/>
        <v>261</v>
      </c>
      <c r="H45" s="66" cm="1">
        <f t="array" ref="H45">NETWORKDAYS.INTL($G$38,$I$38,DEC2BIN(E45,7),IF('Data Libur'!$B$4:$B$43=C45,'Data Libur'!$D$4:$D$43,99999))</f>
        <v>259</v>
      </c>
      <c r="I45" s="37">
        <f>VLOOKUP(C45,'Data Gaji'!$B:$D,3,0)*(H45-(G45-H45)/10)</f>
        <v>12940000</v>
      </c>
      <c r="K45" s="10"/>
      <c r="L45" s="10"/>
      <c r="M45" s="10"/>
      <c r="N45" s="10"/>
    </row>
    <row r="46" spans="1:14" ht="19.899999999999999" customHeight="1">
      <c r="B46" s="36">
        <v>5</v>
      </c>
      <c r="C46" s="36" t="s">
        <v>36</v>
      </c>
      <c r="D46" s="40" t="s">
        <v>37</v>
      </c>
      <c r="E46" s="44">
        <v>3</v>
      </c>
      <c r="F46" s="40" t="s">
        <v>38</v>
      </c>
      <c r="G46" s="65">
        <f t="shared" si="0"/>
        <v>262</v>
      </c>
      <c r="H46" s="66" cm="1">
        <f t="array" ref="H46">NETWORKDAYS.INTL($G$38,$I$38,DEC2BIN(E46,7),IF('Data Libur'!$B$4:$B$43=C46,'Data Libur'!$D$4:$D$43,99999))</f>
        <v>261</v>
      </c>
      <c r="I46" s="37">
        <f>VLOOKUP(C46,'Data Gaji'!$B:$D,3,0)*(H46-(G46-H46)/10)</f>
        <v>11218699.999999998</v>
      </c>
    </row>
    <row r="47" spans="1:14" ht="19.899999999999999" customHeight="1">
      <c r="B47" s="36">
        <v>6</v>
      </c>
      <c r="C47" s="36" t="s">
        <v>39</v>
      </c>
      <c r="D47" s="40" t="s">
        <v>40</v>
      </c>
      <c r="E47" s="44">
        <v>8</v>
      </c>
      <c r="F47" s="40" t="s">
        <v>41</v>
      </c>
      <c r="G47" s="65">
        <f t="shared" si="0"/>
        <v>314</v>
      </c>
      <c r="H47" s="66" cm="1">
        <f t="array" ref="H47">NETWORKDAYS.INTL($G$38,$I$38,DEC2BIN(E47,7),IF('Data Libur'!$B$4:$B$43=C47,'Data Libur'!$D$4:$D$43,99999))</f>
        <v>310</v>
      </c>
      <c r="I47" s="37">
        <f>VLOOKUP(C47,'Data Gaji'!$B:$D,3,0)*(H47-(G47-H47)/10)</f>
        <v>37152000</v>
      </c>
    </row>
    <row r="48" spans="1:14" ht="19.899999999999999" customHeight="1">
      <c r="B48" s="36">
        <v>7</v>
      </c>
      <c r="C48" s="36" t="s">
        <v>42</v>
      </c>
      <c r="D48" s="40" t="s">
        <v>43</v>
      </c>
      <c r="E48" s="44">
        <v>65</v>
      </c>
      <c r="F48" s="40" t="s">
        <v>44</v>
      </c>
      <c r="G48" s="65">
        <f t="shared" si="0"/>
        <v>261</v>
      </c>
      <c r="H48" s="66" cm="1">
        <f t="array" ref="H48">NETWORKDAYS.INTL($G$38,$I$38,DEC2BIN(E48,7),IF('Data Libur'!$B$4:$B$43=C48,'Data Libur'!$D$4:$D$43,99999))</f>
        <v>259</v>
      </c>
      <c r="I48" s="37">
        <f>VLOOKUP(C48,'Data Gaji'!$B:$D,3,0)*(H48-(G48-H48)/10)</f>
        <v>30279600</v>
      </c>
    </row>
    <row r="49" spans="1:13" ht="19.899999999999999" customHeight="1">
      <c r="B49" s="36">
        <v>8</v>
      </c>
      <c r="C49" s="36" t="s">
        <v>45</v>
      </c>
      <c r="D49" s="40" t="s">
        <v>46</v>
      </c>
      <c r="E49" s="44">
        <v>2</v>
      </c>
      <c r="F49" s="40" t="s">
        <v>26</v>
      </c>
      <c r="G49" s="65">
        <f t="shared" si="0"/>
        <v>314</v>
      </c>
      <c r="H49" s="66" cm="1">
        <f t="array" ref="H49">NETWORKDAYS.INTL($G$38,$I$38,DEC2BIN(E49,7),IF('Data Libur'!$B$4:$B$43=C49,'Data Libur'!$D$4:$D$43,99999))</f>
        <v>311</v>
      </c>
      <c r="I49" s="37">
        <f>VLOOKUP(C49,'Data Gaji'!$B:$D,3,0)*(H49-(G49-H49)/10)</f>
        <v>18642000</v>
      </c>
    </row>
    <row r="50" spans="1:13" ht="19.899999999999999" customHeight="1">
      <c r="B50" s="36">
        <v>9</v>
      </c>
      <c r="C50" s="36" t="s">
        <v>47</v>
      </c>
      <c r="D50" s="40" t="s">
        <v>48</v>
      </c>
      <c r="E50" s="44">
        <v>64</v>
      </c>
      <c r="F50" s="40" t="s">
        <v>49</v>
      </c>
      <c r="G50" s="65">
        <f t="shared" si="0"/>
        <v>313</v>
      </c>
      <c r="H50" s="66" cm="1">
        <f t="array" ref="H50">NETWORKDAYS.INTL($G$38,$I$38,DEC2BIN(E50,7),IF('Data Libur'!$B$4:$B$43=C50,'Data Libur'!$D$4:$D$43,99999))</f>
        <v>310</v>
      </c>
      <c r="I50" s="37">
        <f>VLOOKUP(C50,'Data Gaji'!$B:$D,3,0)*(H50-(G50-H50)/10)</f>
        <v>37164000</v>
      </c>
    </row>
    <row r="51" spans="1:13" ht="19.899999999999999" customHeight="1">
      <c r="B51" s="36">
        <v>10</v>
      </c>
      <c r="C51" s="36" t="s">
        <v>50</v>
      </c>
      <c r="D51" s="40" t="s">
        <v>51</v>
      </c>
      <c r="E51" s="44">
        <v>1</v>
      </c>
      <c r="F51" s="40" t="s">
        <v>32</v>
      </c>
      <c r="G51" s="65">
        <f t="shared" si="0"/>
        <v>314</v>
      </c>
      <c r="H51" s="66" cm="1">
        <f t="array" ref="H51">NETWORKDAYS.INTL($G$38,$I$38,DEC2BIN(E51,7),IF('Data Libur'!$B$4:$B$43=C51,'Data Libur'!$D$4:$D$43,99999))</f>
        <v>313</v>
      </c>
      <c r="I51" s="37">
        <f>VLOOKUP(C51,'Data Gaji'!$B:$D,3,0)*(H51-(G51-H51)/10)</f>
        <v>31602899.999999996</v>
      </c>
    </row>
    <row r="52" spans="1:13" ht="19.899999999999999" customHeight="1">
      <c r="B52" s="36">
        <v>11</v>
      </c>
      <c r="C52" s="36" t="s">
        <v>52</v>
      </c>
      <c r="D52" s="40" t="s">
        <v>53</v>
      </c>
      <c r="E52" s="44">
        <v>1</v>
      </c>
      <c r="F52" s="40" t="s">
        <v>32</v>
      </c>
      <c r="G52" s="65">
        <f t="shared" si="0"/>
        <v>314</v>
      </c>
      <c r="H52" s="66" cm="1">
        <f t="array" ref="H52">NETWORKDAYS.INTL($G$38,$I$38,DEC2BIN(E52,7),IF('Data Libur'!$B$4:$B$43=C52,'Data Libur'!$D$4:$D$43,99999))</f>
        <v>313</v>
      </c>
      <c r="I52" s="37">
        <f>VLOOKUP(C52,'Data Gaji'!$B:$D,3,0)*(H52-(G52-H52)/10)</f>
        <v>13767599.999999998</v>
      </c>
    </row>
    <row r="53" spans="1:13" ht="19.899999999999999" customHeight="1">
      <c r="B53" s="36">
        <v>12</v>
      </c>
      <c r="C53" s="36" t="s">
        <v>54</v>
      </c>
      <c r="D53" s="40" t="s">
        <v>55</v>
      </c>
      <c r="E53" s="44">
        <v>1</v>
      </c>
      <c r="F53" s="40" t="s">
        <v>32</v>
      </c>
      <c r="G53" s="65">
        <f t="shared" si="0"/>
        <v>314</v>
      </c>
      <c r="H53" s="66" cm="1">
        <f t="array" ref="H53">NETWORKDAYS.INTL($G$38,$I$38,DEC2BIN(E53,7),IF('Data Libur'!$B$4:$B$43=C53,'Data Libur'!$D$4:$D$43,99999))</f>
        <v>313</v>
      </c>
      <c r="I53" s="37">
        <f>VLOOKUP(C53,'Data Gaji'!$B:$D,3,0)*(H53-(G53-H53)/10)</f>
        <v>25970699.999999996</v>
      </c>
    </row>
    <row r="54" spans="1:13" ht="19.899999999999999" customHeight="1">
      <c r="B54" s="36">
        <v>13</v>
      </c>
      <c r="C54" s="36" t="s">
        <v>56</v>
      </c>
      <c r="D54" s="40" t="s">
        <v>57</v>
      </c>
      <c r="E54" s="44">
        <v>73</v>
      </c>
      <c r="F54" s="40" t="s">
        <v>58</v>
      </c>
      <c r="G54" s="65">
        <f t="shared" si="0"/>
        <v>209</v>
      </c>
      <c r="H54" s="66" cm="1">
        <f t="array" ref="H54">NETWORKDAYS.INTL($G$38,$I$38,DEC2BIN(E54,7),IF('Data Libur'!$B$4:$B$43=C54,'Data Libur'!$D$4:$D$43,99999))</f>
        <v>208</v>
      </c>
      <c r="I54" s="37">
        <f>VLOOKUP(C54,'Data Gaji'!$B:$D,3,0)*(H54-(G54-H54)/10)</f>
        <v>22869000</v>
      </c>
    </row>
    <row r="55" spans="1:13" ht="19.899999999999999" customHeight="1">
      <c r="B55" s="36">
        <v>14</v>
      </c>
      <c r="C55" s="36" t="s">
        <v>59</v>
      </c>
      <c r="D55" s="40" t="s">
        <v>60</v>
      </c>
      <c r="E55" s="44">
        <v>3</v>
      </c>
      <c r="F55" s="40" t="s">
        <v>38</v>
      </c>
      <c r="G55" s="65">
        <f t="shared" si="0"/>
        <v>262</v>
      </c>
      <c r="H55" s="66" cm="1">
        <f t="array" ref="H55">NETWORKDAYS.INTL($G$38,$I$38,DEC2BIN(E55,7),IF('Data Libur'!$B$4:$B$43=C55,'Data Libur'!$D$4:$D$43,99999))</f>
        <v>259</v>
      </c>
      <c r="I55" s="37">
        <f>VLOOKUP(C55,'Data Gaji'!$B:$D,3,0)*(H55-(G55-H55)/10)</f>
        <v>14745900</v>
      </c>
    </row>
    <row r="56" spans="1:13" ht="19.899999999999999" customHeight="1">
      <c r="B56" s="36">
        <v>15</v>
      </c>
      <c r="C56" s="36" t="s">
        <v>61</v>
      </c>
      <c r="D56" s="40" t="s">
        <v>62</v>
      </c>
      <c r="E56" s="44">
        <v>20</v>
      </c>
      <c r="F56" s="40" t="s">
        <v>63</v>
      </c>
      <c r="G56" s="65">
        <f t="shared" si="0"/>
        <v>262</v>
      </c>
      <c r="H56" s="66" cm="1">
        <f t="array" ref="H56">NETWORKDAYS.INTL($G$38,$I$38,DEC2BIN(E56,7),IF('Data Libur'!$B$4:$B$43=C56,'Data Libur'!$D$4:$D$43,99999))</f>
        <v>259</v>
      </c>
      <c r="I56" s="37">
        <f>VLOOKUP(C56,'Data Gaji'!$B:$D,3,0)*(H56-(G56-H56)/10)</f>
        <v>18367700</v>
      </c>
    </row>
    <row r="57" spans="1:13" ht="19.899999999999999" customHeight="1">
      <c r="B57" s="36">
        <v>16</v>
      </c>
      <c r="C57" s="36" t="s">
        <v>64</v>
      </c>
      <c r="D57" s="40" t="s">
        <v>65</v>
      </c>
      <c r="E57" s="44">
        <v>6</v>
      </c>
      <c r="F57" s="40" t="s">
        <v>66</v>
      </c>
      <c r="G57" s="65">
        <f t="shared" si="0"/>
        <v>262</v>
      </c>
      <c r="H57" s="66" cm="1">
        <f t="array" ref="H57">NETWORKDAYS.INTL($G$38,$I$38,DEC2BIN(E57,7),IF('Data Libur'!$B$4:$B$43=C57,'Data Libur'!$D$4:$D$43,99999))</f>
        <v>260</v>
      </c>
      <c r="I57" s="37">
        <f>VLOOKUP(C57,'Data Gaji'!$B:$D,3,0)*(H57-(G57-H57)/10)</f>
        <v>19225200</v>
      </c>
      <c r="J57" s="6"/>
    </row>
    <row r="58" spans="1:13" ht="19.899999999999999" customHeight="1">
      <c r="B58" s="36">
        <v>17</v>
      </c>
      <c r="C58" s="36" t="s">
        <v>67</v>
      </c>
      <c r="D58" s="40" t="s">
        <v>68</v>
      </c>
      <c r="E58" s="44">
        <v>3</v>
      </c>
      <c r="F58" s="40" t="s">
        <v>38</v>
      </c>
      <c r="G58" s="65">
        <f t="shared" si="0"/>
        <v>262</v>
      </c>
      <c r="H58" s="66" cm="1">
        <f t="array" ref="H58">NETWORKDAYS.INTL($G$38,$I$38,DEC2BIN(E58,7),IF('Data Libur'!$B$4:$B$43=C58,'Data Libur'!$D$4:$D$43,99999))</f>
        <v>260</v>
      </c>
      <c r="I58" s="37">
        <f>VLOOKUP(C58,'Data Gaji'!$B:$D,3,0)*(H58-(G58-H58)/10)</f>
        <v>16627200</v>
      </c>
    </row>
    <row r="59" spans="1:13" ht="19.899999999999999" customHeight="1">
      <c r="H59" s="38" t="s">
        <v>69</v>
      </c>
      <c r="I59" s="39">
        <f>SUM(I42:I58)</f>
        <v>374384800</v>
      </c>
      <c r="J59" s="11"/>
      <c r="K59" s="11"/>
      <c r="L59" s="11"/>
      <c r="M59" s="11"/>
    </row>
    <row r="60" spans="1:13" ht="15" customHeight="1">
      <c r="K60" s="11"/>
    </row>
    <row r="61" spans="1:13" ht="15" customHeight="1">
      <c r="K61" s="11"/>
    </row>
    <row r="62" spans="1:13">
      <c r="K62" s="11"/>
    </row>
    <row r="63" spans="1:13">
      <c r="A63" s="67" t="s">
        <v>70</v>
      </c>
      <c r="B63" s="67"/>
      <c r="C63" s="67"/>
      <c r="D63" s="67"/>
      <c r="E63" s="67"/>
      <c r="F63" s="67"/>
      <c r="G63" s="67"/>
      <c r="H63" s="67"/>
      <c r="I63" s="67"/>
      <c r="J63" s="67"/>
      <c r="K63" s="11"/>
    </row>
    <row r="64" spans="1:13">
      <c r="K64" s="11"/>
    </row>
    <row r="65" spans="11:11">
      <c r="K65" s="11"/>
    </row>
  </sheetData>
  <mergeCells count="7">
    <mergeCell ref="A63:J63"/>
    <mergeCell ref="A16:B16"/>
    <mergeCell ref="E16:F16"/>
    <mergeCell ref="E41:F41"/>
    <mergeCell ref="A18:J18"/>
    <mergeCell ref="A34:J34"/>
    <mergeCell ref="B36:I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5627-014B-4125-87DD-700CF095AABB}">
  <sheetPr codeName="Sheet2"/>
  <dimension ref="A1:E43"/>
  <sheetViews>
    <sheetView workbookViewId="0">
      <selection activeCell="A26" sqref="A26"/>
    </sheetView>
  </sheetViews>
  <sheetFormatPr defaultRowHeight="14.45"/>
  <cols>
    <col min="1" max="1" width="3.28515625" bestFit="1" customWidth="1"/>
    <col min="2" max="2" width="11.28515625" customWidth="1"/>
    <col min="3" max="3" width="17.28515625" customWidth="1"/>
    <col min="4" max="4" width="16.7109375" customWidth="1"/>
    <col min="5" max="5" width="17.28515625" customWidth="1"/>
    <col min="6" max="6" width="9.85546875" customWidth="1"/>
  </cols>
  <sheetData>
    <row r="1" spans="1:5" ht="23.45">
      <c r="B1" s="7" t="s">
        <v>71</v>
      </c>
    </row>
    <row r="3" spans="1:5" ht="19.149999999999999" customHeight="1">
      <c r="A3" s="1" t="s">
        <v>17</v>
      </c>
      <c r="B3" s="1" t="s">
        <v>18</v>
      </c>
      <c r="C3" s="1" t="s">
        <v>19</v>
      </c>
      <c r="D3" s="1" t="s">
        <v>72</v>
      </c>
      <c r="E3" s="1" t="s">
        <v>73</v>
      </c>
    </row>
    <row r="4" spans="1:5">
      <c r="A4">
        <v>1</v>
      </c>
      <c r="B4" t="s">
        <v>30</v>
      </c>
      <c r="C4" t="s">
        <v>31</v>
      </c>
      <c r="D4" s="4">
        <v>45309</v>
      </c>
      <c r="E4" t="s">
        <v>74</v>
      </c>
    </row>
    <row r="5" spans="1:5">
      <c r="A5">
        <v>2</v>
      </c>
      <c r="B5" t="s">
        <v>24</v>
      </c>
      <c r="C5" t="s">
        <v>25</v>
      </c>
      <c r="D5" s="4">
        <v>45320</v>
      </c>
      <c r="E5" t="s">
        <v>75</v>
      </c>
    </row>
    <row r="6" spans="1:5">
      <c r="A6">
        <v>3</v>
      </c>
      <c r="B6" t="s">
        <v>54</v>
      </c>
      <c r="C6" t="s">
        <v>55</v>
      </c>
      <c r="D6" s="4">
        <v>45328</v>
      </c>
      <c r="E6" t="s">
        <v>76</v>
      </c>
    </row>
    <row r="7" spans="1:5">
      <c r="A7">
        <v>4</v>
      </c>
      <c r="B7" t="s">
        <v>45</v>
      </c>
      <c r="C7" t="s">
        <v>46</v>
      </c>
      <c r="D7" s="4">
        <v>45329</v>
      </c>
      <c r="E7" t="s">
        <v>75</v>
      </c>
    </row>
    <row r="8" spans="1:5">
      <c r="A8">
        <v>5</v>
      </c>
      <c r="B8" t="s">
        <v>30</v>
      </c>
      <c r="C8" t="s">
        <v>31</v>
      </c>
      <c r="D8" s="4">
        <v>45334</v>
      </c>
      <c r="E8" t="s">
        <v>76</v>
      </c>
    </row>
    <row r="9" spans="1:5">
      <c r="A9">
        <v>6</v>
      </c>
      <c r="B9" t="s">
        <v>33</v>
      </c>
      <c r="C9" t="s">
        <v>34</v>
      </c>
      <c r="D9" s="4">
        <v>45361</v>
      </c>
      <c r="E9" t="s">
        <v>76</v>
      </c>
    </row>
    <row r="10" spans="1:5">
      <c r="A10">
        <v>7</v>
      </c>
      <c r="B10" t="s">
        <v>27</v>
      </c>
      <c r="C10" t="s">
        <v>28</v>
      </c>
      <c r="D10" s="4">
        <v>45387</v>
      </c>
      <c r="E10" t="s">
        <v>75</v>
      </c>
    </row>
    <row r="11" spans="1:5">
      <c r="A11">
        <v>8</v>
      </c>
      <c r="B11" t="s">
        <v>61</v>
      </c>
      <c r="C11" t="s">
        <v>62</v>
      </c>
      <c r="D11" s="4">
        <v>45395</v>
      </c>
      <c r="E11" t="s">
        <v>75</v>
      </c>
    </row>
    <row r="12" spans="1:5">
      <c r="A12">
        <v>9</v>
      </c>
      <c r="B12" t="s">
        <v>52</v>
      </c>
      <c r="C12" t="s">
        <v>53</v>
      </c>
      <c r="D12" s="4">
        <v>45411</v>
      </c>
      <c r="E12" t="s">
        <v>75</v>
      </c>
    </row>
    <row r="13" spans="1:5">
      <c r="A13">
        <v>10</v>
      </c>
      <c r="B13" t="s">
        <v>42</v>
      </c>
      <c r="C13" t="s">
        <v>43</v>
      </c>
      <c r="D13" s="4">
        <v>45415</v>
      </c>
      <c r="E13" t="s">
        <v>74</v>
      </c>
    </row>
    <row r="14" spans="1:5">
      <c r="A14">
        <v>11</v>
      </c>
      <c r="B14" t="s">
        <v>59</v>
      </c>
      <c r="C14" t="s">
        <v>60</v>
      </c>
      <c r="D14" s="4">
        <v>45422</v>
      </c>
      <c r="E14" t="s">
        <v>75</v>
      </c>
    </row>
    <row r="15" spans="1:5">
      <c r="A15">
        <v>12</v>
      </c>
      <c r="B15" t="s">
        <v>39</v>
      </c>
      <c r="C15" t="s">
        <v>40</v>
      </c>
      <c r="D15" s="4">
        <v>45438</v>
      </c>
      <c r="E15" t="s">
        <v>76</v>
      </c>
    </row>
    <row r="16" spans="1:5">
      <c r="A16">
        <v>13</v>
      </c>
      <c r="B16" t="s">
        <v>33</v>
      </c>
      <c r="C16" t="s">
        <v>34</v>
      </c>
      <c r="D16" s="4">
        <v>45443</v>
      </c>
      <c r="E16" t="s">
        <v>76</v>
      </c>
    </row>
    <row r="17" spans="1:5">
      <c r="A17">
        <v>14</v>
      </c>
      <c r="B17" t="s">
        <v>59</v>
      </c>
      <c r="C17" t="s">
        <v>60</v>
      </c>
      <c r="D17" s="4">
        <v>45447</v>
      </c>
      <c r="E17" t="s">
        <v>74</v>
      </c>
    </row>
    <row r="18" spans="1:5">
      <c r="A18">
        <v>15</v>
      </c>
      <c r="B18" t="s">
        <v>39</v>
      </c>
      <c r="C18" t="s">
        <v>40</v>
      </c>
      <c r="D18" s="4">
        <v>45452</v>
      </c>
      <c r="E18" t="s">
        <v>76</v>
      </c>
    </row>
    <row r="19" spans="1:5">
      <c r="A19">
        <v>16</v>
      </c>
      <c r="B19" t="s">
        <v>59</v>
      </c>
      <c r="C19" t="s">
        <v>60</v>
      </c>
      <c r="D19" s="4">
        <v>45477</v>
      </c>
      <c r="E19" t="s">
        <v>76</v>
      </c>
    </row>
    <row r="20" spans="1:5">
      <c r="A20">
        <v>17</v>
      </c>
      <c r="B20" t="s">
        <v>56</v>
      </c>
      <c r="C20" t="s">
        <v>57</v>
      </c>
      <c r="D20" s="4">
        <v>45483</v>
      </c>
      <c r="E20" t="s">
        <v>75</v>
      </c>
    </row>
    <row r="21" spans="1:5">
      <c r="A21">
        <v>18</v>
      </c>
      <c r="B21" t="s">
        <v>30</v>
      </c>
      <c r="C21" t="s">
        <v>31</v>
      </c>
      <c r="D21" s="4">
        <v>45486</v>
      </c>
      <c r="E21" t="s">
        <v>74</v>
      </c>
    </row>
    <row r="22" spans="1:5">
      <c r="A22">
        <v>19</v>
      </c>
      <c r="B22" t="s">
        <v>64</v>
      </c>
      <c r="C22" t="s">
        <v>65</v>
      </c>
      <c r="D22" s="4">
        <v>45490</v>
      </c>
      <c r="E22" t="s">
        <v>74</v>
      </c>
    </row>
    <row r="23" spans="1:5">
      <c r="A23">
        <v>20</v>
      </c>
      <c r="B23" t="s">
        <v>67</v>
      </c>
      <c r="C23" t="s">
        <v>68</v>
      </c>
      <c r="D23" s="4">
        <v>45510</v>
      </c>
      <c r="E23" t="s">
        <v>75</v>
      </c>
    </row>
    <row r="24" spans="1:5">
      <c r="A24">
        <v>21</v>
      </c>
      <c r="B24" t="s">
        <v>30</v>
      </c>
      <c r="C24" t="s">
        <v>31</v>
      </c>
      <c r="D24" s="4">
        <v>45517</v>
      </c>
      <c r="E24" t="s">
        <v>76</v>
      </c>
    </row>
    <row r="25" spans="1:5">
      <c r="A25">
        <v>22</v>
      </c>
      <c r="B25" t="s">
        <v>27</v>
      </c>
      <c r="C25" t="s">
        <v>28</v>
      </c>
      <c r="D25" s="4">
        <v>45518</v>
      </c>
      <c r="E25" t="s">
        <v>74</v>
      </c>
    </row>
    <row r="26" spans="1:5">
      <c r="A26">
        <v>23</v>
      </c>
      <c r="B26" t="s">
        <v>64</v>
      </c>
      <c r="C26" t="s">
        <v>65</v>
      </c>
      <c r="D26" s="4">
        <v>45527</v>
      </c>
      <c r="E26" t="s">
        <v>74</v>
      </c>
    </row>
    <row r="27" spans="1:5">
      <c r="A27">
        <v>24</v>
      </c>
      <c r="B27" t="s">
        <v>24</v>
      </c>
      <c r="C27" t="s">
        <v>25</v>
      </c>
      <c r="D27" s="4">
        <v>45529</v>
      </c>
      <c r="E27" t="s">
        <v>74</v>
      </c>
    </row>
    <row r="28" spans="1:5">
      <c r="A28">
        <v>25</v>
      </c>
      <c r="B28" t="s">
        <v>50</v>
      </c>
      <c r="C28" t="s">
        <v>51</v>
      </c>
      <c r="D28" s="4">
        <v>45539</v>
      </c>
      <c r="E28" t="s">
        <v>74</v>
      </c>
    </row>
    <row r="29" spans="1:5">
      <c r="A29">
        <v>26</v>
      </c>
      <c r="B29" t="s">
        <v>67</v>
      </c>
      <c r="C29" t="s">
        <v>68</v>
      </c>
      <c r="D29" s="4">
        <v>45548</v>
      </c>
      <c r="E29" t="s">
        <v>75</v>
      </c>
    </row>
    <row r="30" spans="1:5">
      <c r="A30">
        <v>27</v>
      </c>
      <c r="B30" t="s">
        <v>61</v>
      </c>
      <c r="C30" t="s">
        <v>62</v>
      </c>
      <c r="D30" s="4">
        <v>45551</v>
      </c>
      <c r="E30" t="s">
        <v>76</v>
      </c>
    </row>
    <row r="31" spans="1:5">
      <c r="A31">
        <v>28</v>
      </c>
      <c r="B31" t="s">
        <v>47</v>
      </c>
      <c r="C31" t="s">
        <v>48</v>
      </c>
      <c r="D31" s="4">
        <v>45555</v>
      </c>
      <c r="E31" t="s">
        <v>74</v>
      </c>
    </row>
    <row r="32" spans="1:5">
      <c r="A32">
        <v>29</v>
      </c>
      <c r="B32" t="s">
        <v>47</v>
      </c>
      <c r="C32" t="s">
        <v>48</v>
      </c>
      <c r="D32" s="4">
        <v>45568</v>
      </c>
      <c r="E32" t="s">
        <v>75</v>
      </c>
    </row>
    <row r="33" spans="1:5">
      <c r="A33">
        <v>30</v>
      </c>
      <c r="B33" t="s">
        <v>47</v>
      </c>
      <c r="C33" t="s">
        <v>48</v>
      </c>
      <c r="D33" s="4">
        <v>45585</v>
      </c>
      <c r="E33" t="s">
        <v>76</v>
      </c>
    </row>
    <row r="34" spans="1:5">
      <c r="A34">
        <v>31</v>
      </c>
      <c r="B34" t="s">
        <v>36</v>
      </c>
      <c r="C34" t="s">
        <v>37</v>
      </c>
      <c r="D34" s="4">
        <v>45596</v>
      </c>
      <c r="E34" t="s">
        <v>74</v>
      </c>
    </row>
    <row r="35" spans="1:5">
      <c r="A35">
        <v>32</v>
      </c>
      <c r="B35" t="s">
        <v>24</v>
      </c>
      <c r="C35" t="s">
        <v>25</v>
      </c>
      <c r="D35" s="4">
        <v>45608</v>
      </c>
      <c r="E35" t="s">
        <v>75</v>
      </c>
    </row>
    <row r="36" spans="1:5">
      <c r="A36">
        <v>33</v>
      </c>
      <c r="B36" t="s">
        <v>39</v>
      </c>
      <c r="C36" t="s">
        <v>40</v>
      </c>
      <c r="D36" s="4">
        <v>45616</v>
      </c>
      <c r="E36" t="s">
        <v>75</v>
      </c>
    </row>
    <row r="37" spans="1:5">
      <c r="A37">
        <v>34</v>
      </c>
      <c r="B37" t="s">
        <v>42</v>
      </c>
      <c r="C37" t="s">
        <v>43</v>
      </c>
      <c r="D37" s="4">
        <v>45619</v>
      </c>
      <c r="E37" t="s">
        <v>75</v>
      </c>
    </row>
    <row r="38" spans="1:5">
      <c r="A38">
        <v>35</v>
      </c>
      <c r="B38" t="s">
        <v>39</v>
      </c>
      <c r="C38" t="s">
        <v>40</v>
      </c>
      <c r="D38" s="4">
        <v>45622</v>
      </c>
      <c r="E38" t="s">
        <v>76</v>
      </c>
    </row>
    <row r="39" spans="1:5">
      <c r="A39">
        <v>36</v>
      </c>
      <c r="B39" t="s">
        <v>45</v>
      </c>
      <c r="C39" t="s">
        <v>46</v>
      </c>
      <c r="D39" s="4">
        <v>45623</v>
      </c>
      <c r="E39" t="s">
        <v>74</v>
      </c>
    </row>
    <row r="40" spans="1:5">
      <c r="A40">
        <v>37</v>
      </c>
      <c r="B40" t="s">
        <v>27</v>
      </c>
      <c r="C40" t="s">
        <v>28</v>
      </c>
      <c r="D40" s="4">
        <v>45625</v>
      </c>
      <c r="E40" t="s">
        <v>74</v>
      </c>
    </row>
    <row r="41" spans="1:5">
      <c r="A41">
        <v>38</v>
      </c>
      <c r="B41" t="s">
        <v>45</v>
      </c>
      <c r="C41" t="s">
        <v>46</v>
      </c>
      <c r="D41" s="4">
        <v>45628</v>
      </c>
      <c r="E41" t="s">
        <v>75</v>
      </c>
    </row>
    <row r="42" spans="1:5">
      <c r="A42">
        <v>39</v>
      </c>
      <c r="B42" t="s">
        <v>61</v>
      </c>
      <c r="C42" t="s">
        <v>62</v>
      </c>
      <c r="D42" s="4">
        <v>45631</v>
      </c>
      <c r="E42" t="s">
        <v>76</v>
      </c>
    </row>
    <row r="43" spans="1:5">
      <c r="A43">
        <v>40</v>
      </c>
      <c r="B43" t="s">
        <v>64</v>
      </c>
      <c r="C43" t="s">
        <v>65</v>
      </c>
      <c r="D43" s="4">
        <v>45642</v>
      </c>
      <c r="E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368C-6AB3-4DFD-B4C1-FE5BD4BF524E}">
  <sheetPr codeName="Sheet3"/>
  <dimension ref="A2:E19"/>
  <sheetViews>
    <sheetView workbookViewId="0">
      <selection activeCell="G33" sqref="G33"/>
    </sheetView>
  </sheetViews>
  <sheetFormatPr defaultRowHeight="14.45"/>
  <cols>
    <col min="2" max="2" width="12.7109375" customWidth="1"/>
    <col min="3" max="3" width="20.28515625" customWidth="1"/>
    <col min="4" max="4" width="19.28515625" customWidth="1"/>
    <col min="5" max="5" width="25.140625" customWidth="1"/>
  </cols>
  <sheetData>
    <row r="2" spans="1:5" ht="22.15" customHeight="1">
      <c r="A2" s="1" t="s">
        <v>17</v>
      </c>
      <c r="B2" s="1" t="s">
        <v>18</v>
      </c>
      <c r="C2" s="1" t="s">
        <v>19</v>
      </c>
      <c r="D2" s="1" t="s">
        <v>77</v>
      </c>
      <c r="E2" s="1" t="s">
        <v>78</v>
      </c>
    </row>
    <row r="3" spans="1:5">
      <c r="A3" s="2">
        <v>1</v>
      </c>
      <c r="B3" s="2" t="s">
        <v>24</v>
      </c>
      <c r="C3" s="3" t="s">
        <v>25</v>
      </c>
      <c r="D3" s="8">
        <v>100000</v>
      </c>
      <c r="E3" s="8">
        <v>10000</v>
      </c>
    </row>
    <row r="4" spans="1:5">
      <c r="A4" s="2">
        <v>2</v>
      </c>
      <c r="B4" s="2" t="s">
        <v>27</v>
      </c>
      <c r="C4" s="3" t="s">
        <v>28</v>
      </c>
      <c r="D4" s="8">
        <v>79000</v>
      </c>
      <c r="E4" s="8">
        <v>7900</v>
      </c>
    </row>
    <row r="5" spans="1:5">
      <c r="A5" s="2">
        <v>3</v>
      </c>
      <c r="B5" s="2" t="s">
        <v>30</v>
      </c>
      <c r="C5" s="3" t="s">
        <v>31</v>
      </c>
      <c r="D5" s="8">
        <v>40000</v>
      </c>
      <c r="E5" s="8">
        <v>4000</v>
      </c>
    </row>
    <row r="6" spans="1:5">
      <c r="A6" s="2">
        <v>4</v>
      </c>
      <c r="B6" s="2" t="s">
        <v>33</v>
      </c>
      <c r="C6" s="3" t="s">
        <v>34</v>
      </c>
      <c r="D6" s="8">
        <v>50000</v>
      </c>
      <c r="E6" s="8">
        <v>5000</v>
      </c>
    </row>
    <row r="7" spans="1:5">
      <c r="A7" s="2">
        <v>5</v>
      </c>
      <c r="B7" s="2" t="s">
        <v>36</v>
      </c>
      <c r="C7" s="3" t="s">
        <v>37</v>
      </c>
      <c r="D7" s="8">
        <v>43000</v>
      </c>
      <c r="E7" s="8">
        <v>4300</v>
      </c>
    </row>
    <row r="8" spans="1:5">
      <c r="A8" s="2">
        <v>6</v>
      </c>
      <c r="B8" s="2" t="s">
        <v>39</v>
      </c>
      <c r="C8" s="3" t="s">
        <v>40</v>
      </c>
      <c r="D8" s="8">
        <v>120000</v>
      </c>
      <c r="E8" s="8">
        <v>12000</v>
      </c>
    </row>
    <row r="9" spans="1:5">
      <c r="A9" s="2">
        <v>7</v>
      </c>
      <c r="B9" s="2" t="s">
        <v>42</v>
      </c>
      <c r="C9" s="3" t="s">
        <v>43</v>
      </c>
      <c r="D9" s="8">
        <v>117000</v>
      </c>
      <c r="E9" s="8">
        <v>11700</v>
      </c>
    </row>
    <row r="10" spans="1:5">
      <c r="A10" s="2">
        <v>8</v>
      </c>
      <c r="B10" s="2" t="s">
        <v>45</v>
      </c>
      <c r="C10" s="3" t="s">
        <v>46</v>
      </c>
      <c r="D10" s="8">
        <v>60000</v>
      </c>
      <c r="E10" s="8">
        <v>6000</v>
      </c>
    </row>
    <row r="11" spans="1:5">
      <c r="A11" s="2">
        <v>9</v>
      </c>
      <c r="B11" s="2" t="s">
        <v>47</v>
      </c>
      <c r="C11" s="3" t="s">
        <v>48</v>
      </c>
      <c r="D11" s="8">
        <v>120000</v>
      </c>
      <c r="E11" s="8">
        <v>12000</v>
      </c>
    </row>
    <row r="12" spans="1:5">
      <c r="A12" s="2">
        <v>10</v>
      </c>
      <c r="B12" s="2" t="s">
        <v>50</v>
      </c>
      <c r="C12" s="3" t="s">
        <v>51</v>
      </c>
      <c r="D12" s="8">
        <v>101000</v>
      </c>
      <c r="E12" s="8">
        <v>10100</v>
      </c>
    </row>
    <row r="13" spans="1:5">
      <c r="A13" s="2">
        <v>11</v>
      </c>
      <c r="B13" s="2" t="s">
        <v>52</v>
      </c>
      <c r="C13" s="3" t="s">
        <v>53</v>
      </c>
      <c r="D13" s="8">
        <v>44000</v>
      </c>
      <c r="E13" s="8">
        <v>4400</v>
      </c>
    </row>
    <row r="14" spans="1:5">
      <c r="A14" s="2">
        <v>12</v>
      </c>
      <c r="B14" s="2" t="s">
        <v>54</v>
      </c>
      <c r="C14" s="3" t="s">
        <v>55</v>
      </c>
      <c r="D14" s="8">
        <v>83000</v>
      </c>
      <c r="E14" s="8">
        <v>8300</v>
      </c>
    </row>
    <row r="15" spans="1:5">
      <c r="A15" s="2">
        <v>13</v>
      </c>
      <c r="B15" s="2" t="s">
        <v>56</v>
      </c>
      <c r="C15" s="3" t="s">
        <v>57</v>
      </c>
      <c r="D15" s="8">
        <v>110000</v>
      </c>
      <c r="E15" s="8">
        <v>11000</v>
      </c>
    </row>
    <row r="16" spans="1:5">
      <c r="A16" s="2">
        <v>14</v>
      </c>
      <c r="B16" s="2" t="s">
        <v>59</v>
      </c>
      <c r="C16" s="3" t="s">
        <v>60</v>
      </c>
      <c r="D16" s="8">
        <v>57000</v>
      </c>
      <c r="E16" s="8">
        <v>5700</v>
      </c>
    </row>
    <row r="17" spans="1:5">
      <c r="A17" s="2">
        <v>15</v>
      </c>
      <c r="B17" s="2" t="s">
        <v>61</v>
      </c>
      <c r="C17" s="3" t="s">
        <v>62</v>
      </c>
      <c r="D17" s="8">
        <v>71000</v>
      </c>
      <c r="E17" s="8">
        <v>7100</v>
      </c>
    </row>
    <row r="18" spans="1:5">
      <c r="A18" s="2">
        <v>16</v>
      </c>
      <c r="B18" s="2" t="s">
        <v>64</v>
      </c>
      <c r="C18" s="3" t="s">
        <v>65</v>
      </c>
      <c r="D18" s="8">
        <v>74000</v>
      </c>
      <c r="E18" s="8">
        <v>7400</v>
      </c>
    </row>
    <row r="19" spans="1:5">
      <c r="A19" s="2">
        <v>17</v>
      </c>
      <c r="B19" s="2" t="s">
        <v>67</v>
      </c>
      <c r="C19" s="3" t="s">
        <v>68</v>
      </c>
      <c r="D19" s="8">
        <v>64000</v>
      </c>
      <c r="E19" s="8">
        <v>6400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7370-9F21-454D-BFE3-9260A1C75596}">
  <sheetPr codeName="Sheet5"/>
  <dimension ref="B1:P32"/>
  <sheetViews>
    <sheetView showGridLines="0" workbookViewId="0">
      <selection activeCell="N26" sqref="N26"/>
    </sheetView>
  </sheetViews>
  <sheetFormatPr defaultColWidth="8.85546875" defaultRowHeight="14.45"/>
  <cols>
    <col min="1" max="1" width="5.7109375" style="46" customWidth="1"/>
    <col min="2" max="2" width="10" style="46" customWidth="1"/>
    <col min="3" max="6" width="8.85546875" style="46"/>
    <col min="7" max="8" width="4.28515625" style="46" customWidth="1"/>
    <col min="9" max="9" width="8.85546875" style="46"/>
    <col min="10" max="10" width="10.42578125" style="46" customWidth="1"/>
    <col min="11" max="11" width="9.28515625" style="46" customWidth="1"/>
    <col min="12" max="13" width="8.85546875" style="46"/>
    <col min="14" max="14" width="26.42578125" style="46" customWidth="1"/>
    <col min="15" max="16384" width="8.85546875" style="46"/>
  </cols>
  <sheetData>
    <row r="1" spans="7:16">
      <c r="H1" s="47"/>
      <c r="I1" s="47"/>
      <c r="J1" s="47"/>
      <c r="K1" s="47"/>
      <c r="L1" s="47"/>
      <c r="M1" s="47"/>
      <c r="N1" s="47"/>
      <c r="O1" s="47"/>
      <c r="P1" s="47"/>
    </row>
    <row r="2" spans="7:16">
      <c r="H2" s="47"/>
      <c r="I2" s="47"/>
      <c r="J2" s="47"/>
      <c r="K2" s="47"/>
      <c r="L2" s="47"/>
      <c r="M2" s="47"/>
      <c r="N2" s="47"/>
      <c r="O2" s="47"/>
      <c r="P2" s="47"/>
    </row>
    <row r="3" spans="7:16">
      <c r="G3" s="48"/>
      <c r="H3" s="49"/>
      <c r="I3" s="47"/>
      <c r="J3" s="47"/>
      <c r="K3" s="47"/>
      <c r="L3" s="47"/>
      <c r="M3" s="47"/>
      <c r="N3" s="47"/>
      <c r="O3" s="47"/>
      <c r="P3" s="47"/>
    </row>
    <row r="4" spans="7:16">
      <c r="G4" s="48"/>
      <c r="H4" s="49"/>
      <c r="I4" s="47"/>
      <c r="J4" s="47"/>
      <c r="K4" s="47"/>
      <c r="L4" s="47"/>
      <c r="M4" s="47"/>
      <c r="N4" s="47"/>
      <c r="O4" s="47"/>
      <c r="P4" s="47"/>
    </row>
    <row r="5" spans="7:16">
      <c r="G5" s="48"/>
      <c r="H5" s="49"/>
      <c r="I5" s="47"/>
      <c r="J5" s="47"/>
      <c r="K5" s="47"/>
      <c r="L5" s="47"/>
      <c r="M5" s="47"/>
      <c r="N5" s="47"/>
      <c r="O5" s="47"/>
      <c r="P5" s="47"/>
    </row>
    <row r="6" spans="7:16">
      <c r="G6" s="48"/>
      <c r="H6" s="49"/>
      <c r="I6" s="47" t="s">
        <v>79</v>
      </c>
      <c r="J6" s="47"/>
      <c r="K6" s="47"/>
      <c r="L6" s="47"/>
      <c r="M6" s="47"/>
      <c r="N6" s="47"/>
      <c r="O6" s="47"/>
      <c r="P6" s="47"/>
    </row>
    <row r="7" spans="7:16">
      <c r="G7" s="48"/>
      <c r="H7" s="49"/>
      <c r="I7" s="47" t="s">
        <v>80</v>
      </c>
      <c r="J7" s="47"/>
      <c r="K7" s="47"/>
      <c r="L7" s="47"/>
      <c r="M7" s="47"/>
      <c r="N7" s="47"/>
      <c r="O7" s="47"/>
      <c r="P7" s="47"/>
    </row>
    <row r="8" spans="7:16">
      <c r="G8" s="48"/>
      <c r="H8" s="49"/>
      <c r="I8" s="47"/>
      <c r="J8" s="47"/>
      <c r="K8" s="47"/>
      <c r="L8" s="47"/>
      <c r="M8" s="47"/>
      <c r="N8" s="47"/>
      <c r="O8" s="47"/>
      <c r="P8" s="47"/>
    </row>
    <row r="9" spans="7:16">
      <c r="G9" s="48"/>
      <c r="H9" s="49"/>
      <c r="I9" s="47"/>
      <c r="J9" s="47"/>
      <c r="K9" s="47"/>
      <c r="L9" s="47"/>
      <c r="M9" s="47"/>
      <c r="N9" s="47"/>
      <c r="O9" s="47"/>
      <c r="P9" s="47"/>
    </row>
    <row r="10" spans="7:16">
      <c r="G10" s="48"/>
      <c r="H10" s="49"/>
      <c r="I10" s="47" t="s">
        <v>81</v>
      </c>
      <c r="J10" s="47"/>
      <c r="K10" s="47"/>
      <c r="L10" s="47"/>
      <c r="M10" s="47"/>
      <c r="N10" s="47"/>
      <c r="O10" s="47"/>
      <c r="P10" s="47"/>
    </row>
    <row r="11" spans="7:16">
      <c r="G11" s="48"/>
      <c r="H11" s="49"/>
      <c r="I11" s="47"/>
      <c r="J11" s="47"/>
      <c r="K11" s="47"/>
      <c r="L11" s="47"/>
      <c r="M11" s="47"/>
      <c r="N11" s="47"/>
      <c r="O11" s="47"/>
      <c r="P11" s="47"/>
    </row>
    <row r="12" spans="7:16">
      <c r="G12" s="48"/>
      <c r="H12" s="49"/>
      <c r="I12" s="50"/>
      <c r="J12" s="84" t="s">
        <v>82</v>
      </c>
      <c r="K12" s="84"/>
      <c r="L12" s="85" t="s">
        <v>83</v>
      </c>
      <c r="M12" s="85"/>
      <c r="N12" s="47"/>
      <c r="O12" s="47"/>
      <c r="P12" s="47"/>
    </row>
    <row r="13" spans="7:16">
      <c r="G13" s="48"/>
      <c r="H13" s="49"/>
      <c r="I13" s="50"/>
      <c r="J13" s="84" t="s">
        <v>84</v>
      </c>
      <c r="K13" s="84"/>
      <c r="L13" s="64" t="s">
        <v>85</v>
      </c>
      <c r="M13" s="64"/>
      <c r="N13" s="47"/>
      <c r="O13" s="47"/>
      <c r="P13" s="47"/>
    </row>
    <row r="14" spans="7:16">
      <c r="G14" s="48"/>
      <c r="H14" s="49"/>
      <c r="I14" s="50"/>
      <c r="J14" s="84" t="s">
        <v>86</v>
      </c>
      <c r="K14" s="84"/>
      <c r="L14" s="64" t="s">
        <v>87</v>
      </c>
      <c r="M14" s="51"/>
      <c r="N14" s="47"/>
      <c r="O14" s="47"/>
      <c r="P14" s="47"/>
    </row>
    <row r="15" spans="7:16">
      <c r="G15" s="48"/>
      <c r="H15" s="49"/>
      <c r="I15" s="50"/>
      <c r="J15" s="84" t="s">
        <v>88</v>
      </c>
      <c r="K15" s="84"/>
      <c r="L15" s="64" t="s">
        <v>89</v>
      </c>
      <c r="M15" s="51"/>
      <c r="N15" s="47"/>
      <c r="O15" s="47"/>
      <c r="P15" s="47"/>
    </row>
    <row r="16" spans="7:16">
      <c r="G16" s="48"/>
      <c r="H16" s="49"/>
      <c r="I16" s="50"/>
      <c r="J16" s="84" t="s">
        <v>90</v>
      </c>
      <c r="K16" s="84"/>
      <c r="L16" s="64" t="s">
        <v>91</v>
      </c>
      <c r="M16" s="51"/>
      <c r="N16" s="47"/>
      <c r="O16" s="47"/>
      <c r="P16" s="47"/>
    </row>
    <row r="17" spans="2:16" ht="54.6" customHeight="1">
      <c r="B17" s="79" t="s">
        <v>92</v>
      </c>
      <c r="C17" s="79"/>
      <c r="D17" s="79"/>
      <c r="E17" s="79"/>
      <c r="F17" s="80"/>
      <c r="G17" s="52"/>
      <c r="H17" s="49"/>
      <c r="I17" s="47" t="s">
        <v>93</v>
      </c>
      <c r="J17" s="47"/>
      <c r="K17" s="47"/>
      <c r="L17" s="47"/>
      <c r="M17" s="47"/>
      <c r="N17" s="47"/>
      <c r="O17" s="47"/>
      <c r="P17" s="47"/>
    </row>
    <row r="18" spans="2:16" ht="54.6" customHeight="1">
      <c r="B18" s="81" t="s">
        <v>94</v>
      </c>
      <c r="C18" s="81"/>
      <c r="D18" s="81"/>
      <c r="E18" s="81"/>
      <c r="F18" s="82"/>
      <c r="G18" s="53"/>
      <c r="H18" s="49"/>
      <c r="I18" s="54" t="s">
        <v>95</v>
      </c>
      <c r="J18" s="47"/>
      <c r="K18" s="47"/>
      <c r="L18" s="47"/>
      <c r="M18" s="47"/>
      <c r="N18" s="47"/>
      <c r="O18" s="47"/>
      <c r="P18" s="47"/>
    </row>
    <row r="19" spans="2:16">
      <c r="B19" s="55" t="s">
        <v>96</v>
      </c>
      <c r="H19" s="47"/>
      <c r="J19" s="47"/>
      <c r="K19" s="47"/>
      <c r="L19" s="47"/>
      <c r="M19" s="47"/>
      <c r="N19" s="47"/>
      <c r="O19" s="47"/>
      <c r="P19" s="47"/>
    </row>
    <row r="20" spans="2:16">
      <c r="B20" s="56" t="s">
        <v>97</v>
      </c>
      <c r="C20" s="57" t="s">
        <v>98</v>
      </c>
      <c r="H20" s="47"/>
      <c r="J20" s="47"/>
      <c r="K20" s="47"/>
      <c r="L20" s="47"/>
      <c r="M20" s="47"/>
      <c r="N20" s="47"/>
      <c r="O20" s="47"/>
      <c r="P20" s="47"/>
    </row>
    <row r="21" spans="2:16">
      <c r="B21" s="58" t="s">
        <v>99</v>
      </c>
      <c r="C21" s="57" t="s">
        <v>100</v>
      </c>
      <c r="H21" s="47"/>
      <c r="I21" s="47"/>
      <c r="J21" s="47"/>
      <c r="K21" s="47"/>
      <c r="L21" s="47"/>
      <c r="M21" s="47"/>
      <c r="N21" s="47"/>
      <c r="O21" s="47"/>
      <c r="P21" s="47"/>
    </row>
    <row r="22" spans="2:16">
      <c r="H22" s="47"/>
      <c r="I22" s="47"/>
      <c r="J22" s="47"/>
      <c r="K22" s="47"/>
      <c r="L22" s="47"/>
      <c r="M22" s="47"/>
      <c r="N22" s="47"/>
      <c r="O22" s="47"/>
      <c r="P22" s="47"/>
    </row>
    <row r="23" spans="2:16">
      <c r="N23" s="47"/>
      <c r="O23" s="47"/>
      <c r="P23" s="47"/>
    </row>
    <row r="24" spans="2:16">
      <c r="N24" s="47"/>
      <c r="O24" s="47"/>
      <c r="P24" s="47"/>
    </row>
    <row r="25" spans="2:16">
      <c r="B25" s="83"/>
      <c r="C25" s="67"/>
      <c r="D25" s="67"/>
      <c r="E25" s="67"/>
      <c r="F25" s="67"/>
      <c r="G25" s="67"/>
      <c r="H25" s="67"/>
      <c r="I25" s="67"/>
      <c r="N25" s="47"/>
      <c r="O25" s="47"/>
      <c r="P25" s="47"/>
    </row>
    <row r="26" spans="2:16">
      <c r="B26" s="59"/>
      <c r="C26" s="60"/>
      <c r="D26" s="59"/>
      <c r="E26" s="59"/>
      <c r="F26" s="59"/>
      <c r="G26" s="59"/>
      <c r="H26" s="59"/>
      <c r="I26" s="59"/>
    </row>
    <row r="27" spans="2:16">
      <c r="B27" s="59"/>
      <c r="C27" s="59"/>
      <c r="D27" s="61" t="s">
        <v>101</v>
      </c>
      <c r="E27" s="59"/>
      <c r="F27" s="59"/>
      <c r="G27" s="59"/>
      <c r="H27" s="59"/>
      <c r="I27" s="59"/>
    </row>
    <row r="28" spans="2:16">
      <c r="B28" s="59"/>
      <c r="C28" s="59"/>
      <c r="D28" s="62" t="s">
        <v>102</v>
      </c>
      <c r="E28" s="59"/>
      <c r="F28" s="59"/>
      <c r="G28" s="59"/>
      <c r="H28" s="59"/>
      <c r="I28" s="59"/>
    </row>
    <row r="29" spans="2:16">
      <c r="B29" s="59"/>
      <c r="C29" s="59"/>
      <c r="D29" s="63" t="s">
        <v>103</v>
      </c>
      <c r="E29" s="59"/>
      <c r="F29" s="59"/>
      <c r="G29" s="59"/>
      <c r="H29" s="59"/>
      <c r="I29" s="59"/>
    </row>
    <row r="30" spans="2:16">
      <c r="B30" s="59"/>
      <c r="C30" s="59"/>
      <c r="D30" s="59"/>
      <c r="E30" s="59"/>
      <c r="F30" s="59"/>
      <c r="G30" s="59"/>
      <c r="H30" s="59"/>
      <c r="I30" s="59"/>
    </row>
    <row r="31" spans="2:16">
      <c r="B31" s="59"/>
      <c r="C31" s="59"/>
      <c r="D31" s="59"/>
      <c r="E31" s="59"/>
      <c r="F31" s="59"/>
      <c r="G31" s="59"/>
      <c r="H31" s="59"/>
      <c r="I31" s="59"/>
    </row>
    <row r="32" spans="2:16">
      <c r="B32" s="83"/>
      <c r="C32" s="67"/>
      <c r="D32" s="67"/>
      <c r="E32" s="67"/>
      <c r="F32" s="67"/>
      <c r="G32" s="67"/>
      <c r="H32" s="67"/>
      <c r="I32" s="67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25940618-841C-470B-B497-2C78788BE59F}"/>
    <hyperlink ref="C21" r:id="rId2" xr:uid="{22584901-875F-48B8-BEDA-51F46BE1F263}"/>
    <hyperlink ref="C20" r:id="rId3" xr:uid="{894468D9-F5FE-4A74-AEA9-476354299A3D}"/>
    <hyperlink ref="D29" r:id="rId4" xr:uid="{194626E5-D04D-43E1-B066-67C1A4557F2B}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AC8D-1A39-4906-BC91-E11D63325D6F}">
  <sheetPr codeName="Sheet4"/>
  <dimension ref="A1:R52"/>
  <sheetViews>
    <sheetView topLeftCell="A25" workbookViewId="0">
      <selection activeCell="M50" sqref="M50"/>
    </sheetView>
  </sheetViews>
  <sheetFormatPr defaultRowHeight="14.45"/>
  <cols>
    <col min="2" max="2" width="11.85546875" customWidth="1"/>
    <col min="3" max="3" width="12.7109375" customWidth="1"/>
    <col min="4" max="4" width="9.7109375" customWidth="1"/>
    <col min="5" max="5" width="11.140625" customWidth="1"/>
    <col min="16" max="16" width="66" customWidth="1"/>
  </cols>
  <sheetData>
    <row r="1" spans="1:18">
      <c r="A1" t="s">
        <v>104</v>
      </c>
      <c r="C1">
        <v>1</v>
      </c>
      <c r="D1">
        <v>2</v>
      </c>
      <c r="E1">
        <v>3</v>
      </c>
      <c r="H1">
        <v>1</v>
      </c>
      <c r="I1">
        <v>2</v>
      </c>
      <c r="J1">
        <v>3</v>
      </c>
      <c r="P1">
        <v>1</v>
      </c>
      <c r="Q1">
        <v>2</v>
      </c>
      <c r="R1">
        <v>3</v>
      </c>
    </row>
    <row r="2" spans="1:18">
      <c r="A2" t="s">
        <v>105</v>
      </c>
      <c r="B2" s="9">
        <v>1</v>
      </c>
      <c r="C2" s="9">
        <f>Soal!G42</f>
        <v>314</v>
      </c>
      <c r="D2" s="9">
        <f>Soal!H42</f>
        <v>311</v>
      </c>
      <c r="E2" s="9">
        <f>Soal!I42</f>
        <v>31070000</v>
      </c>
      <c r="H2">
        <f ca="1">LEN(_xlfn.FORMULATEXT(Soal!G42))</f>
        <v>45</v>
      </c>
      <c r="I2">
        <f ca="1">LEN(_xlfn.FORMULATEXT(Soal!H42))</f>
        <v>107</v>
      </c>
      <c r="J2">
        <f ca="1">LEN(_xlfn.FORMULATEXT(Soal!I42))</f>
        <v>54</v>
      </c>
      <c r="O2">
        <v>1</v>
      </c>
      <c r="P2" t="str">
        <f ca="1">SUBSTITUTE(_xlfn.FORMULATEXT(Soal!G42),"$","")</f>
        <v>=NETWORKDAYS.INTL(G38;I38;DEC2BIN(E42;7))</v>
      </c>
      <c r="Q2" t="str">
        <f ca="1">SUBSTITUTE(_xlfn.FORMULATEXT(Soal!H42),"$","")</f>
        <v>=NETWORKDAYS.INTL(G38;I38;DEC2BIN(E42;7);IF('Data Libur'!B4:B43=C42;'Data Libur'!D4:D43;99999))</v>
      </c>
      <c r="R2" t="str">
        <f ca="1">SUBSTITUTE(_xlfn.FORMULATEXT(Soal!I42),"$","")</f>
        <v>=VLOOKUP(C42;'Data Gaji'!B:D;3;0)*(H42-(G42-H42)/10)</v>
      </c>
    </row>
    <row r="3" spans="1:18">
      <c r="B3" s="9">
        <v>2</v>
      </c>
      <c r="C3" s="9">
        <f>Soal!G43</f>
        <v>261</v>
      </c>
      <c r="D3" s="9">
        <f>Soal!H43</f>
        <v>258</v>
      </c>
      <c r="E3" s="9">
        <f>Soal!I43</f>
        <v>20358300</v>
      </c>
      <c r="H3">
        <f ca="1">LEN(_xlfn.FORMULATEXT(Soal!G43))</f>
        <v>45</v>
      </c>
      <c r="I3">
        <f ca="1">LEN(_xlfn.FORMULATEXT(Soal!H43))</f>
        <v>107</v>
      </c>
      <c r="J3">
        <f ca="1">LEN(_xlfn.FORMULATEXT(Soal!I43))</f>
        <v>54</v>
      </c>
      <c r="O3">
        <v>2</v>
      </c>
      <c r="P3" t="str">
        <f ca="1">SUBSTITUTE(_xlfn.FORMULATEXT(Soal!H42),"$","")</f>
        <v>=NETWORKDAYS.INTL(G38;I38;DEC2BIN(E42;7);IF('Data Libur'!B4:B43=C42;'Data Libur'!D4:D43;99999))</v>
      </c>
    </row>
    <row r="4" spans="1:18">
      <c r="B4" s="9">
        <v>3</v>
      </c>
      <c r="C4" s="9">
        <f>Soal!G44</f>
        <v>314</v>
      </c>
      <c r="D4" s="9">
        <f>Soal!H44</f>
        <v>310</v>
      </c>
      <c r="E4" s="9">
        <f>Soal!I44</f>
        <v>12384000</v>
      </c>
      <c r="H4">
        <f ca="1">LEN(_xlfn.FORMULATEXT(Soal!G44))</f>
        <v>45</v>
      </c>
      <c r="I4">
        <f ca="1">LEN(_xlfn.FORMULATEXT(Soal!H44))</f>
        <v>107</v>
      </c>
      <c r="J4">
        <f ca="1">LEN(_xlfn.FORMULATEXT(Soal!I44))</f>
        <v>54</v>
      </c>
      <c r="O4">
        <v>3</v>
      </c>
      <c r="P4" t="str">
        <f ca="1">SUBSTITUTE(_xlfn.FORMULATEXT(Soal!I42),"$","")</f>
        <v>=VLOOKUP(C42;'Data Gaji'!B:D;3;0)*(H42-(G42-H42)/10)</v>
      </c>
    </row>
    <row r="5" spans="1:18">
      <c r="B5" s="9">
        <v>4</v>
      </c>
      <c r="C5" s="9">
        <f>Soal!G45</f>
        <v>261</v>
      </c>
      <c r="D5" s="9">
        <f>Soal!H45</f>
        <v>259</v>
      </c>
      <c r="E5" s="9">
        <f>Soal!I45</f>
        <v>12940000</v>
      </c>
      <c r="H5">
        <f ca="1">LEN(_xlfn.FORMULATEXT(Soal!G45))</f>
        <v>45</v>
      </c>
      <c r="I5">
        <f ca="1">LEN(_xlfn.FORMULATEXT(Soal!H45))</f>
        <v>107</v>
      </c>
      <c r="J5">
        <f ca="1">LEN(_xlfn.FORMULATEXT(Soal!I45))</f>
        <v>54</v>
      </c>
    </row>
    <row r="6" spans="1:18">
      <c r="B6" s="9">
        <v>5</v>
      </c>
      <c r="C6" s="9">
        <f>Soal!G46</f>
        <v>262</v>
      </c>
      <c r="D6" s="9">
        <f>Soal!H46</f>
        <v>261</v>
      </c>
      <c r="E6" s="9">
        <f>Soal!I46</f>
        <v>11218699.999999998</v>
      </c>
      <c r="H6">
        <f ca="1">LEN(_xlfn.FORMULATEXT(Soal!G46))</f>
        <v>45</v>
      </c>
      <c r="I6">
        <f ca="1">LEN(_xlfn.FORMULATEXT(Soal!H46))</f>
        <v>107</v>
      </c>
      <c r="J6">
        <f ca="1">LEN(_xlfn.FORMULATEXT(Soal!I46))</f>
        <v>54</v>
      </c>
    </row>
    <row r="7" spans="1:18">
      <c r="B7" s="9">
        <v>6</v>
      </c>
      <c r="C7" s="9">
        <f>Soal!G47</f>
        <v>314</v>
      </c>
      <c r="D7" s="9">
        <f>Soal!H47</f>
        <v>310</v>
      </c>
      <c r="E7" s="9">
        <f>Soal!I47</f>
        <v>37152000</v>
      </c>
      <c r="H7">
        <f ca="1">LEN(_xlfn.FORMULATEXT(Soal!G47))</f>
        <v>45</v>
      </c>
      <c r="I7">
        <f ca="1">LEN(_xlfn.FORMULATEXT(Soal!H47))</f>
        <v>107</v>
      </c>
      <c r="J7">
        <f ca="1">LEN(_xlfn.FORMULATEXT(Soal!I47))</f>
        <v>54</v>
      </c>
    </row>
    <row r="8" spans="1:18">
      <c r="B8" s="9">
        <v>7</v>
      </c>
      <c r="C8" s="9">
        <f>Soal!G48</f>
        <v>261</v>
      </c>
      <c r="D8" s="9">
        <f>Soal!H48</f>
        <v>259</v>
      </c>
      <c r="E8" s="9">
        <f>Soal!I48</f>
        <v>30279600</v>
      </c>
      <c r="H8">
        <f ca="1">LEN(_xlfn.FORMULATEXT(Soal!G48))</f>
        <v>45</v>
      </c>
      <c r="I8">
        <f ca="1">LEN(_xlfn.FORMULATEXT(Soal!H48))</f>
        <v>107</v>
      </c>
      <c r="J8">
        <f ca="1">LEN(_xlfn.FORMULATEXT(Soal!I48))</f>
        <v>54</v>
      </c>
    </row>
    <row r="9" spans="1:18">
      <c r="B9" s="9">
        <v>8</v>
      </c>
      <c r="C9" s="9">
        <f>Soal!G49</f>
        <v>314</v>
      </c>
      <c r="D9" s="9">
        <f>Soal!H49</f>
        <v>311</v>
      </c>
      <c r="E9" s="9">
        <f>Soal!I49</f>
        <v>18642000</v>
      </c>
      <c r="H9">
        <f ca="1">LEN(_xlfn.FORMULATEXT(Soal!G49))</f>
        <v>45</v>
      </c>
      <c r="I9">
        <f ca="1">LEN(_xlfn.FORMULATEXT(Soal!H49))</f>
        <v>107</v>
      </c>
      <c r="J9">
        <f ca="1">LEN(_xlfn.FORMULATEXT(Soal!I49))</f>
        <v>54</v>
      </c>
    </row>
    <row r="10" spans="1:18">
      <c r="B10" s="9">
        <v>9</v>
      </c>
      <c r="C10" s="9">
        <f>Soal!G50</f>
        <v>313</v>
      </c>
      <c r="D10" s="9">
        <f>Soal!H50</f>
        <v>310</v>
      </c>
      <c r="E10" s="9">
        <f>Soal!I50</f>
        <v>37164000</v>
      </c>
      <c r="H10">
        <f ca="1">LEN(_xlfn.FORMULATEXT(Soal!G50))</f>
        <v>45</v>
      </c>
      <c r="I10">
        <f ca="1">LEN(_xlfn.FORMULATEXT(Soal!H50))</f>
        <v>107</v>
      </c>
      <c r="J10">
        <f ca="1">LEN(_xlfn.FORMULATEXT(Soal!I50))</f>
        <v>54</v>
      </c>
    </row>
    <row r="11" spans="1:18">
      <c r="B11" s="9">
        <v>10</v>
      </c>
      <c r="C11" s="9">
        <f>Soal!G51</f>
        <v>314</v>
      </c>
      <c r="D11" s="9">
        <f>Soal!H51</f>
        <v>313</v>
      </c>
      <c r="E11" s="9">
        <f>Soal!I51</f>
        <v>31602899.999999996</v>
      </c>
      <c r="H11">
        <f ca="1">LEN(_xlfn.FORMULATEXT(Soal!G51))</f>
        <v>45</v>
      </c>
      <c r="I11">
        <f ca="1">LEN(_xlfn.FORMULATEXT(Soal!H51))</f>
        <v>107</v>
      </c>
      <c r="J11">
        <f ca="1">LEN(_xlfn.FORMULATEXT(Soal!I51))</f>
        <v>54</v>
      </c>
    </row>
    <row r="12" spans="1:18">
      <c r="B12" s="9">
        <v>11</v>
      </c>
      <c r="C12" s="9">
        <f>Soal!G52</f>
        <v>314</v>
      </c>
      <c r="D12" s="9">
        <f>Soal!H52</f>
        <v>313</v>
      </c>
      <c r="E12" s="9">
        <f>Soal!I52</f>
        <v>13767599.999999998</v>
      </c>
      <c r="H12">
        <f ca="1">LEN(_xlfn.FORMULATEXT(Soal!G52))</f>
        <v>45</v>
      </c>
      <c r="I12">
        <f ca="1">LEN(_xlfn.FORMULATEXT(Soal!H52))</f>
        <v>107</v>
      </c>
      <c r="J12">
        <f ca="1">LEN(_xlfn.FORMULATEXT(Soal!I52))</f>
        <v>54</v>
      </c>
    </row>
    <row r="13" spans="1:18">
      <c r="B13" s="9">
        <v>12</v>
      </c>
      <c r="C13" s="9">
        <f>Soal!G53</f>
        <v>314</v>
      </c>
      <c r="D13" s="9">
        <f>Soal!H53</f>
        <v>313</v>
      </c>
      <c r="E13" s="9">
        <f>Soal!I53</f>
        <v>25970699.999999996</v>
      </c>
      <c r="H13">
        <f ca="1">LEN(_xlfn.FORMULATEXT(Soal!G53))</f>
        <v>45</v>
      </c>
      <c r="I13">
        <f ca="1">LEN(_xlfn.FORMULATEXT(Soal!H53))</f>
        <v>107</v>
      </c>
      <c r="J13">
        <f ca="1">LEN(_xlfn.FORMULATEXT(Soal!I53))</f>
        <v>54</v>
      </c>
    </row>
    <row r="14" spans="1:18">
      <c r="B14" s="9">
        <v>13</v>
      </c>
      <c r="C14" s="9">
        <f>Soal!G54</f>
        <v>209</v>
      </c>
      <c r="D14" s="9">
        <f>Soal!H54</f>
        <v>208</v>
      </c>
      <c r="E14" s="9">
        <f>Soal!I54</f>
        <v>22869000</v>
      </c>
      <c r="H14">
        <f ca="1">LEN(_xlfn.FORMULATEXT(Soal!G54))</f>
        <v>45</v>
      </c>
      <c r="I14">
        <f ca="1">LEN(_xlfn.FORMULATEXT(Soal!H54))</f>
        <v>107</v>
      </c>
      <c r="J14">
        <f ca="1">LEN(_xlfn.FORMULATEXT(Soal!I54))</f>
        <v>54</v>
      </c>
    </row>
    <row r="15" spans="1:18">
      <c r="B15" s="9">
        <v>14</v>
      </c>
      <c r="C15" s="9">
        <f>Soal!G55</f>
        <v>262</v>
      </c>
      <c r="D15" s="9">
        <f>Soal!H55</f>
        <v>259</v>
      </c>
      <c r="E15" s="9">
        <f>Soal!I55</f>
        <v>14745900</v>
      </c>
      <c r="H15">
        <f ca="1">LEN(_xlfn.FORMULATEXT(Soal!G55))</f>
        <v>45</v>
      </c>
      <c r="I15">
        <f ca="1">LEN(_xlfn.FORMULATEXT(Soal!H55))</f>
        <v>107</v>
      </c>
      <c r="J15">
        <f ca="1">LEN(_xlfn.FORMULATEXT(Soal!I55))</f>
        <v>54</v>
      </c>
    </row>
    <row r="16" spans="1:18">
      <c r="B16" s="9">
        <v>15</v>
      </c>
      <c r="C16" s="9">
        <f>Soal!G56</f>
        <v>262</v>
      </c>
      <c r="D16" s="9">
        <f>Soal!H56</f>
        <v>259</v>
      </c>
      <c r="E16" s="9">
        <f>Soal!I56</f>
        <v>18367700</v>
      </c>
      <c r="H16">
        <f ca="1">LEN(_xlfn.FORMULATEXT(Soal!G56))</f>
        <v>45</v>
      </c>
      <c r="I16">
        <f ca="1">LEN(_xlfn.FORMULATEXT(Soal!H56))</f>
        <v>107</v>
      </c>
      <c r="J16">
        <f ca="1">LEN(_xlfn.FORMULATEXT(Soal!I56))</f>
        <v>54</v>
      </c>
    </row>
    <row r="17" spans="2:10">
      <c r="B17" s="9">
        <v>16</v>
      </c>
      <c r="C17" s="9">
        <f>Soal!G57</f>
        <v>262</v>
      </c>
      <c r="D17" s="9">
        <f>Soal!H57</f>
        <v>260</v>
      </c>
      <c r="E17" s="9">
        <f>Soal!I57</f>
        <v>19225200</v>
      </c>
      <c r="H17">
        <f ca="1">LEN(_xlfn.FORMULATEXT(Soal!G57))</f>
        <v>45</v>
      </c>
      <c r="I17">
        <f ca="1">LEN(_xlfn.FORMULATEXT(Soal!H57))</f>
        <v>107</v>
      </c>
      <c r="J17">
        <f ca="1">LEN(_xlfn.FORMULATEXT(Soal!I57))</f>
        <v>54</v>
      </c>
    </row>
    <row r="18" spans="2:10">
      <c r="B18" s="9">
        <v>17</v>
      </c>
      <c r="C18" s="9">
        <f>Soal!G58</f>
        <v>262</v>
      </c>
      <c r="D18" s="9">
        <f>Soal!H58</f>
        <v>260</v>
      </c>
      <c r="E18" s="9">
        <f>Soal!I58</f>
        <v>16627200</v>
      </c>
      <c r="H18">
        <f ca="1">LEN(_xlfn.FORMULATEXT(Soal!G58))</f>
        <v>45</v>
      </c>
      <c r="I18">
        <f ca="1">LEN(_xlfn.FORMULATEXT(Soal!H58))</f>
        <v>107</v>
      </c>
      <c r="J18">
        <f ca="1">LEN(_xlfn.FORMULATEXT(Soal!I58))</f>
        <v>54</v>
      </c>
    </row>
    <row r="21" spans="2:10">
      <c r="C21" s="9">
        <f>SUM(C2:C18,C3,C5,C8,C11,C14,C17,C10)</f>
        <v>6694</v>
      </c>
      <c r="D21" s="9">
        <f>SUM(D2:D18,D3,D5,D8,D11,D14,D17,D10)</f>
        <v>6641</v>
      </c>
      <c r="E21" s="9">
        <f>SUM(E2:E18,E3,E5,E8,E11,E14,E17,E10)</f>
        <v>548823800</v>
      </c>
      <c r="H21" t="b">
        <f ca="1">AVERAGE(H2:H18)=H2</f>
        <v>1</v>
      </c>
      <c r="I21" t="b">
        <f ca="1">AVERAGE(I2:I18)=I2</f>
        <v>1</v>
      </c>
      <c r="J21" t="b">
        <f ca="1">AVERAGE(J2:J18)=J2</f>
        <v>1</v>
      </c>
    </row>
    <row r="22" spans="2:10">
      <c r="C22" s="9"/>
      <c r="D22" s="9"/>
      <c r="G22" t="s">
        <v>106</v>
      </c>
      <c r="H22" t="b">
        <f ca="1">AND(H2&gt;0,H6=0,C6&gt;0)</f>
        <v>0</v>
      </c>
      <c r="I22" t="b">
        <f ca="1">AND(I2&gt;0,I6=0,D6&gt;0)</f>
        <v>0</v>
      </c>
      <c r="J22" t="b">
        <f ca="1">AND(J2&gt;0,J6=0,E6&gt;0)</f>
        <v>0</v>
      </c>
    </row>
    <row r="23" spans="2:10">
      <c r="G23" t="s">
        <v>107</v>
      </c>
      <c r="H23" t="b">
        <f ca="1">IFERROR(OR(H21:H22),FALSE)</f>
        <v>1</v>
      </c>
      <c r="I23" t="b">
        <f ca="1">IFERROR(OR(I21:I22),FALSE)</f>
        <v>1</v>
      </c>
      <c r="J23" t="b">
        <f ca="1">IFERROR(OR(J21:J22),FALSE)</f>
        <v>1</v>
      </c>
    </row>
    <row r="24" spans="2:10">
      <c r="B24" t="s">
        <v>108</v>
      </c>
      <c r="C24">
        <v>9915</v>
      </c>
      <c r="D24">
        <v>9200</v>
      </c>
      <c r="E24">
        <v>2106</v>
      </c>
    </row>
    <row r="26" spans="2:10">
      <c r="B26" t="b">
        <v>1</v>
      </c>
      <c r="C26" t="str">
        <f>LEFT(DEC2HEX(C24+COLUMN()+1000),2)</f>
        <v>2A</v>
      </c>
      <c r="D26" t="str">
        <f t="shared" ref="D26:E26" si="0">LEFT(DEC2HEX(D24+COLUMN()+1000),2)</f>
        <v>27</v>
      </c>
      <c r="E26" t="str">
        <f t="shared" si="0"/>
        <v>C2</v>
      </c>
    </row>
    <row r="27" spans="2:10">
      <c r="B27" t="b">
        <v>0</v>
      </c>
      <c r="C27" t="str">
        <f>RIGHT(DEC2HEX(C24+COLUMN()+2),2)</f>
        <v>C0</v>
      </c>
      <c r="D27" t="str">
        <f>RIGHT(DEC2HEX(D24+COLUMN()+2),2)</f>
        <v>F6</v>
      </c>
      <c r="E27" t="str">
        <f>RIGHT(DEC2HEX(E24+COLUMN()+2),2)</f>
        <v>41</v>
      </c>
    </row>
    <row r="29" spans="2:10">
      <c r="B29" t="s">
        <v>109</v>
      </c>
      <c r="C29" t="b">
        <f>IF(AND(C2="",C2=0),FALSE,TRUE)</f>
        <v>1</v>
      </c>
      <c r="D29" t="b">
        <f t="shared" ref="D29:E29" si="1">IF(AND(D2="",D2=0),FALSE,TRUE)</f>
        <v>1</v>
      </c>
      <c r="E29" t="b">
        <f t="shared" si="1"/>
        <v>1</v>
      </c>
    </row>
    <row r="30" spans="2:10">
      <c r="B30" t="s">
        <v>110</v>
      </c>
      <c r="C30" t="b">
        <f ca="1">AND(ISNUMBER(FIND("=",P2)),ISNUMBER(FIND("(",P2)))</f>
        <v>1</v>
      </c>
      <c r="D30" t="b">
        <f t="shared" ref="D30:E30" ca="1" si="2">AND(ISNUMBER(FIND("=",Q2)),ISNUMBER(FIND("(",Q2)))</f>
        <v>1</v>
      </c>
      <c r="E30" t="b">
        <f t="shared" ca="1" si="2"/>
        <v>1</v>
      </c>
    </row>
    <row r="31" spans="2:10">
      <c r="C31" t="b">
        <f ca="1">H23</f>
        <v>1</v>
      </c>
      <c r="D31" t="b">
        <f t="shared" ref="D31:E31" ca="1" si="3">I23</f>
        <v>1</v>
      </c>
      <c r="E31" t="b">
        <f t="shared" ca="1" si="3"/>
        <v>1</v>
      </c>
    </row>
    <row r="33" spans="2:11">
      <c r="B33" t="s">
        <v>111</v>
      </c>
      <c r="C33" t="b">
        <f ca="1">AND(C29:C31)</f>
        <v>1</v>
      </c>
      <c r="D33" t="b">
        <f ca="1">AND(D29:D31)</f>
        <v>1</v>
      </c>
      <c r="E33" t="b">
        <f ca="1">AND(E29:E31)</f>
        <v>1</v>
      </c>
    </row>
    <row r="35" spans="2:11">
      <c r="B35" t="s">
        <v>112</v>
      </c>
      <c r="C35" t="b">
        <f ca="1">AND(ISNUMBER(FIND("NETWORKDAYS.I",P2)),ISNUMBER(FIND("E41",P2)))</f>
        <v>0</v>
      </c>
      <c r="D35" t="b">
        <f t="shared" ref="D35" ca="1" si="4">AND(ISNUMBER(FIND("NETWORKDAYS.I",Q2)),ISNUMBER(FIND("E41",Q2)))</f>
        <v>0</v>
      </c>
      <c r="E35" t="b">
        <f ca="1">AND(ISNUMBER(FIND("LOOKU",R2)),ISNUMBER(FIND("H41",R2)))</f>
        <v>0</v>
      </c>
      <c r="I35" t="s">
        <v>113</v>
      </c>
      <c r="J35" t="s">
        <v>114</v>
      </c>
      <c r="K35" t="s">
        <v>115</v>
      </c>
    </row>
    <row r="36" spans="2:11">
      <c r="B36" t="s">
        <v>116</v>
      </c>
      <c r="C36">
        <f ca="1">IFERROR(LEN(P2)-LEN(SUBSTITUTE(P2,"(","")),99)</f>
        <v>2</v>
      </c>
      <c r="D36">
        <f ca="1">IFERROR(LEN(Q2)-LEN(SUBSTITUTE(Q2,"(","")),99)</f>
        <v>3</v>
      </c>
      <c r="E36">
        <f ca="1">IFERROR(LEN(R2)-LEN(SUBSTITUTE(R2,"(","")),99)</f>
        <v>3</v>
      </c>
    </row>
    <row r="37" spans="2:11">
      <c r="C37">
        <v>2</v>
      </c>
      <c r="D37">
        <v>3</v>
      </c>
      <c r="E37">
        <v>1</v>
      </c>
    </row>
    <row r="38" spans="2:11">
      <c r="C38" t="b">
        <f ca="1">C36&lt;=C37</f>
        <v>1</v>
      </c>
      <c r="D38" t="b">
        <f t="shared" ref="D38:E38" ca="1" si="5">D36&lt;=D37</f>
        <v>1</v>
      </c>
      <c r="E38" t="b">
        <f t="shared" ca="1" si="5"/>
        <v>0</v>
      </c>
    </row>
    <row r="40" spans="2:11">
      <c r="B40" t="s">
        <v>111</v>
      </c>
      <c r="C40" t="b">
        <f ca="1">AND(C38,C35)</f>
        <v>0</v>
      </c>
      <c r="D40" t="b">
        <f ca="1">AND(D38,D35)</f>
        <v>0</v>
      </c>
      <c r="E40" t="b">
        <f ca="1">AND(E38,E35)</f>
        <v>0</v>
      </c>
    </row>
    <row r="43" spans="2:11">
      <c r="B43" t="s">
        <v>117</v>
      </c>
      <c r="C43" t="str">
        <f ca="1">IFERROR(DEC2HEX(IF(C33,C21,C24)),"EEE")</f>
        <v>1A26</v>
      </c>
      <c r="D43" t="str">
        <f t="shared" ref="D43:E43" ca="1" si="6">IFERROR(DEC2HEX(IF(D33,D21,D24)),"EEE")</f>
        <v>19F1</v>
      </c>
      <c r="E43" t="str">
        <f t="shared" ca="1" si="6"/>
        <v>20B662F8</v>
      </c>
    </row>
    <row r="44" spans="2:11">
      <c r="B44" t="s">
        <v>118</v>
      </c>
      <c r="C44" t="str">
        <f ca="1">IF(C40,C26,C27)</f>
        <v>C0</v>
      </c>
      <c r="D44" t="str">
        <f ca="1">IF(D40,D26,D27)</f>
        <v>F6</v>
      </c>
      <c r="E44" t="str">
        <f ca="1">IF(E40,E26,E27)</f>
        <v>41</v>
      </c>
    </row>
    <row r="46" spans="2:11">
      <c r="C46" t="str">
        <f ca="1">C44&amp;"-"&amp;C43&amp;";"</f>
        <v>C0-1A26;</v>
      </c>
      <c r="D46" t="str">
        <f ca="1">D44&amp;"-"&amp;D43&amp;";"</f>
        <v>F6-19F1;</v>
      </c>
      <c r="E46" t="str">
        <f ca="1">E44&amp;"-"&amp;E43</f>
        <v>41-20B662F8</v>
      </c>
    </row>
    <row r="48" spans="2:11">
      <c r="C48" t="str">
        <f ca="1">A2&amp;"|"&amp;C46&amp;D46&amp;E46</f>
        <v>HA1|C0-1A26;F6-19F1;41-20B662F8</v>
      </c>
    </row>
    <row r="50" spans="3:3">
      <c r="C50" t="str" cm="1">
        <f t="array" aca="1" ref="C50" ca="1">INDIRECT(I35&amp;J35&amp;K35)</f>
        <v>HA1|C0-1A26;F6-19F1;41-20B662F8</v>
      </c>
    </row>
    <row r="52" spans="3:3">
      <c r="C52" t="str">
        <f ca="1">C50</f>
        <v>HA1|C0-1A26;F6-19F1;41-20B662F8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2025-01-25T11:10:28Z</dcterms:created>
  <dcterms:modified xsi:type="dcterms:W3CDTF">2026-06-12T18:50:07Z</dcterms:modified>
  <cp:category/>
  <cp:contentStatus/>
</cp:coreProperties>
</file>