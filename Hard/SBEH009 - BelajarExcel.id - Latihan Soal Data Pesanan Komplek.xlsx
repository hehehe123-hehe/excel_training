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332" documentId="8_{096F4923-EAB0-40B9-9E84-03A47A246C6B}" xr6:coauthVersionLast="47" xr6:coauthVersionMax="47" xr10:uidLastSave="{FF2B896D-136C-4A43-9AD3-404946746244}"/>
  <workbookProtection workbookAlgorithmName="SHA-512" workbookHashValue="DPXHYlftAi1i6Fdms0BcdFXStXfOET54+u7nhi7WLKwCdcaSr5nALadS+tLzki0WaNfhRRCLpTy9ckkoTNUrsA==" workbookSaltValue="R1NvlpSh1rXCfnceQJ7NyA==" workbookSpinCount="100000" lockStructure="1"/>
  <bookViews>
    <workbookView xWindow="28692" yWindow="-108" windowWidth="29016" windowHeight="15696" xr2:uid="{E8EFE3B3-71D4-4107-92C6-3AB8C7973799}"/>
  </bookViews>
  <sheets>
    <sheet name="XL-Test" sheetId="1" r:id="rId1"/>
    <sheet name="About" sheetId="5" r:id="rId2"/>
    <sheet name="DF" sheetId="4" state="very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6" i="1" a="1"/>
  <c r="F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6" i="1" a="1"/>
  <c r="E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6" i="1" a="1"/>
  <c r="G6" i="1"/>
  <c r="F24" i="4"/>
  <c r="E24" i="4"/>
  <c r="D24" i="4"/>
  <c r="E23" i="4"/>
  <c r="F23" i="4"/>
  <c r="D23" i="4"/>
  <c r="O2" i="4"/>
  <c r="I22" i="4" s="1"/>
  <c r="P2" i="4"/>
  <c r="J22" i="4" s="1"/>
  <c r="N2" i="4"/>
  <c r="D12" i="4"/>
  <c r="D13" i="4"/>
  <c r="I2" i="4"/>
  <c r="J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2" i="4"/>
  <c r="H18" i="4" l="1"/>
  <c r="J18" i="4"/>
  <c r="I18" i="4"/>
  <c r="D6" i="4"/>
  <c r="D30" i="4"/>
  <c r="H22" i="4"/>
  <c r="E30" i="4"/>
  <c r="N3" i="4"/>
  <c r="F30" i="4"/>
  <c r="N4" i="4"/>
  <c r="D3" i="4"/>
  <c r="D4" i="4"/>
  <c r="H26" i="4" s="1"/>
  <c r="D5" i="4"/>
  <c r="D7" i="4"/>
  <c r="D8" i="4"/>
  <c r="D9" i="4"/>
  <c r="D10" i="4"/>
  <c r="J19" i="4"/>
  <c r="J20" i="4" s="1"/>
  <c r="I19" i="4"/>
  <c r="I20" i="4" s="1"/>
  <c r="H19" i="4"/>
  <c r="H20" i="4" s="1"/>
  <c r="D11" i="4"/>
  <c r="D14" i="4"/>
  <c r="D15" i="4"/>
  <c r="D16" i="4"/>
  <c r="F26" i="4"/>
  <c r="F28" i="4" s="1"/>
  <c r="E2" i="4"/>
  <c r="E5" i="4"/>
  <c r="E4" i="4"/>
  <c r="I26" i="4" s="1"/>
  <c r="E3" i="4"/>
  <c r="E7" i="4"/>
  <c r="E8" i="4"/>
  <c r="E9" i="4"/>
  <c r="E10" i="4"/>
  <c r="E11" i="4"/>
  <c r="E12" i="4"/>
  <c r="E13" i="4"/>
  <c r="E14" i="4"/>
  <c r="E15" i="4"/>
  <c r="E16" i="4"/>
  <c r="E6" i="4"/>
  <c r="D2" i="4"/>
  <c r="D19" i="4" s="1"/>
  <c r="E26" i="4"/>
  <c r="E28" i="4" s="1"/>
  <c r="D26" i="4"/>
  <c r="D28" i="4" s="1"/>
  <c r="H24" i="4" l="1"/>
  <c r="D20" i="4" s="1"/>
  <c r="I24" i="4"/>
  <c r="F32" i="4"/>
  <c r="F34" i="4" s="1"/>
  <c r="E32" i="4"/>
  <c r="E34" i="4" s="1"/>
  <c r="D32" i="4"/>
  <c r="D34" i="4" s="1"/>
  <c r="F4" i="4"/>
  <c r="J26" i="4" s="1"/>
  <c r="F13" i="4"/>
  <c r="F12" i="4"/>
  <c r="F3" i="4"/>
  <c r="F6" i="4"/>
  <c r="F5" i="4"/>
  <c r="F7" i="4"/>
  <c r="F8" i="4"/>
  <c r="F9" i="4"/>
  <c r="F10" i="4"/>
  <c r="F11" i="4"/>
  <c r="F14" i="4"/>
  <c r="F15" i="4"/>
  <c r="F2" i="4"/>
  <c r="F16" i="4"/>
  <c r="E19" i="4"/>
  <c r="J24" i="4" l="1"/>
  <c r="E20" i="4"/>
  <c r="F19" i="4"/>
  <c r="F20" i="4" s="1"/>
  <c r="F36" i="4" s="1"/>
  <c r="D36" i="4"/>
  <c r="E36" i="4"/>
  <c r="D37" i="4" l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<sst xmlns="http://schemas.openxmlformats.org/spreadsheetml/2006/main" count="285" uniqueCount="281">
  <si>
    <r>
      <t xml:space="preserve">Hard Level  </t>
    </r>
    <r>
      <rPr>
        <sz val="9"/>
        <color rgb="FFFFC000"/>
        <rFont val="Aptos Narrow"/>
        <family val="2"/>
        <scheme val="minor"/>
      </rPr>
      <t>(⭐⭐⭐)</t>
    </r>
  </si>
  <si>
    <t>KODE SOAL</t>
  </si>
  <si>
    <t>SBEH009</t>
  </si>
  <si>
    <t>KODE JAWABAN</t>
  </si>
  <si>
    <t>No</t>
  </si>
  <si>
    <t>Data</t>
  </si>
  <si>
    <r>
      <t xml:space="preserve">Blok Rumah </t>
    </r>
    <r>
      <rPr>
        <b/>
        <vertAlign val="superscript"/>
        <sz val="11"/>
        <color rgb="FFFFC000"/>
        <rFont val="Aptos Narrow"/>
        <family val="2"/>
        <scheme val="minor"/>
      </rPr>
      <t>1</t>
    </r>
  </si>
  <si>
    <r>
      <t xml:space="preserve">Harga </t>
    </r>
    <r>
      <rPr>
        <b/>
        <vertAlign val="superscript"/>
        <sz val="11"/>
        <color rgb="FFFFC000"/>
        <rFont val="Aptos Narrow"/>
        <family val="2"/>
        <scheme val="minor"/>
      </rPr>
      <t>2</t>
    </r>
  </si>
  <si>
    <r>
      <t xml:space="preserve">Urutan Pengantaran </t>
    </r>
    <r>
      <rPr>
        <b/>
        <vertAlign val="superscript"/>
        <sz val="11"/>
        <color rgb="FFFFC000"/>
        <rFont val="Aptos Narrow"/>
        <family val="2"/>
        <scheme val="minor"/>
      </rPr>
      <t>3</t>
    </r>
  </si>
  <si>
    <t>Lisa membeli sabun mandi di toko Sejahtera kemarin.</t>
  </si>
  <si>
    <t>Soal</t>
  </si>
  <si>
    <t>Rudi memesan pasta gigi di toko Mulia pagi ini.</t>
  </si>
  <si>
    <r>
      <t xml:space="preserve">Isi kolom Blok rumah sesuai dengan nama yang ada pada Data berdasarkan </t>
    </r>
    <r>
      <rPr>
        <b/>
        <sz val="11"/>
        <color rgb="FF00B050"/>
        <rFont val="Aptos Narrow"/>
        <family val="2"/>
        <scheme val="minor"/>
      </rPr>
      <t>Data Blok Rumah</t>
    </r>
  </si>
  <si>
    <t>Tina membeli kopi di toko Harmoni kemarin.</t>
  </si>
  <si>
    <t>Contoh : Lisa membeli sabun mandi di toko Sejahtera kemarin.</t>
  </si>
  <si>
    <t>Blok A</t>
  </si>
  <si>
    <t>Budi membeli roti dari toko Lestari tadi pagi.</t>
  </si>
  <si>
    <r>
      <t xml:space="preserve">Isi kolom Harga sesuai dengan </t>
    </r>
    <r>
      <rPr>
        <b/>
        <sz val="11"/>
        <color rgb="FF0070C0"/>
        <rFont val="Aptos Narrow"/>
        <family val="2"/>
        <scheme val="minor"/>
      </rPr>
      <t>Table Data Produk dan Harga</t>
    </r>
    <r>
      <rPr>
        <b/>
        <sz val="11"/>
        <color theme="1"/>
        <rFont val="Aptos Narrow"/>
        <family val="2"/>
        <scheme val="minor"/>
      </rPr>
      <t xml:space="preserve"> berdasarkan keterangan Data</t>
    </r>
  </si>
  <si>
    <t>Andi membeli minyak goreng di toko Anugrah siang tadi.</t>
  </si>
  <si>
    <t>Sari beli kopi di toko Lestari kemarin.</t>
  </si>
  <si>
    <t>Isi Kolom Urutan Pengantaran Berdasarkan Blok Rumah</t>
  </si>
  <si>
    <t>Dedi memesan hand sanitizer di toko Harmoni pagi ini.</t>
  </si>
  <si>
    <t xml:space="preserve">Contoh : Lisa berada di Blok A, sehingga urutan pengantarannya 1, </t>
  </si>
  <si>
    <t>Maya membeli sabun mandi di toko Lestari sore tadi.</t>
  </si>
  <si>
    <t xml:space="preserve">dilanjutkan ke Tina 2 (karena tina di blok A), setelah itu ke Rudi 3 (Blok B) </t>
  </si>
  <si>
    <t>Hendra belanja deterjen di toko Mulia kemarin.</t>
  </si>
  <si>
    <t>dan selanjutnya Andi 4 (blok B)</t>
  </si>
  <si>
    <t>Rina membeli kopi ke toko Sejahtera pagi tadi.</t>
  </si>
  <si>
    <t>Fajar belanja teh di toko Harmoni sore kemarin.</t>
  </si>
  <si>
    <t>* Selesaikan Pertanyaan diatas dengan menggunakan Formula/Rumus Excel</t>
  </si>
  <si>
    <t>Nia membeli roti di toko Mulia pagi ini.</t>
  </si>
  <si>
    <t>Selsaikan tanpa menambahkan atau menggunakan kolom bantuan atau Table bantu.</t>
  </si>
  <si>
    <t>Arif membeli sampo di toko Lestari tadi siang.</t>
  </si>
  <si>
    <t>Vina membeli susu dari toko Anugrah kemarin sore.</t>
  </si>
  <si>
    <t>Sudah selesai mengerjakan?</t>
  </si>
  <si>
    <t>Ilham ambil minyak goreng di toko Lestari hari ini.</t>
  </si>
  <si>
    <r>
      <t xml:space="preserve">Kirimkan </t>
    </r>
    <r>
      <rPr>
        <b/>
        <i/>
        <sz val="11"/>
        <color theme="4" tint="-0.249977111117893"/>
        <rFont val="Aptos Narrow"/>
        <family val="2"/>
        <scheme val="minor"/>
      </rPr>
      <t>Kode Soal</t>
    </r>
    <r>
      <rPr>
        <i/>
        <sz val="11"/>
        <color theme="4" tint="-0.249977111117893"/>
        <rFont val="Aptos Narrow"/>
        <family val="2"/>
        <scheme val="minor"/>
      </rPr>
      <t xml:space="preserve"> dan </t>
    </r>
    <r>
      <rPr>
        <b/>
        <i/>
        <sz val="11"/>
        <color theme="4" tint="-0.249977111117893"/>
        <rFont val="Aptos Narrow"/>
        <family val="2"/>
        <scheme val="minor"/>
      </rPr>
      <t>Kode Jawaban</t>
    </r>
    <r>
      <rPr>
        <i/>
        <sz val="11"/>
        <color theme="4" tint="-0.249977111117893"/>
        <rFont val="Aptos Narrow"/>
        <family val="2"/>
        <scheme val="minor"/>
      </rPr>
      <t xml:space="preserve"> ke alamat :  </t>
    </r>
    <r>
      <rPr>
        <b/>
        <i/>
        <u/>
        <sz val="11"/>
        <color theme="4" tint="-0.249977111117893"/>
        <rFont val="Aptos Narrow"/>
        <family val="2"/>
        <scheme val="minor"/>
      </rPr>
      <t>https://belajarexcel.id/xl-test/jawaban</t>
    </r>
    <r>
      <rPr>
        <i/>
        <sz val="11"/>
        <color theme="4" tint="-0.249977111117893"/>
        <rFont val="Aptos Narrow"/>
        <family val="2"/>
        <scheme val="minor"/>
      </rPr>
      <t xml:space="preserve">  untuk mengecek hasil benar/salah</t>
    </r>
  </si>
  <si>
    <t>DATA Produk dan Harga</t>
  </si>
  <si>
    <t>Produk</t>
  </si>
  <si>
    <t>Toko Anugrah</t>
  </si>
  <si>
    <t>Toko Sejahtera</t>
  </si>
  <si>
    <t>Toko Mulia</t>
  </si>
  <si>
    <t>Toko Harmoni</t>
  </si>
  <si>
    <t>Toko Lestari</t>
  </si>
  <si>
    <t>Sampo</t>
  </si>
  <si>
    <t>Sabun Mandi</t>
  </si>
  <si>
    <t>Pasta Gigi</t>
  </si>
  <si>
    <t>Minyak Goreng</t>
  </si>
  <si>
    <t>Kopi</t>
  </si>
  <si>
    <t>Teh</t>
  </si>
  <si>
    <t>Roti</t>
  </si>
  <si>
    <t>Susu</t>
  </si>
  <si>
    <t>Deterjen</t>
  </si>
  <si>
    <t>Hand Sanitizer</t>
  </si>
  <si>
    <t>DATA Blok Rumah</t>
  </si>
  <si>
    <t>Blok B</t>
  </si>
  <si>
    <t>Blok C</t>
  </si>
  <si>
    <t>Blok D</t>
  </si>
  <si>
    <t>Blok E</t>
  </si>
  <si>
    <t>Blok F</t>
  </si>
  <si>
    <t>Blok G</t>
  </si>
  <si>
    <t>Blok H</t>
  </si>
  <si>
    <t>Blok I</t>
  </si>
  <si>
    <t>Blok J</t>
  </si>
  <si>
    <t>Lisa</t>
  </si>
  <si>
    <t>No.101</t>
  </si>
  <si>
    <t>Andi</t>
  </si>
  <si>
    <t>No.115</t>
  </si>
  <si>
    <t>Rina</t>
  </si>
  <si>
    <t>No.201</t>
  </si>
  <si>
    <t>Surya</t>
  </si>
  <si>
    <t>No.165</t>
  </si>
  <si>
    <t>Sinta</t>
  </si>
  <si>
    <t>No. 145</t>
  </si>
  <si>
    <t>Dewi</t>
  </si>
  <si>
    <t>No. 155</t>
  </si>
  <si>
    <t>Rangga</t>
  </si>
  <si>
    <t>No. 176</t>
  </si>
  <si>
    <t>Melly</t>
  </si>
  <si>
    <t>No. 186</t>
  </si>
  <si>
    <t>Kevin</t>
  </si>
  <si>
    <t>No.211</t>
  </si>
  <si>
    <t>Riko</t>
  </si>
  <si>
    <t>No.235</t>
  </si>
  <si>
    <t>Elsa</t>
  </si>
  <si>
    <t>No.102</t>
  </si>
  <si>
    <t>Rudi</t>
  </si>
  <si>
    <t>No.116</t>
  </si>
  <si>
    <t>Bella</t>
  </si>
  <si>
    <t>No.202</t>
  </si>
  <si>
    <t>Ilham</t>
  </si>
  <si>
    <t>No.166</t>
  </si>
  <si>
    <t>Lala</t>
  </si>
  <si>
    <t>No. 146</t>
  </si>
  <si>
    <t>Aldi</t>
  </si>
  <si>
    <t>No. 156</t>
  </si>
  <si>
    <t>Citra</t>
  </si>
  <si>
    <t>No. 177</t>
  </si>
  <si>
    <t>Yoga</t>
  </si>
  <si>
    <t>No. 187</t>
  </si>
  <si>
    <t>Risa</t>
  </si>
  <si>
    <t>No.212</t>
  </si>
  <si>
    <t>Fajar</t>
  </si>
  <si>
    <t>No.236</t>
  </si>
  <si>
    <t>Tina</t>
  </si>
  <si>
    <t>No.103</t>
  </si>
  <si>
    <t>Dedi</t>
  </si>
  <si>
    <t>No.117</t>
  </si>
  <si>
    <t>Nia</t>
  </si>
  <si>
    <t>No.203</t>
  </si>
  <si>
    <t>Andik</t>
  </si>
  <si>
    <t>No.167</t>
  </si>
  <si>
    <t>Galih</t>
  </si>
  <si>
    <t>No. 147</t>
  </si>
  <si>
    <t>Wulan</t>
  </si>
  <si>
    <t>No. 157</t>
  </si>
  <si>
    <t>Maya</t>
  </si>
  <si>
    <t>No. 178</t>
  </si>
  <si>
    <t>Farah</t>
  </si>
  <si>
    <t>No. 188</t>
  </si>
  <si>
    <t>Dimas</t>
  </si>
  <si>
    <t>No.213</t>
  </si>
  <si>
    <t>Felicia</t>
  </si>
  <si>
    <t>No.237</t>
  </si>
  <si>
    <t>Dino</t>
  </si>
  <si>
    <t>No.104</t>
  </si>
  <si>
    <t>Bagus</t>
  </si>
  <si>
    <t>No.118</t>
  </si>
  <si>
    <t>Arif</t>
  </si>
  <si>
    <t>No.204</t>
  </si>
  <si>
    <t>Ronald</t>
  </si>
  <si>
    <t>No.168</t>
  </si>
  <si>
    <t>Putri</t>
  </si>
  <si>
    <t>No. 148</t>
  </si>
  <si>
    <t>Ferry</t>
  </si>
  <si>
    <t>No. 158</t>
  </si>
  <si>
    <t>Intan</t>
  </si>
  <si>
    <t>No. 179</t>
  </si>
  <si>
    <t>Tony</t>
  </si>
  <si>
    <t>No. 189</t>
  </si>
  <si>
    <t>Ayla</t>
  </si>
  <si>
    <t>No.214</t>
  </si>
  <si>
    <t>Iqbal</t>
  </si>
  <si>
    <t>No.238</t>
  </si>
  <si>
    <t>Nurul</t>
  </si>
  <si>
    <t>No.105</t>
  </si>
  <si>
    <t>Sheila</t>
  </si>
  <si>
    <t>No.119</t>
  </si>
  <si>
    <t>Silvia</t>
  </si>
  <si>
    <t>No.205</t>
  </si>
  <si>
    <t>Tania</t>
  </si>
  <si>
    <t>No.169</t>
  </si>
  <si>
    <t>Budi</t>
  </si>
  <si>
    <t>No. 149</t>
  </si>
  <si>
    <t>Wawan</t>
  </si>
  <si>
    <t>No. 159</t>
  </si>
  <si>
    <t>Fathan</t>
  </si>
  <si>
    <t>No. 180</t>
  </si>
  <si>
    <t>Yesi</t>
  </si>
  <si>
    <t>No. 190</t>
  </si>
  <si>
    <t>Meylina</t>
  </si>
  <si>
    <t>No.215</t>
  </si>
  <si>
    <t>Ratna</t>
  </si>
  <si>
    <t>No.239</t>
  </si>
  <si>
    <t>Samuel</t>
  </si>
  <si>
    <t>No.106</t>
  </si>
  <si>
    <t>Aditya</t>
  </si>
  <si>
    <t>No.120</t>
  </si>
  <si>
    <t>Joko</t>
  </si>
  <si>
    <t>No.206</t>
  </si>
  <si>
    <t>Yudi</t>
  </si>
  <si>
    <t>No.170</t>
  </si>
  <si>
    <t>Sari</t>
  </si>
  <si>
    <t>No. 150</t>
  </si>
  <si>
    <t>Laras</t>
  </si>
  <si>
    <t>No. 160</t>
  </si>
  <si>
    <t>Yuni</t>
  </si>
  <si>
    <t>No. 181</t>
  </si>
  <si>
    <t>Umar</t>
  </si>
  <si>
    <t>No. 191</t>
  </si>
  <si>
    <t>Vina</t>
  </si>
  <si>
    <t>No.216</t>
  </si>
  <si>
    <t>Karina</t>
  </si>
  <si>
    <t>No.107</t>
  </si>
  <si>
    <t>Clara</t>
  </si>
  <si>
    <t>No.121</t>
  </si>
  <si>
    <t>Nadia</t>
  </si>
  <si>
    <t>No.207</t>
  </si>
  <si>
    <t>Salma</t>
  </si>
  <si>
    <t>No.171</t>
  </si>
  <si>
    <t>Tristan</t>
  </si>
  <si>
    <t>No. 151</t>
  </si>
  <si>
    <t>Hendra</t>
  </si>
  <si>
    <t>No. 161</t>
  </si>
  <si>
    <t>Billy</t>
  </si>
  <si>
    <t>No. 182</t>
  </si>
  <si>
    <t>Desi</t>
  </si>
  <si>
    <t>No. 192</t>
  </si>
  <si>
    <t>Oskar</t>
  </si>
  <si>
    <t>No.217</t>
  </si>
  <si>
    <t>Rizky</t>
  </si>
  <si>
    <t>No.108</t>
  </si>
  <si>
    <t>Dion</t>
  </si>
  <si>
    <t>No.122</t>
  </si>
  <si>
    <t>Hafiz</t>
  </si>
  <si>
    <t>No.208</t>
  </si>
  <si>
    <t>Fikri</t>
  </si>
  <si>
    <t>No.172</t>
  </si>
  <si>
    <t>Zahra</t>
  </si>
  <si>
    <t>No. 152</t>
  </si>
  <si>
    <t>Aulia</t>
  </si>
  <si>
    <t>No. 162</t>
  </si>
  <si>
    <t>Livia</t>
  </si>
  <si>
    <t>No. 183</t>
  </si>
  <si>
    <t>Ranggi</t>
  </si>
  <si>
    <t>No. 193</t>
  </si>
  <si>
    <t>Hanum</t>
  </si>
  <si>
    <t>No.218</t>
  </si>
  <si>
    <t>Naomi</t>
  </si>
  <si>
    <t>No.109</t>
  </si>
  <si>
    <t>Monica</t>
  </si>
  <si>
    <t>No.123</t>
  </si>
  <si>
    <t>Elvira</t>
  </si>
  <si>
    <t>No.209</t>
  </si>
  <si>
    <t>Regina</t>
  </si>
  <si>
    <t>No.173</t>
  </si>
  <si>
    <t>Steven</t>
  </si>
  <si>
    <t>No. 153</t>
  </si>
  <si>
    <t>Rendy</t>
  </si>
  <si>
    <t>No. 163</t>
  </si>
  <si>
    <t>Rio</t>
  </si>
  <si>
    <t>No. 184</t>
  </si>
  <si>
    <t>Julian</t>
  </si>
  <si>
    <t>No.219</t>
  </si>
  <si>
    <t>Felix</t>
  </si>
  <si>
    <t>No.110</t>
  </si>
  <si>
    <t>Bram</t>
  </si>
  <si>
    <t>No.124</t>
  </si>
  <si>
    <t>Bambang</t>
  </si>
  <si>
    <t>No.174</t>
  </si>
  <si>
    <t>Kiara</t>
  </si>
  <si>
    <t>No. 154</t>
  </si>
  <si>
    <t>Saskia</t>
  </si>
  <si>
    <t>No. 164</t>
  </si>
  <si>
    <t>Queen</t>
  </si>
  <si>
    <t>No. 185</t>
  </si>
  <si>
    <t>Cindy</t>
  </si>
  <si>
    <t>No.220</t>
  </si>
  <si>
    <t>Vera</t>
  </si>
  <si>
    <t>No.175</t>
  </si>
  <si>
    <t>Arman</t>
  </si>
  <si>
    <t>No.221</t>
  </si>
  <si>
    <t>Tyas</t>
  </si>
  <si>
    <t>No.222</t>
  </si>
  <si>
    <t>Ibnu</t>
  </si>
  <si>
    <t>No.223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</si>
  <si>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</si>
  <si>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</si>
  <si>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</si>
  <si>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</si>
  <si>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</si>
  <si>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</si>
  <si>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</si>
  <si>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</si>
  <si>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</si>
  <si>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</si>
  <si>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</si>
  <si>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</si>
  <si>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</si>
  <si>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</si>
  <si>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</si>
  <si>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DEF</t>
  </si>
  <si>
    <t>Formula Cek</t>
  </si>
  <si>
    <t>HI4</t>
  </si>
  <si>
    <t>V</t>
  </si>
  <si>
    <t>V2</t>
  </si>
  <si>
    <t>Random</t>
  </si>
  <si>
    <t>Manual</t>
  </si>
  <si>
    <t>**</t>
  </si>
  <si>
    <t>Banyak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</si>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</sst>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vertAlign val="superscript"/>
      <sz val="11"/>
      <color rgb="FFFFC0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i/>
      <sz val="11"/>
      <color theme="4" tint="-0.24997711111789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b/>
      <i/>
      <u/>
      <sz val="11"/>
      <color theme="4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6" borderId="0" xfId="0" applyFill="1"/>
    <xf numFmtId="0" fontId="4" fillId="9" borderId="0" xfId="0" applyFont="1" applyFill="1"/>
    <xf numFmtId="0" fontId="6" fillId="2" borderId="0" xfId="0" applyFont="1" applyFill="1" applyAlignment="1">
      <alignment vertical="center"/>
    </xf>
    <xf numFmtId="0" fontId="7" fillId="10" borderId="0" xfId="0" applyFont="1" applyFill="1"/>
    <xf numFmtId="0" fontId="0" fillId="5" borderId="1" xfId="0" applyFill="1" applyBorder="1" applyAlignment="1">
      <alignment horizontal="center" vertical="center" wrapText="1"/>
    </xf>
    <xf numFmtId="0" fontId="8" fillId="0" borderId="0" xfId="0" applyFont="1"/>
    <xf numFmtId="0" fontId="0" fillId="10" borderId="0" xfId="0" applyFill="1"/>
    <xf numFmtId="165" fontId="0" fillId="11" borderId="1" xfId="1" applyNumberFormat="1" applyFont="1" applyFill="1" applyBorder="1" applyAlignment="1">
      <alignment horizontal="left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165" fontId="0" fillId="6" borderId="1" xfId="1" applyNumberFormat="1" applyFont="1" applyFill="1" applyBorder="1" applyProtection="1">
      <protection locked="0"/>
    </xf>
    <xf numFmtId="0" fontId="11" fillId="0" borderId="0" xfId="0" applyFont="1"/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indent="2"/>
    </xf>
    <xf numFmtId="0" fontId="14" fillId="0" borderId="0" xfId="0" applyFont="1"/>
    <xf numFmtId="0" fontId="1" fillId="0" borderId="1" xfId="2" applyBorder="1"/>
    <xf numFmtId="0" fontId="1" fillId="0" borderId="0" xfId="2"/>
    <xf numFmtId="0" fontId="20" fillId="0" borderId="1" xfId="2" applyFont="1" applyBorder="1" applyAlignment="1">
      <alignment horizontal="left"/>
    </xf>
    <xf numFmtId="0" fontId="20" fillId="0" borderId="1" xfId="2" applyFont="1" applyBorder="1"/>
    <xf numFmtId="0" fontId="17" fillId="0" borderId="1" xfId="3" applyBorder="1"/>
    <xf numFmtId="0" fontId="22" fillId="0" borderId="0" xfId="0" applyFont="1"/>
    <xf numFmtId="0" fontId="21" fillId="0" borderId="0" xfId="0" applyFont="1"/>
    <xf numFmtId="0" fontId="7" fillId="10" borderId="0" xfId="0" applyFont="1" applyFill="1" applyProtection="1">
      <protection hidden="1"/>
    </xf>
    <xf numFmtId="165" fontId="0" fillId="6" borderId="1" xfId="1" applyNumberFormat="1" applyFont="1" applyFill="1" applyBorder="1" applyAlignment="1" applyProtection="1">
      <alignment wrapText="1"/>
      <protection locked="0"/>
    </xf>
    <xf numFmtId="0" fontId="19" fillId="0" borderId="1" xfId="2" applyFont="1" applyBorder="1" applyAlignment="1">
      <alignment horizontal="left"/>
    </xf>
    <xf numFmtId="0" fontId="0" fillId="3" borderId="3" xfId="0" applyFill="1" applyBorder="1" applyAlignment="1">
      <alignment horizontal="left" indent="1"/>
    </xf>
    <xf numFmtId="0" fontId="0" fillId="3" borderId="4" xfId="0" applyFill="1" applyBorder="1" applyAlignment="1">
      <alignment horizontal="left" inden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8" fillId="0" borderId="1" xfId="2" applyFont="1" applyBorder="1" applyAlignment="1">
      <alignment horizontal="left"/>
    </xf>
    <xf numFmtId="0" fontId="19" fillId="0" borderId="1" xfId="2" applyFont="1" applyBorder="1" applyAlignment="1">
      <alignment horizontal="left"/>
    </xf>
  </cellXfs>
  <cellStyles count="4">
    <cellStyle name="Comma" xfId="1" builtinId="3"/>
    <cellStyle name="Hyperlink 2" xfId="3" xr:uid="{73797ED3-FE46-427C-A7E2-BE25225469E7}"/>
    <cellStyle name="Normal" xfId="0" builtinId="0"/>
    <cellStyle name="Normal 2" xfId="2" xr:uid="{E5EBB379-C9B2-42A2-BC7E-FB1666C006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20</xdr:row>
      <xdr:rowOff>137160</xdr:rowOff>
    </xdr:from>
    <xdr:to>
      <xdr:col>9</xdr:col>
      <xdr:colOff>472440</xdr:colOff>
      <xdr:row>22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D0AD5-2409-463F-856E-82BC727C9A7F}"/>
            </a:ext>
          </a:extLst>
        </xdr:cNvPr>
        <xdr:cNvSpPr/>
      </xdr:nvSpPr>
      <xdr:spPr>
        <a:xfrm>
          <a:off x="10980420" y="4808220"/>
          <a:ext cx="1699260" cy="2971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7</xdr:col>
      <xdr:colOff>1089660</xdr:colOff>
      <xdr:row>2</xdr:row>
      <xdr:rowOff>7620</xdr:rowOff>
    </xdr:from>
    <xdr:to>
      <xdr:col>9</xdr:col>
      <xdr:colOff>99059</xdr:colOff>
      <xdr:row>4</xdr:row>
      <xdr:rowOff>228702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CCB467-79C3-44FE-97F5-E7838AED0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7540" y="457200"/>
          <a:ext cx="1554479" cy="5868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502920</xdr:colOff>
      <xdr:row>1</xdr:row>
      <xdr:rowOff>53340</xdr:rowOff>
    </xdr:from>
    <xdr:to>
      <xdr:col>4</xdr:col>
      <xdr:colOff>121919</xdr:colOff>
      <xdr:row>4</xdr:row>
      <xdr:rowOff>91542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6456F-29DC-4A72-AA10-EB8F2DC3C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54479" cy="586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8AB6-87B3-4DC5-9486-43C17AB3C11D}">
  <sheetPr codeName="Sheet1"/>
  <dimension ref="B1:U52"/>
  <sheetViews>
    <sheetView tabSelected="1" workbookViewId="0">
      <selection activeCell="F2" sqref="F2"/>
    </sheetView>
  </sheetViews>
  <sheetFormatPr defaultRowHeight="14.45"/>
  <cols>
    <col min="2" max="2" width="19.42578125" customWidth="1"/>
    <col min="3" max="3" width="21.42578125" customWidth="1"/>
    <col min="4" max="4" width="28.7109375" customWidth="1"/>
    <col min="5" max="5" width="23.7109375" customWidth="1"/>
    <col min="6" max="6" width="20.28515625" customWidth="1"/>
    <col min="7" max="7" width="21.85546875" customWidth="1"/>
    <col min="8" max="8" width="17.42578125" customWidth="1"/>
    <col min="9" max="9" width="19.7109375" customWidth="1"/>
    <col min="10" max="10" width="39.7109375" customWidth="1"/>
    <col min="11" max="11" width="19.7109375" customWidth="1"/>
    <col min="12" max="13" width="17.7109375" customWidth="1"/>
    <col min="14" max="14" width="18.42578125" customWidth="1"/>
    <col min="15" max="15" width="16.7109375" customWidth="1"/>
    <col min="16" max="16" width="21.7109375" customWidth="1"/>
    <col min="17" max="17" width="16.7109375" customWidth="1"/>
    <col min="18" max="18" width="16.28515625" customWidth="1"/>
    <col min="19" max="19" width="17.85546875" customWidth="1"/>
    <col min="20" max="20" width="17.7109375" customWidth="1"/>
    <col min="21" max="21" width="15.5703125" customWidth="1"/>
  </cols>
  <sheetData>
    <row r="1" spans="2:11">
      <c r="B1" s="7" t="s">
        <v>0</v>
      </c>
    </row>
    <row r="2" spans="2:11" ht="21">
      <c r="B2" s="8" t="s">
        <v>1</v>
      </c>
      <c r="C2" s="9" t="s">
        <v>2</v>
      </c>
      <c r="E2" s="8" t="s">
        <v>3</v>
      </c>
      <c r="F2" s="28" t="str">
        <f ca="1">DF!D37</f>
        <v>HI4|2A-2446F;23-3A303;22-A8A6231</v>
      </c>
      <c r="G2" s="9"/>
      <c r="H2" s="12"/>
    </row>
    <row r="5" spans="2:11" ht="26.45" customHeight="1">
      <c r="B5" s="4" t="s">
        <v>4</v>
      </c>
      <c r="C5" s="33" t="s">
        <v>5</v>
      </c>
      <c r="D5" s="34"/>
      <c r="E5" s="4" t="s">
        <v>6</v>
      </c>
      <c r="F5" s="4" t="s">
        <v>7</v>
      </c>
      <c r="G5" s="4" t="s">
        <v>8</v>
      </c>
      <c r="H5" s="1"/>
    </row>
    <row r="6" spans="2:11" ht="19.899999999999999" customHeight="1">
      <c r="B6" s="5">
        <v>1</v>
      </c>
      <c r="C6" s="31" t="s">
        <v>9</v>
      </c>
      <c r="D6" s="32"/>
      <c r="E6" s="29" t="str" cm="1">
        <f t="array" ref="E6">INDEX($38:$38, SUMPRODUCT(($B$39:$U$51=LEFT(C6,FIND(" ",C6&amp;" ")-1))*COLUMN($B$39:$U$51)))</f>
        <v>Blok A</v>
      </c>
      <c r="F6" s="16" cm="1">
        <f t="array" ref="F6">INDEX($D$26:$H$35,MATCH(1,ISNUMBER(SEARCH($C$26:$C$35,C6))*1,0),MATCH(1,COUNTIF(C6,"*"&amp;$D$25:$H$25&amp;"*"),0))</f>
        <v>10500</v>
      </c>
      <c r="G6" s="16" cm="1">
        <f t="array" ref="G6">SUMPRODUCT(($E$6:$E$20&lt;E6)*1)+COUNTIF($E$6:$E6,E6)</f>
        <v>1</v>
      </c>
      <c r="I6" s="17" t="s">
        <v>10</v>
      </c>
    </row>
    <row r="7" spans="2:11" ht="19.899999999999999" customHeight="1">
      <c r="B7" s="5">
        <v>2</v>
      </c>
      <c r="C7" s="31" t="s">
        <v>11</v>
      </c>
      <c r="D7" s="32"/>
      <c r="E7" s="16" t="str" cm="1">
        <f t="array" ref="E7">INDEX($38:$38, SUMPRODUCT(($B$39:$U$51=LEFT(C7,FIND(" ",C7&amp;" ")-1))*COLUMN($B$39:$U$51)))</f>
        <v>Blok B</v>
      </c>
      <c r="F7" s="16" cm="1">
        <f t="array" ref="F7">INDEX($D$26:$H$35,MATCH(1,ISNUMBER(SEARCH($C$26:$C$35,C7))*1,0),MATCH(1,COUNTIF(C7,"*"&amp;$D$25:$H$25&amp;"*"),0))</f>
        <v>12500</v>
      </c>
      <c r="G7" s="16" cm="1">
        <f t="array" ref="G7">SUMPRODUCT(($E$6:$E$20&lt;E7)*1)+COUNTIF($E$6:$E7,E7)</f>
        <v>3</v>
      </c>
      <c r="H7" s="11">
        <v>1</v>
      </c>
      <c r="I7" s="27" t="s">
        <v>12</v>
      </c>
    </row>
    <row r="8" spans="2:11" ht="19.899999999999999" customHeight="1">
      <c r="B8" s="5">
        <v>3</v>
      </c>
      <c r="C8" s="31" t="s">
        <v>13</v>
      </c>
      <c r="D8" s="32"/>
      <c r="E8" s="16" t="str" cm="1">
        <f t="array" ref="E8">INDEX($38:$38, SUMPRODUCT(($B$39:$U$51=LEFT(C8,FIND(" ",C8&amp;" ")-1))*COLUMN($B$39:$U$51)))</f>
        <v>Blok A</v>
      </c>
      <c r="F8" s="16" cm="1">
        <f t="array" ref="F8">INDEX($D$26:$H$35,MATCH(1,ISNUMBER(SEARCH($C$26:$C$35,C8))*1,0),MATCH(1,COUNTIF(C8,"*"&amp;$D$25:$H$25&amp;"*"),0))</f>
        <v>15100</v>
      </c>
      <c r="G8" s="16" cm="1">
        <f t="array" ref="G8">SUMPRODUCT(($E$6:$E$20&lt;E8)*1)+COUNTIF($E$6:$E8,E8)</f>
        <v>2</v>
      </c>
      <c r="I8" s="26" t="s">
        <v>14</v>
      </c>
      <c r="K8" s="16" t="s">
        <v>15</v>
      </c>
    </row>
    <row r="9" spans="2:11" ht="19.899999999999999" customHeight="1">
      <c r="B9" s="5">
        <v>4</v>
      </c>
      <c r="C9" s="31" t="s">
        <v>16</v>
      </c>
      <c r="D9" s="32"/>
      <c r="E9" s="16" t="str" cm="1">
        <f t="array" ref="E9">INDEX($38:$38, SUMPRODUCT(($B$39:$U$51=LEFT(C9,FIND(" ",C9&amp;" ")-1))*COLUMN($B$39:$U$51)))</f>
        <v>Blok E</v>
      </c>
      <c r="F9" s="16" cm="1">
        <f t="array" ref="F9">INDEX($D$26:$H$35,MATCH(1,ISNUMBER(SEARCH($C$26:$C$35,C9))*1,0),MATCH(1,COUNTIF(C9,"*"&amp;$D$25:$H$25&amp;"*"),0))</f>
        <v>7300</v>
      </c>
      <c r="G9" s="16" cm="1">
        <f t="array" ref="G9">SUMPRODUCT(($E$6:$E$20&lt;E9)*1)+COUNTIF($E$6:$E9,E9)</f>
        <v>10</v>
      </c>
      <c r="H9" s="11">
        <v>2</v>
      </c>
      <c r="I9" s="27" t="s">
        <v>17</v>
      </c>
    </row>
    <row r="10" spans="2:11" ht="19.899999999999999" customHeight="1">
      <c r="B10" s="5">
        <v>5</v>
      </c>
      <c r="C10" s="31" t="s">
        <v>18</v>
      </c>
      <c r="D10" s="32"/>
      <c r="E10" s="16" t="str" cm="1">
        <f t="array" ref="E10">INDEX($38:$38, SUMPRODUCT(($B$39:$U$51=LEFT(C10,FIND(" ",C10&amp;" ")-1))*COLUMN($B$39:$U$51)))</f>
        <v>Blok B</v>
      </c>
      <c r="F10" s="16" cm="1">
        <f t="array" ref="F10">INDEX($D$26:$H$35,MATCH(1,ISNUMBER(SEARCH($C$26:$C$35,C10))*1,0),MATCH(1,COUNTIF(C10,"*"&amp;$D$25:$H$25&amp;"*"),0))</f>
        <v>20000</v>
      </c>
      <c r="G10" s="16" cm="1">
        <f t="array" ref="G10">SUMPRODUCT(($E$6:$E$20&lt;E10)*1)+COUNTIF($E$6:$E10,E10)</f>
        <v>4</v>
      </c>
      <c r="I10" s="26" t="s">
        <v>14</v>
      </c>
      <c r="K10" s="16">
        <v>10500</v>
      </c>
    </row>
    <row r="11" spans="2:11" ht="19.899999999999999" customHeight="1">
      <c r="B11" s="5">
        <v>6</v>
      </c>
      <c r="C11" s="31" t="s">
        <v>19</v>
      </c>
      <c r="D11" s="32"/>
      <c r="E11" s="16" t="str" cm="1">
        <f t="array" ref="E11">INDEX($38:$38, SUMPRODUCT(($B$39:$U$51=LEFT(C11,FIND(" ",C11&amp;" ")-1))*COLUMN($B$39:$U$51)))</f>
        <v>Blok E</v>
      </c>
      <c r="F11" s="16" cm="1">
        <f t="array" ref="F11">INDEX($D$26:$H$35,MATCH(1,ISNUMBER(SEARCH($C$26:$C$35,C11))*1,0),MATCH(1,COUNTIF(C11,"*"&amp;$D$25:$H$25&amp;"*"),0))</f>
        <v>15300</v>
      </c>
      <c r="G11" s="16" cm="1">
        <f t="array" ref="G11">SUMPRODUCT(($E$6:$E$20&lt;E11)*1)+COUNTIF($E$6:$E11,E11)</f>
        <v>11</v>
      </c>
      <c r="H11" s="11">
        <v>3</v>
      </c>
      <c r="I11" s="27" t="s">
        <v>20</v>
      </c>
    </row>
    <row r="12" spans="2:11" ht="19.899999999999999" customHeight="1">
      <c r="B12" s="5">
        <v>7</v>
      </c>
      <c r="C12" s="31" t="s">
        <v>21</v>
      </c>
      <c r="D12" s="32"/>
      <c r="E12" s="16" t="str" cm="1">
        <f t="array" ref="E12">INDEX($38:$38, SUMPRODUCT(($B$39:$U$51=LEFT(C12,FIND(" ",C12&amp;" ")-1))*COLUMN($B$39:$U$51)))</f>
        <v>Blok B</v>
      </c>
      <c r="F12" s="16" cm="1">
        <f t="array" ref="F12">INDEX($D$26:$H$35,MATCH(1,ISNUMBER(SEARCH($C$26:$C$35,C12))*1,0),MATCH(1,COUNTIF(C12,"*"&amp;$D$25:$H$25&amp;"*"),0))</f>
        <v>30200</v>
      </c>
      <c r="G12" s="16" cm="1">
        <f t="array" ref="G12">SUMPRODUCT(($E$6:$E$20&lt;E12)*1)+COUNTIF($E$6:$E12,E12)</f>
        <v>5</v>
      </c>
      <c r="I12" s="26" t="s">
        <v>22</v>
      </c>
      <c r="K12" s="16">
        <v>1</v>
      </c>
    </row>
    <row r="13" spans="2:11" ht="19.899999999999999" customHeight="1">
      <c r="B13" s="5">
        <v>8</v>
      </c>
      <c r="C13" s="31" t="s">
        <v>23</v>
      </c>
      <c r="D13" s="32"/>
      <c r="E13" s="16" t="str" cm="1">
        <f t="array" ref="E13">INDEX($38:$38, SUMPRODUCT(($B$39:$U$51=LEFT(C13,FIND(" ",C13&amp;" ")-1))*COLUMN($B$39:$U$51)))</f>
        <v>Blok G</v>
      </c>
      <c r="F13" s="16" cm="1">
        <f t="array" ref="F13">INDEX($D$26:$H$35,MATCH(1,ISNUMBER(SEARCH($C$26:$C$35,C13))*1,0),MATCH(1,COUNTIF(C13,"*"&amp;$D$25:$H$25&amp;"*"),0))</f>
        <v>10300</v>
      </c>
      <c r="G13" s="16" cm="1">
        <f t="array" ref="G13">SUMPRODUCT(($E$6:$E$20&lt;E13)*1)+COUNTIF($E$6:$E13,E13)</f>
        <v>13</v>
      </c>
      <c r="I13" s="26" t="s">
        <v>24</v>
      </c>
      <c r="K13" s="16">
        <v>3</v>
      </c>
    </row>
    <row r="14" spans="2:11" ht="19.899999999999999" customHeight="1">
      <c r="B14" s="5">
        <v>9</v>
      </c>
      <c r="C14" s="31" t="s">
        <v>25</v>
      </c>
      <c r="D14" s="32"/>
      <c r="E14" s="16" t="str" cm="1">
        <f t="array" ref="E14">INDEX($38:$38, SUMPRODUCT(($B$39:$U$51=LEFT(C14,FIND(" ",C14&amp;" ")-1))*COLUMN($B$39:$U$51)))</f>
        <v>Blok F</v>
      </c>
      <c r="F14" s="16" cm="1">
        <f t="array" ref="F14">INDEX($D$26:$H$35,MATCH(1,ISNUMBER(SEARCH($C$26:$C$35,C14))*1,0),MATCH(1,COUNTIF(C14,"*"&amp;$D$25:$H$25&amp;"*"),0))</f>
        <v>21800</v>
      </c>
      <c r="G14" s="16" cm="1">
        <f t="array" ref="G14">SUMPRODUCT(($E$6:$E$20&lt;E14)*1)+COUNTIF($E$6:$E14,E14)</f>
        <v>12</v>
      </c>
      <c r="I14" s="26" t="s">
        <v>26</v>
      </c>
      <c r="K14" s="16">
        <v>2</v>
      </c>
    </row>
    <row r="15" spans="2:11" ht="19.899999999999999" customHeight="1">
      <c r="B15" s="5">
        <v>10</v>
      </c>
      <c r="C15" s="31" t="s">
        <v>27</v>
      </c>
      <c r="D15" s="32"/>
      <c r="E15" s="16" t="str" cm="1">
        <f t="array" ref="E15">INDEX($38:$38, SUMPRODUCT(($B$39:$U$51=LEFT(C15,FIND(" ",C15&amp;" ")-1))*COLUMN($B$39:$U$51)))</f>
        <v>Blok C</v>
      </c>
      <c r="F15" s="16" cm="1">
        <f t="array" ref="F15">INDEX($D$26:$H$35,MATCH(1,ISNUMBER(SEARCH($C$26:$C$35,C15))*1,0),MATCH(1,COUNTIF(C15,"*"&amp;$D$25:$H$25&amp;"*"),0))</f>
        <v>15200</v>
      </c>
      <c r="G15" s="16" cm="1">
        <f t="array" ref="G15">SUMPRODUCT(($E$6:$E$20&lt;E15)*1)+COUNTIF($E$6:$E15,E15)</f>
        <v>6</v>
      </c>
    </row>
    <row r="16" spans="2:11" ht="19.899999999999999" customHeight="1">
      <c r="B16" s="5">
        <v>11</v>
      </c>
      <c r="C16" s="31" t="s">
        <v>28</v>
      </c>
      <c r="D16" s="32"/>
      <c r="E16" s="16" t="str" cm="1">
        <f t="array" ref="E16">INDEX($38:$38, SUMPRODUCT(($B$39:$U$51=LEFT(C16,FIND(" ",C16&amp;" ")-1))*COLUMN($B$39:$U$51)))</f>
        <v>Blok J</v>
      </c>
      <c r="F16" s="16" cm="1">
        <f t="array" ref="F16">INDEX($D$26:$H$35,MATCH(1,ISNUMBER(SEARCH($C$26:$C$35,C16))*1,0),MATCH(1,COUNTIF(C16,"*"&amp;$D$25:$H$25&amp;"*"),0))</f>
        <v>8600</v>
      </c>
      <c r="G16" s="16" cm="1">
        <f t="array" ref="G16">SUMPRODUCT(($E$6:$E$20&lt;E16)*1)+COUNTIF($E$6:$E16,E16)</f>
        <v>15</v>
      </c>
      <c r="I16" s="18" t="s">
        <v>29</v>
      </c>
    </row>
    <row r="17" spans="2:9" ht="19.899999999999999" customHeight="1">
      <c r="B17" s="5">
        <v>12</v>
      </c>
      <c r="C17" s="31" t="s">
        <v>30</v>
      </c>
      <c r="D17" s="32"/>
      <c r="E17" s="16" t="str" cm="1">
        <f t="array" ref="E17">INDEX($38:$38, SUMPRODUCT(($B$39:$U$51=LEFT(C17,FIND(" ",C17&amp;" ")-1))*COLUMN($B$39:$U$51)))</f>
        <v>Blok C</v>
      </c>
      <c r="F17" s="16" cm="1">
        <f t="array" ref="F17">INDEX($D$26:$H$35,MATCH(1,ISNUMBER(SEARCH($C$26:$C$35,C17))*1,0),MATCH(1,COUNTIF(C17,"*"&amp;$D$25:$H$25&amp;"*"),0))</f>
        <v>6800</v>
      </c>
      <c r="G17" s="16" cm="1">
        <f t="array" ref="G17">SUMPRODUCT(($E$6:$E$20&lt;E17)*1)+COUNTIF($E$6:$E17,E17)</f>
        <v>7</v>
      </c>
      <c r="I17" s="19" t="s">
        <v>31</v>
      </c>
    </row>
    <row r="18" spans="2:9" ht="19.899999999999999" customHeight="1">
      <c r="B18" s="5">
        <v>13</v>
      </c>
      <c r="C18" s="31" t="s">
        <v>32</v>
      </c>
      <c r="D18" s="32"/>
      <c r="E18" s="16" t="str" cm="1">
        <f t="array" ref="E18">INDEX($38:$38, SUMPRODUCT(($B$39:$U$51=LEFT(C18,FIND(" ",C18&amp;" ")-1))*COLUMN($B$39:$U$51)))</f>
        <v>Blok C</v>
      </c>
      <c r="F18" s="16" cm="1">
        <f t="array" ref="F18">INDEX($D$26:$H$35,MATCH(1,ISNUMBER(SEARCH($C$26:$C$35,C18))*1,0),MATCH(1,COUNTIF(C18,"*"&amp;$D$25:$H$25&amp;"*"),0))</f>
        <v>26200</v>
      </c>
      <c r="G18" s="16" cm="1">
        <f t="array" ref="G18">SUMPRODUCT(($E$6:$E$20&lt;E18)*1)+COUNTIF($E$6:$E18,E18)</f>
        <v>8</v>
      </c>
    </row>
    <row r="19" spans="2:9" ht="19.899999999999999" customHeight="1">
      <c r="B19" s="5">
        <v>14</v>
      </c>
      <c r="C19" s="31" t="s">
        <v>33</v>
      </c>
      <c r="D19" s="32"/>
      <c r="E19" s="16" t="str" cm="1">
        <f t="array" ref="E19">INDEX($38:$38, SUMPRODUCT(($B$39:$U$51=LEFT(C19,FIND(" ",C19&amp;" ")-1))*COLUMN($B$39:$U$51)))</f>
        <v>Blok I</v>
      </c>
      <c r="F19" s="16" cm="1">
        <f t="array" ref="F19">INDEX($D$26:$H$35,MATCH(1,ISNUMBER(SEARCH($C$26:$C$35,C19))*1,0),MATCH(1,COUNTIF(C19,"*"&amp;$D$25:$H$25&amp;"*"),0))</f>
        <v>18000</v>
      </c>
      <c r="G19" s="16" cm="1">
        <f t="array" ref="G19">SUMPRODUCT(($E$6:$E$20&lt;E19)*1)+COUNTIF($E$6:$E19,E19)</f>
        <v>14</v>
      </c>
      <c r="I19" s="20" t="s">
        <v>34</v>
      </c>
    </row>
    <row r="20" spans="2:9" ht="19.899999999999999" customHeight="1">
      <c r="B20" s="5">
        <v>15</v>
      </c>
      <c r="C20" s="31" t="s">
        <v>35</v>
      </c>
      <c r="D20" s="32"/>
      <c r="E20" s="16" t="str" cm="1">
        <f t="array" ref="E20">INDEX($38:$38, SUMPRODUCT(($B$39:$U$51=LEFT(C20,FIND(" ",C20&amp;" ")-1))*COLUMN($B$39:$U$51)))</f>
        <v>Blok D</v>
      </c>
      <c r="F20" s="16" cm="1">
        <f t="array" ref="F20">INDEX($D$26:$H$35,MATCH(1,ISNUMBER(SEARCH($C$26:$C$35,C20))*1,0),MATCH(1,COUNTIF(C20,"*"&amp;$D$25:$H$25&amp;"*"),0))</f>
        <v>20100</v>
      </c>
      <c r="G20" s="16" cm="1">
        <f t="array" ref="G20">SUMPRODUCT(($E$6:$E$20&lt;E20)*1)+COUNTIF($E$6:$E20,E20)</f>
        <v>9</v>
      </c>
      <c r="I20" s="20" t="s">
        <v>36</v>
      </c>
    </row>
    <row r="24" spans="2:9" ht="24.6" customHeight="1">
      <c r="B24" s="36" t="s">
        <v>37</v>
      </c>
      <c r="C24" s="36"/>
      <c r="D24" s="36"/>
      <c r="E24" s="12"/>
      <c r="F24" s="12"/>
      <c r="G24" s="12"/>
      <c r="H24" s="12"/>
    </row>
    <row r="25" spans="2:9" ht="19.899999999999999" customHeight="1">
      <c r="B25" s="2" t="s">
        <v>4</v>
      </c>
      <c r="C25" s="2" t="s">
        <v>38</v>
      </c>
      <c r="D25" s="2" t="s">
        <v>39</v>
      </c>
      <c r="E25" s="2" t="s">
        <v>40</v>
      </c>
      <c r="F25" s="2" t="s">
        <v>41</v>
      </c>
      <c r="G25" s="2" t="s">
        <v>42</v>
      </c>
      <c r="H25" s="2" t="s">
        <v>43</v>
      </c>
    </row>
    <row r="26" spans="2:9" ht="19.899999999999999" customHeight="1">
      <c r="B26" s="10">
        <v>1</v>
      </c>
      <c r="C26" s="3" t="s">
        <v>44</v>
      </c>
      <c r="D26" s="13">
        <v>25000</v>
      </c>
      <c r="E26" s="13">
        <v>26000</v>
      </c>
      <c r="F26" s="13">
        <v>24500</v>
      </c>
      <c r="G26" s="13">
        <v>25500</v>
      </c>
      <c r="H26" s="13">
        <v>26200</v>
      </c>
    </row>
    <row r="27" spans="2:9" ht="19.899999999999999" customHeight="1">
      <c r="B27" s="10">
        <v>2</v>
      </c>
      <c r="C27" s="3" t="s">
        <v>45</v>
      </c>
      <c r="D27" s="13">
        <v>10000</v>
      </c>
      <c r="E27" s="13">
        <v>10500</v>
      </c>
      <c r="F27" s="13">
        <v>9800</v>
      </c>
      <c r="G27" s="13">
        <v>10200</v>
      </c>
      <c r="H27" s="13">
        <v>10300</v>
      </c>
    </row>
    <row r="28" spans="2:9" ht="19.899999999999999" customHeight="1">
      <c r="B28" s="10">
        <v>3</v>
      </c>
      <c r="C28" s="3" t="s">
        <v>46</v>
      </c>
      <c r="D28" s="13">
        <v>12000</v>
      </c>
      <c r="E28" s="13">
        <v>11800</v>
      </c>
      <c r="F28" s="13">
        <v>12500</v>
      </c>
      <c r="G28" s="13">
        <v>12200</v>
      </c>
      <c r="H28" s="13">
        <v>12300</v>
      </c>
    </row>
    <row r="29" spans="2:9" ht="19.899999999999999" customHeight="1">
      <c r="B29" s="10">
        <v>4</v>
      </c>
      <c r="C29" s="3" t="s">
        <v>47</v>
      </c>
      <c r="D29" s="13">
        <v>20000</v>
      </c>
      <c r="E29" s="13">
        <v>19800</v>
      </c>
      <c r="F29" s="13">
        <v>20500</v>
      </c>
      <c r="G29" s="13">
        <v>20200</v>
      </c>
      <c r="H29" s="13">
        <v>20100</v>
      </c>
    </row>
    <row r="30" spans="2:9" ht="19.899999999999999" customHeight="1">
      <c r="B30" s="10">
        <v>5</v>
      </c>
      <c r="C30" s="3" t="s">
        <v>48</v>
      </c>
      <c r="D30" s="13">
        <v>15000</v>
      </c>
      <c r="E30" s="13">
        <v>15200</v>
      </c>
      <c r="F30" s="13">
        <v>14800</v>
      </c>
      <c r="G30" s="13">
        <v>15100</v>
      </c>
      <c r="H30" s="13">
        <v>15300</v>
      </c>
    </row>
    <row r="31" spans="2:9" ht="19.899999999999999" customHeight="1">
      <c r="B31" s="10">
        <v>6</v>
      </c>
      <c r="C31" s="3" t="s">
        <v>49</v>
      </c>
      <c r="D31" s="13">
        <v>8500</v>
      </c>
      <c r="E31" s="13">
        <v>8700</v>
      </c>
      <c r="F31" s="13">
        <v>8300</v>
      </c>
      <c r="G31" s="13">
        <v>8600</v>
      </c>
      <c r="H31" s="13">
        <v>8800</v>
      </c>
    </row>
    <row r="32" spans="2:9" ht="19.899999999999999" customHeight="1">
      <c r="B32" s="10">
        <v>7</v>
      </c>
      <c r="C32" s="3" t="s">
        <v>50</v>
      </c>
      <c r="D32" s="13">
        <v>7000</v>
      </c>
      <c r="E32" s="13">
        <v>7200</v>
      </c>
      <c r="F32" s="13">
        <v>6800</v>
      </c>
      <c r="G32" s="13">
        <v>7100</v>
      </c>
      <c r="H32" s="13">
        <v>7300</v>
      </c>
    </row>
    <row r="33" spans="2:21" ht="19.899999999999999" customHeight="1">
      <c r="B33" s="10">
        <v>8</v>
      </c>
      <c r="C33" s="3" t="s">
        <v>51</v>
      </c>
      <c r="D33" s="13">
        <v>18000</v>
      </c>
      <c r="E33" s="13">
        <v>17800</v>
      </c>
      <c r="F33" s="13">
        <v>18500</v>
      </c>
      <c r="G33" s="13">
        <v>18200</v>
      </c>
      <c r="H33" s="13">
        <v>18300</v>
      </c>
    </row>
    <row r="34" spans="2:21" ht="19.899999999999999" customHeight="1">
      <c r="B34" s="10">
        <v>9</v>
      </c>
      <c r="C34" s="3" t="s">
        <v>52</v>
      </c>
      <c r="D34" s="13">
        <v>22000</v>
      </c>
      <c r="E34" s="13">
        <v>22500</v>
      </c>
      <c r="F34" s="13">
        <v>21800</v>
      </c>
      <c r="G34" s="13">
        <v>22200</v>
      </c>
      <c r="H34" s="13">
        <v>22300</v>
      </c>
    </row>
    <row r="35" spans="2:21" ht="19.899999999999999" customHeight="1">
      <c r="B35" s="10">
        <v>10</v>
      </c>
      <c r="C35" s="3" t="s">
        <v>53</v>
      </c>
      <c r="D35" s="13">
        <v>30000</v>
      </c>
      <c r="E35" s="13">
        <v>29800</v>
      </c>
      <c r="F35" s="13">
        <v>30500</v>
      </c>
      <c r="G35" s="13">
        <v>30200</v>
      </c>
      <c r="H35" s="13">
        <v>30100</v>
      </c>
    </row>
    <row r="37" spans="2:21" ht="21" customHeight="1">
      <c r="B37" s="35" t="s">
        <v>54</v>
      </c>
      <c r="C37" s="35"/>
      <c r="D37" s="3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2:21" ht="19.899999999999999" customHeight="1">
      <c r="B38" s="38" t="s">
        <v>15</v>
      </c>
      <c r="C38" s="38"/>
      <c r="D38" s="37" t="s">
        <v>55</v>
      </c>
      <c r="E38" s="37"/>
      <c r="F38" s="38" t="s">
        <v>56</v>
      </c>
      <c r="G38" s="38"/>
      <c r="H38" s="37" t="s">
        <v>57</v>
      </c>
      <c r="I38" s="37"/>
      <c r="J38" s="38" t="s">
        <v>58</v>
      </c>
      <c r="K38" s="38"/>
      <c r="L38" s="37" t="s">
        <v>59</v>
      </c>
      <c r="M38" s="37"/>
      <c r="N38" s="38" t="s">
        <v>60</v>
      </c>
      <c r="O38" s="38"/>
      <c r="P38" s="37" t="s">
        <v>61</v>
      </c>
      <c r="Q38" s="37"/>
      <c r="R38" s="38" t="s">
        <v>62</v>
      </c>
      <c r="S38" s="38"/>
      <c r="T38" s="37" t="s">
        <v>63</v>
      </c>
      <c r="U38" s="37"/>
    </row>
    <row r="39" spans="2:21" ht="19.899999999999999" customHeight="1">
      <c r="B39" s="14" t="s">
        <v>64</v>
      </c>
      <c r="C39" s="14" t="s">
        <v>65</v>
      </c>
      <c r="D39" s="15" t="s">
        <v>66</v>
      </c>
      <c r="E39" s="15" t="s">
        <v>67</v>
      </c>
      <c r="F39" s="14" t="s">
        <v>68</v>
      </c>
      <c r="G39" s="14" t="s">
        <v>69</v>
      </c>
      <c r="H39" s="15" t="s">
        <v>70</v>
      </c>
      <c r="I39" s="15" t="s">
        <v>71</v>
      </c>
      <c r="J39" s="14" t="s">
        <v>72</v>
      </c>
      <c r="K39" s="14" t="s">
        <v>73</v>
      </c>
      <c r="L39" s="15" t="s">
        <v>74</v>
      </c>
      <c r="M39" s="15" t="s">
        <v>75</v>
      </c>
      <c r="N39" s="14" t="s">
        <v>76</v>
      </c>
      <c r="O39" s="14" t="s">
        <v>77</v>
      </c>
      <c r="P39" s="15" t="s">
        <v>78</v>
      </c>
      <c r="Q39" s="15" t="s">
        <v>79</v>
      </c>
      <c r="R39" s="14" t="s">
        <v>80</v>
      </c>
      <c r="S39" s="14" t="s">
        <v>81</v>
      </c>
      <c r="T39" s="15" t="s">
        <v>82</v>
      </c>
      <c r="U39" s="15" t="s">
        <v>83</v>
      </c>
    </row>
    <row r="40" spans="2:21" ht="19.899999999999999" customHeight="1">
      <c r="B40" s="14" t="s">
        <v>84</v>
      </c>
      <c r="C40" s="14" t="s">
        <v>85</v>
      </c>
      <c r="D40" s="15" t="s">
        <v>86</v>
      </c>
      <c r="E40" s="15" t="s">
        <v>87</v>
      </c>
      <c r="F40" s="14" t="s">
        <v>88</v>
      </c>
      <c r="G40" s="14" t="s">
        <v>89</v>
      </c>
      <c r="H40" s="15" t="s">
        <v>90</v>
      </c>
      <c r="I40" s="15" t="s">
        <v>91</v>
      </c>
      <c r="J40" s="14" t="s">
        <v>92</v>
      </c>
      <c r="K40" s="14" t="s">
        <v>93</v>
      </c>
      <c r="L40" s="15" t="s">
        <v>94</v>
      </c>
      <c r="M40" s="15" t="s">
        <v>95</v>
      </c>
      <c r="N40" s="14" t="s">
        <v>96</v>
      </c>
      <c r="O40" s="14" t="s">
        <v>97</v>
      </c>
      <c r="P40" s="15" t="s">
        <v>98</v>
      </c>
      <c r="Q40" s="15" t="s">
        <v>99</v>
      </c>
      <c r="R40" s="14" t="s">
        <v>100</v>
      </c>
      <c r="S40" s="14" t="s">
        <v>101</v>
      </c>
      <c r="T40" s="15" t="s">
        <v>102</v>
      </c>
      <c r="U40" s="15" t="s">
        <v>103</v>
      </c>
    </row>
    <row r="41" spans="2:21" ht="19.899999999999999" customHeight="1">
      <c r="B41" s="14" t="s">
        <v>104</v>
      </c>
      <c r="C41" s="14" t="s">
        <v>105</v>
      </c>
      <c r="D41" s="15" t="s">
        <v>106</v>
      </c>
      <c r="E41" s="15" t="s">
        <v>107</v>
      </c>
      <c r="F41" s="14" t="s">
        <v>108</v>
      </c>
      <c r="G41" s="14" t="s">
        <v>109</v>
      </c>
      <c r="H41" s="15" t="s">
        <v>110</v>
      </c>
      <c r="I41" s="15" t="s">
        <v>111</v>
      </c>
      <c r="J41" s="14" t="s">
        <v>112</v>
      </c>
      <c r="K41" s="14" t="s">
        <v>113</v>
      </c>
      <c r="L41" s="15" t="s">
        <v>114</v>
      </c>
      <c r="M41" s="15" t="s">
        <v>115</v>
      </c>
      <c r="N41" s="14" t="s">
        <v>116</v>
      </c>
      <c r="O41" s="14" t="s">
        <v>117</v>
      </c>
      <c r="P41" s="15" t="s">
        <v>118</v>
      </c>
      <c r="Q41" s="15" t="s">
        <v>119</v>
      </c>
      <c r="R41" s="14" t="s">
        <v>120</v>
      </c>
      <c r="S41" s="14" t="s">
        <v>121</v>
      </c>
      <c r="T41" s="15" t="s">
        <v>122</v>
      </c>
      <c r="U41" s="15" t="s">
        <v>123</v>
      </c>
    </row>
    <row r="42" spans="2:21" ht="19.899999999999999" customHeight="1">
      <c r="B42" s="14" t="s">
        <v>124</v>
      </c>
      <c r="C42" s="14" t="s">
        <v>125</v>
      </c>
      <c r="D42" s="15" t="s">
        <v>126</v>
      </c>
      <c r="E42" s="15" t="s">
        <v>127</v>
      </c>
      <c r="F42" s="14" t="s">
        <v>128</v>
      </c>
      <c r="G42" s="14" t="s">
        <v>129</v>
      </c>
      <c r="H42" s="15" t="s">
        <v>130</v>
      </c>
      <c r="I42" s="15" t="s">
        <v>131</v>
      </c>
      <c r="J42" s="14" t="s">
        <v>132</v>
      </c>
      <c r="K42" s="14" t="s">
        <v>133</v>
      </c>
      <c r="L42" s="15" t="s">
        <v>134</v>
      </c>
      <c r="M42" s="15" t="s">
        <v>135</v>
      </c>
      <c r="N42" s="14" t="s">
        <v>136</v>
      </c>
      <c r="O42" s="14" t="s">
        <v>137</v>
      </c>
      <c r="P42" s="15" t="s">
        <v>138</v>
      </c>
      <c r="Q42" s="15" t="s">
        <v>139</v>
      </c>
      <c r="R42" s="14" t="s">
        <v>140</v>
      </c>
      <c r="S42" s="14" t="s">
        <v>141</v>
      </c>
      <c r="T42" s="15" t="s">
        <v>142</v>
      </c>
      <c r="U42" s="15" t="s">
        <v>143</v>
      </c>
    </row>
    <row r="43" spans="2:21" ht="19.899999999999999" customHeight="1">
      <c r="B43" s="14" t="s">
        <v>144</v>
      </c>
      <c r="C43" s="14" t="s">
        <v>145</v>
      </c>
      <c r="D43" s="15" t="s">
        <v>146</v>
      </c>
      <c r="E43" s="15" t="s">
        <v>147</v>
      </c>
      <c r="F43" s="14" t="s">
        <v>148</v>
      </c>
      <c r="G43" s="14" t="s">
        <v>149</v>
      </c>
      <c r="H43" s="15" t="s">
        <v>150</v>
      </c>
      <c r="I43" s="15" t="s">
        <v>151</v>
      </c>
      <c r="J43" s="14" t="s">
        <v>152</v>
      </c>
      <c r="K43" s="14" t="s">
        <v>153</v>
      </c>
      <c r="L43" s="15" t="s">
        <v>154</v>
      </c>
      <c r="M43" s="15" t="s">
        <v>155</v>
      </c>
      <c r="N43" s="14" t="s">
        <v>156</v>
      </c>
      <c r="O43" s="14" t="s">
        <v>157</v>
      </c>
      <c r="P43" s="15" t="s">
        <v>158</v>
      </c>
      <c r="Q43" s="15" t="s">
        <v>159</v>
      </c>
      <c r="R43" s="14" t="s">
        <v>160</v>
      </c>
      <c r="S43" s="14" t="s">
        <v>161</v>
      </c>
      <c r="T43" s="15" t="s">
        <v>162</v>
      </c>
      <c r="U43" s="15" t="s">
        <v>163</v>
      </c>
    </row>
    <row r="44" spans="2:21" ht="19.899999999999999" customHeight="1">
      <c r="B44" s="14" t="s">
        <v>164</v>
      </c>
      <c r="C44" s="14" t="s">
        <v>165</v>
      </c>
      <c r="D44" s="15" t="s">
        <v>166</v>
      </c>
      <c r="E44" s="15" t="s">
        <v>167</v>
      </c>
      <c r="F44" s="14" t="s">
        <v>168</v>
      </c>
      <c r="G44" s="14" t="s">
        <v>169</v>
      </c>
      <c r="H44" s="15" t="s">
        <v>170</v>
      </c>
      <c r="I44" s="15" t="s">
        <v>171</v>
      </c>
      <c r="J44" s="14" t="s">
        <v>172</v>
      </c>
      <c r="K44" s="14" t="s">
        <v>173</v>
      </c>
      <c r="L44" s="15" t="s">
        <v>174</v>
      </c>
      <c r="M44" s="15" t="s">
        <v>175</v>
      </c>
      <c r="N44" s="14" t="s">
        <v>176</v>
      </c>
      <c r="O44" s="14" t="s">
        <v>177</v>
      </c>
      <c r="P44" s="15" t="s">
        <v>178</v>
      </c>
      <c r="Q44" s="15" t="s">
        <v>179</v>
      </c>
      <c r="R44" s="14" t="s">
        <v>180</v>
      </c>
      <c r="S44" s="14" t="s">
        <v>181</v>
      </c>
      <c r="T44" s="15"/>
      <c r="U44" s="15"/>
    </row>
    <row r="45" spans="2:21" ht="19.899999999999999" customHeight="1">
      <c r="B45" s="14" t="s">
        <v>182</v>
      </c>
      <c r="C45" s="14" t="s">
        <v>183</v>
      </c>
      <c r="D45" s="15" t="s">
        <v>184</v>
      </c>
      <c r="E45" s="15" t="s">
        <v>185</v>
      </c>
      <c r="F45" s="14" t="s">
        <v>186</v>
      </c>
      <c r="G45" s="14" t="s">
        <v>187</v>
      </c>
      <c r="H45" s="15" t="s">
        <v>188</v>
      </c>
      <c r="I45" s="15" t="s">
        <v>189</v>
      </c>
      <c r="J45" s="14" t="s">
        <v>190</v>
      </c>
      <c r="K45" s="14" t="s">
        <v>191</v>
      </c>
      <c r="L45" s="15" t="s">
        <v>192</v>
      </c>
      <c r="M45" s="15" t="s">
        <v>193</v>
      </c>
      <c r="N45" s="14" t="s">
        <v>194</v>
      </c>
      <c r="O45" s="14" t="s">
        <v>195</v>
      </c>
      <c r="P45" s="15" t="s">
        <v>196</v>
      </c>
      <c r="Q45" s="15" t="s">
        <v>197</v>
      </c>
      <c r="R45" s="14" t="s">
        <v>198</v>
      </c>
      <c r="S45" s="14" t="s">
        <v>199</v>
      </c>
      <c r="T45" s="15"/>
      <c r="U45" s="15"/>
    </row>
    <row r="46" spans="2:21" ht="19.899999999999999" customHeight="1">
      <c r="B46" s="14" t="s">
        <v>200</v>
      </c>
      <c r="C46" s="14" t="s">
        <v>201</v>
      </c>
      <c r="D46" s="15" t="s">
        <v>202</v>
      </c>
      <c r="E46" s="15" t="s">
        <v>203</v>
      </c>
      <c r="F46" s="14" t="s">
        <v>204</v>
      </c>
      <c r="G46" s="14" t="s">
        <v>205</v>
      </c>
      <c r="H46" s="15" t="s">
        <v>206</v>
      </c>
      <c r="I46" s="15" t="s">
        <v>207</v>
      </c>
      <c r="J46" s="14" t="s">
        <v>208</v>
      </c>
      <c r="K46" s="14" t="s">
        <v>209</v>
      </c>
      <c r="L46" s="15" t="s">
        <v>210</v>
      </c>
      <c r="M46" s="15" t="s">
        <v>211</v>
      </c>
      <c r="N46" s="14" t="s">
        <v>212</v>
      </c>
      <c r="O46" s="14" t="s">
        <v>213</v>
      </c>
      <c r="P46" s="15" t="s">
        <v>214</v>
      </c>
      <c r="Q46" s="15" t="s">
        <v>215</v>
      </c>
      <c r="R46" s="14" t="s">
        <v>216</v>
      </c>
      <c r="S46" s="14" t="s">
        <v>217</v>
      </c>
      <c r="T46" s="15"/>
      <c r="U46" s="15"/>
    </row>
    <row r="47" spans="2:21" ht="19.899999999999999" customHeight="1">
      <c r="B47" s="14" t="s">
        <v>218</v>
      </c>
      <c r="C47" s="14" t="s">
        <v>219</v>
      </c>
      <c r="D47" s="15" t="s">
        <v>220</v>
      </c>
      <c r="E47" s="15" t="s">
        <v>221</v>
      </c>
      <c r="F47" s="14" t="s">
        <v>222</v>
      </c>
      <c r="G47" s="14" t="s">
        <v>223</v>
      </c>
      <c r="H47" s="15" t="s">
        <v>224</v>
      </c>
      <c r="I47" s="15" t="s">
        <v>225</v>
      </c>
      <c r="J47" s="14" t="s">
        <v>226</v>
      </c>
      <c r="K47" s="14" t="s">
        <v>227</v>
      </c>
      <c r="L47" s="15" t="s">
        <v>228</v>
      </c>
      <c r="M47" s="15" t="s">
        <v>229</v>
      </c>
      <c r="N47" s="14" t="s">
        <v>230</v>
      </c>
      <c r="O47" s="14" t="s">
        <v>231</v>
      </c>
      <c r="P47" s="15"/>
      <c r="Q47" s="15"/>
      <c r="R47" s="14" t="s">
        <v>232</v>
      </c>
      <c r="S47" s="14" t="s">
        <v>233</v>
      </c>
      <c r="T47" s="15"/>
      <c r="U47" s="15"/>
    </row>
    <row r="48" spans="2:21" ht="19.899999999999999" customHeight="1">
      <c r="B48" s="14" t="s">
        <v>234</v>
      </c>
      <c r="C48" s="14" t="s">
        <v>235</v>
      </c>
      <c r="D48" s="15" t="s">
        <v>236</v>
      </c>
      <c r="E48" s="15" t="s">
        <v>237</v>
      </c>
      <c r="F48" s="14"/>
      <c r="G48" s="14"/>
      <c r="H48" s="15" t="s">
        <v>238</v>
      </c>
      <c r="I48" s="15" t="s">
        <v>239</v>
      </c>
      <c r="J48" s="14" t="s">
        <v>240</v>
      </c>
      <c r="K48" s="14" t="s">
        <v>241</v>
      </c>
      <c r="L48" s="15" t="s">
        <v>242</v>
      </c>
      <c r="M48" s="15" t="s">
        <v>243</v>
      </c>
      <c r="N48" s="14" t="s">
        <v>244</v>
      </c>
      <c r="O48" s="14" t="s">
        <v>245</v>
      </c>
      <c r="P48" s="15"/>
      <c r="Q48" s="15"/>
      <c r="R48" s="14" t="s">
        <v>246</v>
      </c>
      <c r="S48" s="14" t="s">
        <v>247</v>
      </c>
      <c r="T48" s="15"/>
      <c r="U48" s="15"/>
    </row>
    <row r="49" spans="2:21" ht="19.899999999999999" customHeight="1">
      <c r="B49" s="14"/>
      <c r="C49" s="14"/>
      <c r="D49" s="15"/>
      <c r="E49" s="15"/>
      <c r="F49" s="14"/>
      <c r="G49" s="14"/>
      <c r="H49" s="15" t="s">
        <v>248</v>
      </c>
      <c r="I49" s="15" t="s">
        <v>249</v>
      </c>
      <c r="J49" s="14"/>
      <c r="K49" s="14"/>
      <c r="L49" s="15"/>
      <c r="M49" s="15"/>
      <c r="N49" s="14"/>
      <c r="O49" s="14"/>
      <c r="P49" s="15"/>
      <c r="Q49" s="15"/>
      <c r="R49" s="14" t="s">
        <v>250</v>
      </c>
      <c r="S49" s="14" t="s">
        <v>251</v>
      </c>
      <c r="T49" s="15"/>
      <c r="U49" s="15"/>
    </row>
    <row r="50" spans="2:21" ht="19.899999999999999" customHeight="1">
      <c r="B50" s="14"/>
      <c r="C50" s="14"/>
      <c r="D50" s="15"/>
      <c r="E50" s="15"/>
      <c r="F50" s="14"/>
      <c r="G50" s="14"/>
      <c r="H50" s="15"/>
      <c r="I50" s="15"/>
      <c r="J50" s="14"/>
      <c r="K50" s="14"/>
      <c r="L50" s="15"/>
      <c r="M50" s="15"/>
      <c r="N50" s="14"/>
      <c r="O50" s="14"/>
      <c r="P50" s="15"/>
      <c r="Q50" s="15"/>
      <c r="R50" s="14" t="s">
        <v>252</v>
      </c>
      <c r="S50" s="14" t="s">
        <v>253</v>
      </c>
      <c r="T50" s="15"/>
      <c r="U50" s="15"/>
    </row>
    <row r="51" spans="2:21" ht="19.899999999999999" customHeight="1">
      <c r="B51" s="14"/>
      <c r="C51" s="14"/>
      <c r="D51" s="15"/>
      <c r="E51" s="15"/>
      <c r="F51" s="14"/>
      <c r="G51" s="14"/>
      <c r="H51" s="15"/>
      <c r="I51" s="15"/>
      <c r="J51" s="14"/>
      <c r="K51" s="14"/>
      <c r="L51" s="15"/>
      <c r="M51" s="15"/>
      <c r="N51" s="14"/>
      <c r="O51" s="14"/>
      <c r="P51" s="15"/>
      <c r="Q51" s="15"/>
      <c r="R51" s="14" t="s">
        <v>254</v>
      </c>
      <c r="S51" s="14" t="s">
        <v>255</v>
      </c>
      <c r="T51" s="15"/>
      <c r="U51" s="15"/>
    </row>
    <row r="52" spans="2:21" ht="19.899999999999999" customHeight="1">
      <c r="B52" s="14"/>
      <c r="C52" s="14"/>
      <c r="D52" s="15"/>
      <c r="E52" s="15"/>
      <c r="F52" s="14"/>
      <c r="G52" s="14"/>
      <c r="H52" s="15"/>
      <c r="I52" s="15"/>
      <c r="J52" s="14"/>
      <c r="K52" s="14"/>
      <c r="L52" s="15"/>
      <c r="M52" s="15"/>
      <c r="N52" s="14"/>
      <c r="O52" s="14"/>
      <c r="P52" s="15"/>
      <c r="Q52" s="15"/>
      <c r="R52" s="14"/>
      <c r="S52" s="14"/>
      <c r="T52" s="15"/>
      <c r="U52" s="15"/>
    </row>
  </sheetData>
  <sheetProtection algorithmName="SHA-512" hashValue="QLBdzrtw2zervonFEDSV/w7WXRGvQpMr4E1G1deoxx1iPF9qqI1EZpcaq8MfM5UKst31EeT8YlbzF4O7EHZs7Q==" saltValue="5F+/yiTdvJTxS6GUa5s2AA==" spinCount="100000" sheet="1" objects="1" scenarios="1"/>
  <mergeCells count="28"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B37:D37"/>
    <mergeCell ref="C11:D11"/>
    <mergeCell ref="C12:D12"/>
    <mergeCell ref="C13:D13"/>
    <mergeCell ref="C14:D14"/>
    <mergeCell ref="C15:D15"/>
    <mergeCell ref="C16:D16"/>
    <mergeCell ref="B24:D24"/>
    <mergeCell ref="C17:D17"/>
    <mergeCell ref="C18:D18"/>
    <mergeCell ref="C19:D19"/>
    <mergeCell ref="C20:D20"/>
    <mergeCell ref="C10:D10"/>
    <mergeCell ref="C5:D5"/>
    <mergeCell ref="C6:D6"/>
    <mergeCell ref="C7:D7"/>
    <mergeCell ref="C8:D8"/>
    <mergeCell ref="C9:D9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308F-BC8A-4C60-9DCE-0ED08BC2406A}">
  <sheetPr codeName="Sheet3"/>
  <dimension ref="A1:J25"/>
  <sheetViews>
    <sheetView showGridLines="0" workbookViewId="0">
      <selection activeCell="H29" sqref="H29"/>
    </sheetView>
  </sheetViews>
  <sheetFormatPr defaultColWidth="8.85546875" defaultRowHeight="14.45"/>
  <cols>
    <col min="1" max="3" width="8.85546875" style="22"/>
    <col min="4" max="4" width="10.42578125" style="22" customWidth="1"/>
    <col min="5" max="5" width="9.28515625" style="22" customWidth="1"/>
    <col min="6" max="7" width="8.85546875" style="22"/>
    <col min="8" max="8" width="26.42578125" style="22" customWidth="1"/>
    <col min="9" max="16384" width="8.85546875" style="22"/>
  </cols>
  <sheetData>
    <row r="1" spans="1:10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>
      <c r="A6" s="21"/>
      <c r="B6" s="21"/>
      <c r="C6" s="21" t="s">
        <v>256</v>
      </c>
      <c r="D6" s="21"/>
      <c r="E6" s="21"/>
      <c r="F6" s="21"/>
      <c r="G6" s="21"/>
      <c r="H6" s="21"/>
      <c r="I6" s="21"/>
      <c r="J6" s="21"/>
    </row>
    <row r="7" spans="1:10">
      <c r="A7" s="21"/>
      <c r="B7" s="21"/>
      <c r="C7" s="21" t="s">
        <v>257</v>
      </c>
      <c r="D7" s="21"/>
      <c r="E7" s="21"/>
      <c r="F7" s="21"/>
      <c r="G7" s="21"/>
      <c r="H7" s="21"/>
      <c r="I7" s="21"/>
      <c r="J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spans="1:10">
      <c r="A10" s="21"/>
      <c r="B10" s="21"/>
      <c r="C10" s="21" t="s">
        <v>258</v>
      </c>
      <c r="D10" s="21"/>
      <c r="E10" s="21"/>
      <c r="F10" s="21"/>
      <c r="G10" s="21"/>
      <c r="H10" s="21"/>
      <c r="I10" s="21"/>
      <c r="J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0">
      <c r="A12" s="21"/>
      <c r="B12" s="21"/>
      <c r="C12" s="21"/>
      <c r="D12" s="39" t="s">
        <v>259</v>
      </c>
      <c r="E12" s="39"/>
      <c r="F12" s="40" t="s">
        <v>260</v>
      </c>
      <c r="G12" s="40"/>
      <c r="H12" s="21"/>
      <c r="I12" s="21"/>
      <c r="J12" s="21"/>
    </row>
    <row r="13" spans="1:10">
      <c r="A13" s="21"/>
      <c r="B13" s="21"/>
      <c r="C13" s="21"/>
      <c r="D13" s="39" t="s">
        <v>261</v>
      </c>
      <c r="E13" s="39"/>
      <c r="F13" s="30" t="s">
        <v>262</v>
      </c>
      <c r="G13" s="23"/>
      <c r="H13" s="21"/>
      <c r="I13" s="21"/>
      <c r="J13" s="21"/>
    </row>
    <row r="14" spans="1:10">
      <c r="A14" s="21"/>
      <c r="B14" s="21"/>
      <c r="C14" s="21"/>
      <c r="D14" s="39" t="s">
        <v>263</v>
      </c>
      <c r="E14" s="39"/>
      <c r="F14" s="30" t="s">
        <v>264</v>
      </c>
      <c r="G14" s="24"/>
      <c r="H14" s="21"/>
      <c r="I14" s="21"/>
      <c r="J14" s="21"/>
    </row>
    <row r="15" spans="1:10">
      <c r="A15" s="21"/>
      <c r="B15" s="21"/>
      <c r="C15" s="21"/>
      <c r="D15" s="39" t="s">
        <v>265</v>
      </c>
      <c r="E15" s="39"/>
      <c r="F15" s="30" t="s">
        <v>266</v>
      </c>
      <c r="G15" s="24"/>
      <c r="H15" s="21"/>
      <c r="I15" s="21"/>
      <c r="J15" s="21"/>
    </row>
    <row r="16" spans="1:10">
      <c r="A16" s="21"/>
      <c r="B16" s="21"/>
      <c r="C16" s="21"/>
      <c r="D16" s="39" t="s">
        <v>267</v>
      </c>
      <c r="E16" s="39"/>
      <c r="F16" s="30" t="s">
        <v>268</v>
      </c>
      <c r="G16" s="24"/>
      <c r="H16" s="21"/>
      <c r="I16" s="21"/>
      <c r="J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>
      <c r="A19" s="21"/>
      <c r="B19" s="21"/>
      <c r="C19" s="21" t="s">
        <v>269</v>
      </c>
      <c r="D19" s="21"/>
      <c r="E19" s="21"/>
      <c r="F19" s="21"/>
      <c r="G19" s="21"/>
      <c r="H19" s="21"/>
      <c r="I19" s="21"/>
      <c r="J19" s="21"/>
    </row>
    <row r="20" spans="1:10">
      <c r="A20" s="21"/>
      <c r="B20" s="21"/>
      <c r="C20" s="25" t="s">
        <v>270</v>
      </c>
      <c r="D20" s="21"/>
      <c r="E20" s="21"/>
      <c r="F20" s="21"/>
      <c r="G20" s="21"/>
      <c r="H20" s="21"/>
      <c r="I20" s="21"/>
      <c r="J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CE8483C7-7254-472E-BA48-99905CFB9BC2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3E07-2355-4119-B1E9-B40743064356}">
  <sheetPr codeName="Sheet4"/>
  <dimension ref="A1:P37"/>
  <sheetViews>
    <sheetView topLeftCell="A7" workbookViewId="0">
      <selection activeCell="D34" sqref="D34"/>
    </sheetView>
  </sheetViews>
  <sheetFormatPr defaultRowHeight="14.45"/>
  <cols>
    <col min="4" max="4" width="14.7109375" customWidth="1"/>
    <col min="5" max="5" width="13" customWidth="1"/>
    <col min="6" max="6" width="11.28515625" customWidth="1"/>
    <col min="8" max="8" width="12.7109375" customWidth="1"/>
    <col min="9" max="9" width="11.7109375" customWidth="1"/>
    <col min="14" max="14" width="99.7109375" customWidth="1"/>
    <col min="15" max="15" width="11.28515625" customWidth="1"/>
  </cols>
  <sheetData>
    <row r="1" spans="1:16">
      <c r="A1" t="s">
        <v>271</v>
      </c>
      <c r="D1">
        <v>1</v>
      </c>
      <c r="E1">
        <v>2</v>
      </c>
      <c r="F1">
        <v>3</v>
      </c>
      <c r="H1" t="s">
        <v>272</v>
      </c>
    </row>
    <row r="2" spans="1:16">
      <c r="A2" t="s">
        <v>273</v>
      </c>
      <c r="C2">
        <v>1</v>
      </c>
      <c r="D2" t="str">
        <f>'XL-Test'!E6</f>
        <v>Blok A</v>
      </c>
      <c r="E2">
        <f>'XL-Test'!F6</f>
        <v>10500</v>
      </c>
      <c r="F2">
        <f>'XL-Test'!G6</f>
        <v>1</v>
      </c>
      <c r="H2">
        <f ca="1">IFERROR(LEN(_xlfn.FORMULATEXT('XL-Test'!E6)),0)</f>
        <v>90</v>
      </c>
      <c r="I2">
        <f ca="1">IFERROR(LEN(_xlfn.FORMULATEXT('XL-Test'!F6)),0)</f>
        <v>108</v>
      </c>
      <c r="J2">
        <f ca="1">IFERROR(LEN(_xlfn.FORMULATEXT('XL-Test'!G6)),0)</f>
        <v>51</v>
      </c>
      <c r="N2" t="str">
        <f ca="1">SUBSTITUTE(_xlfn.FORMULATEXT('XL-Test'!E6),"$","")</f>
        <v>=INDEX(38:38; SUMPRODUCT((B39:U51=LEFT(C6;FIND(" ";C6&amp;" ")-1))*COLUMN(B39:U51)))</v>
      </c>
      <c r="O2" t="str">
        <f ca="1">SUBSTITUTE(_xlfn.FORMULATEXT('XL-Test'!F6),"$","")</f>
        <v>=INDEX(D26:H35;MATCH(1;ISNUMBER(SEARCH(C26:C35;C6))*1;0);MATCH(1;COUNTIF(C6;"*"&amp;D25:H25&amp;"*");0))</v>
      </c>
      <c r="P2" t="str">
        <f ca="1">SUBSTITUTE(_xlfn.FORMULATEXT('XL-Test'!G6),"$","")</f>
        <v>=SUMPRODUCT((E6:E20&lt;E6)*1)+COUNTIF(E6:E6;E6)</v>
      </c>
    </row>
    <row r="3" spans="1:16">
      <c r="C3">
        <v>2</v>
      </c>
      <c r="D3" t="str">
        <f>'XL-Test'!E7</f>
        <v>Blok B</v>
      </c>
      <c r="E3">
        <f>'XL-Test'!F7</f>
        <v>12500</v>
      </c>
      <c r="F3">
        <f>'XL-Test'!G7</f>
        <v>3</v>
      </c>
      <c r="H3">
        <f ca="1">IFERROR(LEN(_xlfn.FORMULATEXT('XL-Test'!E7)),0)</f>
        <v>90</v>
      </c>
      <c r="I3">
        <f ca="1">IFERROR(LEN(_xlfn.FORMULATEXT('XL-Test'!F7)),0)</f>
        <v>108</v>
      </c>
      <c r="J3">
        <f ca="1">IFERROR(LEN(_xlfn.FORMULATEXT('XL-Test'!G7)),0)</f>
        <v>51</v>
      </c>
      <c r="N3" t="str">
        <f ca="1">O2</f>
        <v>=INDEX(D26:H35;MATCH(1;ISNUMBER(SEARCH(C26:C35;C6))*1;0);MATCH(1;COUNTIF(C6;"*"&amp;D25:H25&amp;"*");0))</v>
      </c>
    </row>
    <row r="4" spans="1:16">
      <c r="C4">
        <v>3</v>
      </c>
      <c r="D4" t="str">
        <f>'XL-Test'!E8</f>
        <v>Blok A</v>
      </c>
      <c r="E4">
        <f>'XL-Test'!F8</f>
        <v>15100</v>
      </c>
      <c r="F4">
        <f>'XL-Test'!G8</f>
        <v>2</v>
      </c>
      <c r="H4">
        <f ca="1">IFERROR(LEN(_xlfn.FORMULATEXT('XL-Test'!E8)),0)</f>
        <v>90</v>
      </c>
      <c r="I4">
        <f ca="1">IFERROR(LEN(_xlfn.FORMULATEXT('XL-Test'!F8)),0)</f>
        <v>108</v>
      </c>
      <c r="J4">
        <f ca="1">IFERROR(LEN(_xlfn.FORMULATEXT('XL-Test'!G8)),0)</f>
        <v>51</v>
      </c>
      <c r="N4" t="str">
        <f ca="1">P2</f>
        <v>=SUMPRODUCT((E6:E20&lt;E6)*1)+COUNTIF(E6:E6;E6)</v>
      </c>
    </row>
    <row r="5" spans="1:16">
      <c r="C5">
        <v>4</v>
      </c>
      <c r="D5" t="str">
        <f>'XL-Test'!E9</f>
        <v>Blok E</v>
      </c>
      <c r="E5">
        <f>'XL-Test'!F9</f>
        <v>7300</v>
      </c>
      <c r="F5">
        <f>'XL-Test'!G9</f>
        <v>10</v>
      </c>
      <c r="H5">
        <f ca="1">IFERROR(LEN(_xlfn.FORMULATEXT('XL-Test'!E9)),0)</f>
        <v>90</v>
      </c>
      <c r="I5">
        <f ca="1">IFERROR(LEN(_xlfn.FORMULATEXT('XL-Test'!F9)),0)</f>
        <v>108</v>
      </c>
      <c r="J5">
        <f ca="1">IFERROR(LEN(_xlfn.FORMULATEXT('XL-Test'!G9)),0)</f>
        <v>51</v>
      </c>
    </row>
    <row r="6" spans="1:16">
      <c r="C6">
        <v>5</v>
      </c>
      <c r="D6" t="str">
        <f>'XL-Test'!E10</f>
        <v>Blok B</v>
      </c>
      <c r="E6">
        <f>'XL-Test'!F10</f>
        <v>20000</v>
      </c>
      <c r="F6">
        <f>'XL-Test'!G10</f>
        <v>4</v>
      </c>
      <c r="H6">
        <f ca="1">IFERROR(LEN(_xlfn.FORMULATEXT('XL-Test'!E10)),0)</f>
        <v>92</v>
      </c>
      <c r="I6">
        <f ca="1">IFERROR(LEN(_xlfn.FORMULATEXT('XL-Test'!F10)),0)</f>
        <v>110</v>
      </c>
      <c r="J6">
        <f ca="1">IFERROR(LEN(_xlfn.FORMULATEXT('XL-Test'!G10)),0)</f>
        <v>54</v>
      </c>
    </row>
    <row r="7" spans="1:16">
      <c r="C7">
        <v>6</v>
      </c>
      <c r="D7" t="str">
        <f>'XL-Test'!E11</f>
        <v>Blok E</v>
      </c>
      <c r="E7">
        <f>'XL-Test'!F11</f>
        <v>15300</v>
      </c>
      <c r="F7">
        <f>'XL-Test'!G11</f>
        <v>11</v>
      </c>
      <c r="H7">
        <f ca="1">IFERROR(LEN(_xlfn.FORMULATEXT('XL-Test'!E11)),0)</f>
        <v>92</v>
      </c>
      <c r="I7">
        <f ca="1">IFERROR(LEN(_xlfn.FORMULATEXT('XL-Test'!F11)),0)</f>
        <v>110</v>
      </c>
      <c r="J7">
        <f ca="1">IFERROR(LEN(_xlfn.FORMULATEXT('XL-Test'!G11)),0)</f>
        <v>54</v>
      </c>
    </row>
    <row r="8" spans="1:16">
      <c r="C8">
        <v>7</v>
      </c>
      <c r="D8" t="str">
        <f>'XL-Test'!E12</f>
        <v>Blok B</v>
      </c>
      <c r="E8">
        <f>'XL-Test'!F12</f>
        <v>30200</v>
      </c>
      <c r="F8">
        <f>'XL-Test'!G12</f>
        <v>5</v>
      </c>
      <c r="H8">
        <f ca="1">IFERROR(LEN(_xlfn.FORMULATEXT('XL-Test'!E12)),0)</f>
        <v>92</v>
      </c>
      <c r="I8">
        <f ca="1">IFERROR(LEN(_xlfn.FORMULATEXT('XL-Test'!F12)),0)</f>
        <v>110</v>
      </c>
      <c r="J8">
        <f ca="1">IFERROR(LEN(_xlfn.FORMULATEXT('XL-Test'!G12)),0)</f>
        <v>54</v>
      </c>
    </row>
    <row r="9" spans="1:16">
      <c r="C9">
        <v>8</v>
      </c>
      <c r="D9" t="str">
        <f>'XL-Test'!E13</f>
        <v>Blok G</v>
      </c>
      <c r="E9">
        <f>'XL-Test'!F13</f>
        <v>10300</v>
      </c>
      <c r="F9">
        <f>'XL-Test'!G13</f>
        <v>13</v>
      </c>
      <c r="H9">
        <f ca="1">IFERROR(LEN(_xlfn.FORMULATEXT('XL-Test'!E13)),0)</f>
        <v>92</v>
      </c>
      <c r="I9">
        <f ca="1">IFERROR(LEN(_xlfn.FORMULATEXT('XL-Test'!F13)),0)</f>
        <v>110</v>
      </c>
      <c r="J9">
        <f ca="1">IFERROR(LEN(_xlfn.FORMULATEXT('XL-Test'!G13)),0)</f>
        <v>54</v>
      </c>
    </row>
    <row r="10" spans="1:16">
      <c r="C10">
        <v>9</v>
      </c>
      <c r="D10" t="str">
        <f>'XL-Test'!E14</f>
        <v>Blok F</v>
      </c>
      <c r="E10">
        <f>'XL-Test'!F14</f>
        <v>21800</v>
      </c>
      <c r="F10">
        <f>'XL-Test'!G14</f>
        <v>12</v>
      </c>
      <c r="H10">
        <f ca="1">IFERROR(LEN(_xlfn.FORMULATEXT('XL-Test'!E14)),0)</f>
        <v>92</v>
      </c>
      <c r="I10">
        <f ca="1">IFERROR(LEN(_xlfn.FORMULATEXT('XL-Test'!F14)),0)</f>
        <v>110</v>
      </c>
      <c r="J10">
        <f ca="1">IFERROR(LEN(_xlfn.FORMULATEXT('XL-Test'!G14)),0)</f>
        <v>54</v>
      </c>
    </row>
    <row r="11" spans="1:16">
      <c r="C11">
        <v>10</v>
      </c>
      <c r="D11" t="str">
        <f>'XL-Test'!E15</f>
        <v>Blok C</v>
      </c>
      <c r="E11">
        <f>'XL-Test'!F15</f>
        <v>15200</v>
      </c>
      <c r="F11">
        <f>'XL-Test'!G15</f>
        <v>6</v>
      </c>
      <c r="H11">
        <f ca="1">IFERROR(LEN(_xlfn.FORMULATEXT('XL-Test'!E15)),0)</f>
        <v>92</v>
      </c>
      <c r="I11">
        <f ca="1">IFERROR(LEN(_xlfn.FORMULATEXT('XL-Test'!F15)),0)</f>
        <v>110</v>
      </c>
      <c r="J11">
        <f ca="1">IFERROR(LEN(_xlfn.FORMULATEXT('XL-Test'!G15)),0)</f>
        <v>54</v>
      </c>
    </row>
    <row r="12" spans="1:16">
      <c r="C12">
        <v>11</v>
      </c>
      <c r="D12" t="str">
        <f>'XL-Test'!E16</f>
        <v>Blok J</v>
      </c>
      <c r="E12">
        <f>'XL-Test'!F16</f>
        <v>8600</v>
      </c>
      <c r="F12">
        <f>'XL-Test'!G16</f>
        <v>15</v>
      </c>
      <c r="H12">
        <f ca="1">IFERROR(LEN(_xlfn.FORMULATEXT('XL-Test'!E16)),0)</f>
        <v>92</v>
      </c>
      <c r="I12">
        <f ca="1">IFERROR(LEN(_xlfn.FORMULATEXT('XL-Test'!F16)),0)</f>
        <v>110</v>
      </c>
      <c r="J12">
        <f ca="1">IFERROR(LEN(_xlfn.FORMULATEXT('XL-Test'!G16)),0)</f>
        <v>54</v>
      </c>
    </row>
    <row r="13" spans="1:16">
      <c r="C13">
        <v>12</v>
      </c>
      <c r="D13" t="str">
        <f>'XL-Test'!E17</f>
        <v>Blok C</v>
      </c>
      <c r="E13">
        <f>'XL-Test'!F17</f>
        <v>6800</v>
      </c>
      <c r="F13">
        <f>'XL-Test'!G17</f>
        <v>7</v>
      </c>
      <c r="H13">
        <f ca="1">IFERROR(LEN(_xlfn.FORMULATEXT('XL-Test'!E17)),0)</f>
        <v>92</v>
      </c>
      <c r="I13">
        <f ca="1">IFERROR(LEN(_xlfn.FORMULATEXT('XL-Test'!F17)),0)</f>
        <v>110</v>
      </c>
      <c r="J13">
        <f ca="1">IFERROR(LEN(_xlfn.FORMULATEXT('XL-Test'!G17)),0)</f>
        <v>54</v>
      </c>
    </row>
    <row r="14" spans="1:16">
      <c r="C14">
        <v>13</v>
      </c>
      <c r="D14" t="str">
        <f>'XL-Test'!E18</f>
        <v>Blok C</v>
      </c>
      <c r="E14">
        <f>'XL-Test'!F18</f>
        <v>26200</v>
      </c>
      <c r="F14">
        <f>'XL-Test'!G18</f>
        <v>8</v>
      </c>
      <c r="H14">
        <f ca="1">IFERROR(LEN(_xlfn.FORMULATEXT('XL-Test'!E18)),0)</f>
        <v>92</v>
      </c>
      <c r="I14">
        <f ca="1">IFERROR(LEN(_xlfn.FORMULATEXT('XL-Test'!F18)),0)</f>
        <v>110</v>
      </c>
      <c r="J14">
        <f ca="1">IFERROR(LEN(_xlfn.FORMULATEXT('XL-Test'!G18)),0)</f>
        <v>54</v>
      </c>
    </row>
    <row r="15" spans="1:16">
      <c r="C15">
        <v>14</v>
      </c>
      <c r="D15" t="str">
        <f>'XL-Test'!E19</f>
        <v>Blok I</v>
      </c>
      <c r="E15">
        <f>'XL-Test'!F19</f>
        <v>18000</v>
      </c>
      <c r="F15">
        <f>'XL-Test'!G19</f>
        <v>14</v>
      </c>
      <c r="H15">
        <f ca="1">IFERROR(LEN(_xlfn.FORMULATEXT('XL-Test'!E19)),0)</f>
        <v>92</v>
      </c>
      <c r="I15">
        <f ca="1">IFERROR(LEN(_xlfn.FORMULATEXT('XL-Test'!F19)),0)</f>
        <v>110</v>
      </c>
      <c r="J15">
        <f ca="1">IFERROR(LEN(_xlfn.FORMULATEXT('XL-Test'!G19)),0)</f>
        <v>54</v>
      </c>
    </row>
    <row r="16" spans="1:16">
      <c r="C16">
        <v>15</v>
      </c>
      <c r="D16" t="str">
        <f>'XL-Test'!E20</f>
        <v>Blok D</v>
      </c>
      <c r="E16">
        <f>'XL-Test'!F20</f>
        <v>20100</v>
      </c>
      <c r="F16">
        <f>'XL-Test'!G20</f>
        <v>9</v>
      </c>
      <c r="H16">
        <f ca="1">IFERROR(LEN(_xlfn.FORMULATEXT('XL-Test'!E20)),0)</f>
        <v>92</v>
      </c>
      <c r="I16">
        <f ca="1">IFERROR(LEN(_xlfn.FORMULATEXT('XL-Test'!F20)),0)</f>
        <v>110</v>
      </c>
      <c r="J16">
        <f ca="1">IFERROR(LEN(_xlfn.FORMULATEXT('XL-Test'!G20)),0)</f>
        <v>54</v>
      </c>
    </row>
    <row r="18" spans="3:10">
      <c r="H18" t="b">
        <f ca="1">AVERAGE(H6:H16)=H6</f>
        <v>1</v>
      </c>
      <c r="I18" t="b">
        <f ca="1">AVERAGE(I6:I16)=I6</f>
        <v>1</v>
      </c>
      <c r="J18" t="b">
        <f ca="1">AVERAGE(J6:J16)=J6</f>
        <v>1</v>
      </c>
    </row>
    <row r="19" spans="3:10">
      <c r="C19" t="s">
        <v>274</v>
      </c>
      <c r="D19">
        <f>CODE(RIGHT(D2))+CODE(RIGHT(D3))+CODE(RIGHT(D4))+CODE(RIGHT(D5))+CODE(RIGHT(D6))+CODE(RIGHT(D7))+CODE(RIGHT(D8))+CODE(RIGHT(D9))+CODE(RIGHT(D10))+CODE(RIGHT(D11))+CODE(RIGHT(D12))+CODE(RIGHT(D13))+CODE(RIGHT(D14))+CODE(RIGHT(D15))+CODE(RIGHT(D16))+147568</f>
        <v>148591</v>
      </c>
      <c r="E19">
        <f>SUM(E2:E16)+LEFT(E2,2)+LEFT(E3,2)+LEFT(E4,2)+LEFT(E5,2)+LEFT(E6,2)+LEFT(E7,2)+LEFT(E8,2)+LEFT(E9,2)+LEFT(E10,2)+LEFT(E11,2)+LEFT(E12,2)+LEFT(E13,2)+LEFT(E14,2)+LEFT(E15,2)+LEFT(E16,2)</f>
        <v>238339</v>
      </c>
      <c r="F19">
        <f>VALUE(F2&amp;F3&amp;F4&amp;F5&amp;F6)+VALUE(F7&amp;F8&amp;F9&amp;F5&amp;F10)+VALUE(F11&amp;F12&amp;F13&amp;F14&amp;F15&amp;F16)</f>
        <v>176841265</v>
      </c>
      <c r="H19" t="b">
        <f ca="1">AVERAGE(H2:H5)=H2</f>
        <v>1</v>
      </c>
      <c r="I19" t="b">
        <f ca="1">AVERAGE(I2:I5)=I2</f>
        <v>1</v>
      </c>
      <c r="J19" t="b">
        <f ca="1">AVERAGE(J2:J5)=J2</f>
        <v>1</v>
      </c>
    </row>
    <row r="20" spans="3:10">
      <c r="C20" t="s">
        <v>275</v>
      </c>
      <c r="D20" t="str">
        <f ca="1">IFERROR(DEC2HEX(IF(H24,D19,D21)),"EEEE")</f>
        <v>2446F</v>
      </c>
      <c r="E20" t="str">
        <f t="shared" ref="E20:F20" ca="1" si="0">IFERROR(DEC2HEX(IF(I24,E19,E21)),"EEEE")</f>
        <v>3A303</v>
      </c>
      <c r="F20" t="str">
        <f t="shared" ca="1" si="0"/>
        <v>A8A6231</v>
      </c>
      <c r="H20" t="b">
        <f ca="1">IFERROR(AND(H19,H18),FALSE)</f>
        <v>1</v>
      </c>
      <c r="I20" t="b">
        <f ca="1">IFERROR(AND(I19,I18),FALSE)</f>
        <v>1</v>
      </c>
      <c r="J20" t="b">
        <f ca="1">IFERROR(AND(J19,J18),FALSE)</f>
        <v>1</v>
      </c>
    </row>
    <row r="21" spans="3:10">
      <c r="C21" t="s">
        <v>276</v>
      </c>
      <c r="D21">
        <v>158414</v>
      </c>
      <c r="E21">
        <v>124510</v>
      </c>
      <c r="F21">
        <v>484511250</v>
      </c>
    </row>
    <row r="22" spans="3:10">
      <c r="G22" t="s">
        <v>277</v>
      </c>
      <c r="H22" t="b">
        <f ca="1">AND(ISNUMBER(FIND("=",N2)),ISNUMBER(FIND("(",N2)),ISNUMBER(FIND("C6",N2)))</f>
        <v>1</v>
      </c>
      <c r="I22" t="b">
        <f t="shared" ref="I22:J22" ca="1" si="1">AND(ISNUMBER(FIND("=",O2)),ISNUMBER(FIND("(",O2)),ISNUMBER(FIND("C6",O2)))</f>
        <v>1</v>
      </c>
      <c r="J22" t="b">
        <f ca="1">AND(ISNUMBER(FIND("=",P2)),ISNUMBER(FIND("(",P2)),ISNUMBER(FIND("E6",P2)))</f>
        <v>1</v>
      </c>
    </row>
    <row r="23" spans="3:10">
      <c r="C23" t="b">
        <v>1</v>
      </c>
      <c r="D23" t="str">
        <f>DEC2HEX(HEX2DEC(LEFT(DEC2HEX(D21),2))+COLUMN())</f>
        <v>2A</v>
      </c>
      <c r="E23" t="str">
        <f t="shared" ref="E23:F23" si="2">DEC2HEX(HEX2DEC(LEFT(DEC2HEX(E21),2))+COLUMN())</f>
        <v>23</v>
      </c>
      <c r="F23" t="str">
        <f t="shared" si="2"/>
        <v>22</v>
      </c>
    </row>
    <row r="24" spans="3:10">
      <c r="C24" t="b">
        <v>0</v>
      </c>
      <c r="D24" t="str">
        <f>DEC2HEX(HEX2DEC(RIGHT(DEC2HEX(D21),2))+COLUMN())</f>
        <v>D2</v>
      </c>
      <c r="E24" t="str">
        <f>DEC2HEX(HEX2DEC(RIGHT(DEC2HEX(E21),2))+COLUMN())</f>
        <v>63</v>
      </c>
      <c r="F24" t="str">
        <f>DEC2HEX(HEX2DEC(RIGHT(DEC2HEX(F21),2))+COLUMN())</f>
        <v>18</v>
      </c>
      <c r="G24" t="s">
        <v>278</v>
      </c>
      <c r="H24" t="b">
        <f ca="1">AND(H22,OR(H20,H26),NOT(OR(D2=0,D2="")))</f>
        <v>1</v>
      </c>
      <c r="I24" t="b">
        <f t="shared" ref="I24:J24" ca="1" si="3">AND(I22,OR(I20,I26),NOT(OR(E2=0,E2="")))</f>
        <v>1</v>
      </c>
      <c r="J24" t="b">
        <f t="shared" ca="1" si="3"/>
        <v>1</v>
      </c>
    </row>
    <row r="26" spans="3:10">
      <c r="C26" t="s">
        <v>279</v>
      </c>
      <c r="D26">
        <f ca="1">IFERROR(LEN(N2)-LEN(SUBSTITUTE(N2,"(","")),99)</f>
        <v>6</v>
      </c>
      <c r="E26">
        <f ca="1">IFERROR(LEN(O2)-LEN(SUBSTITUTE(O2,"(","")),99)</f>
        <v>6</v>
      </c>
      <c r="F26">
        <f ca="1">IFERROR(LEN(P2)-LEN(SUBSTITUTE(P2,"(","")),99)</f>
        <v>3</v>
      </c>
      <c r="H26" t="b">
        <f ca="1">AND(H2&gt;0,H4=0,D4&gt;0)</f>
        <v>0</v>
      </c>
      <c r="I26" t="b">
        <f ca="1">AND(I2&gt;0,I4=0,E4&gt;0)</f>
        <v>0</v>
      </c>
      <c r="J26" t="b">
        <f ca="1">AND(J2&gt;0,J4=0,F4&gt;0)</f>
        <v>0</v>
      </c>
    </row>
    <row r="27" spans="3:10">
      <c r="D27">
        <v>7</v>
      </c>
      <c r="E27">
        <v>6</v>
      </c>
      <c r="F27">
        <v>3</v>
      </c>
    </row>
    <row r="28" spans="3:10">
      <c r="D28" t="b">
        <f ca="1">(D26&lt;=D27)</f>
        <v>1</v>
      </c>
      <c r="E28" t="b">
        <f t="shared" ref="E28:F28" ca="1" si="4">(E26&lt;=E27)</f>
        <v>1</v>
      </c>
      <c r="F28" t="b">
        <f t="shared" ca="1" si="4"/>
        <v>1</v>
      </c>
    </row>
    <row r="30" spans="3:10">
      <c r="C30" t="s">
        <v>280</v>
      </c>
      <c r="D30" t="b">
        <f ca="1">OR(AND(ISNUMBER(FIND("INDEX",N2)),OR(ISNUMBER(FIND("SUM",N2)),ISNUMBER(FIND("MATC",N2))),OR(ISNUMBER(FIND("FIND",N2)),ISNUMBER(FIND("SEAR",N2)))),AND(OR(ISNUMBER(FIND("IF",N2)),ISNUMBER(FIND("FILT",N2))),OR(ISNUMBER(FIND("TOCO",N2)),ISNUMBER(FIND("TRAN",N2)))))</f>
        <v>1</v>
      </c>
      <c r="E30" t="b">
        <f ca="1">OR(AND(ISNUMBER(FIND("INDEX",O2)),ISNUMBER(FIND("MATCH",O2))),AND(ISNUMBER(FIND("REG",N2)),OR(ISNUMBER(FIND("TOCO",N2)),ISNUMBER(FIND("TRAN",N2)))))</f>
        <v>1</v>
      </c>
      <c r="F30" t="b">
        <f ca="1">OR(AND(ISNUMBER(FIND("SUM",P2)),ISNUMBER(FIND("COUNT",P2))),AND(ISNUMBER(FIND("MATC",P2)),ISNUMBER(FIND("SORT",P2))))</f>
        <v>1</v>
      </c>
    </row>
    <row r="32" spans="3:10">
      <c r="C32" t="s">
        <v>278</v>
      </c>
      <c r="D32" t="b">
        <f ca="1">AND(D30,D28)</f>
        <v>1</v>
      </c>
      <c r="E32" t="b">
        <f t="shared" ref="E32:F32" ca="1" si="5">AND(E30,E28)</f>
        <v>1</v>
      </c>
      <c r="F32" t="b">
        <f t="shared" ca="1" si="5"/>
        <v>1</v>
      </c>
    </row>
    <row r="34" spans="4:6">
      <c r="D34" t="str">
        <f ca="1">IF(D32,D23,D24)</f>
        <v>2A</v>
      </c>
      <c r="E34" t="str">
        <f t="shared" ref="E34:F34" ca="1" si="6">IF(E32,E23,E24)</f>
        <v>23</v>
      </c>
      <c r="F34" t="str">
        <f t="shared" ca="1" si="6"/>
        <v>22</v>
      </c>
    </row>
    <row r="36" spans="4:6">
      <c r="D36" t="str">
        <f ca="1">D34&amp;"-"&amp;D20&amp;";"</f>
        <v>2A-2446F;</v>
      </c>
      <c r="E36" t="str">
        <f ca="1">E34&amp;"-"&amp;E20&amp;";"</f>
        <v>23-3A303;</v>
      </c>
      <c r="F36" t="str">
        <f ca="1">F34&amp;"-"&amp;F20</f>
        <v>22-A8A6231</v>
      </c>
    </row>
    <row r="37" spans="4:6">
      <c r="D37" t="str">
        <f ca="1">A2&amp;"|"&amp;D36&amp;E36&amp;F36</f>
        <v>HI4|2A-2446F;23-3A303;22-A8A6231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2025-10-05T02:53:50Z</dcterms:created>
  <dcterms:modified xsi:type="dcterms:W3CDTF">2026-06-12T19:43:57Z</dcterms:modified>
  <cp:category/>
  <cp:contentStatus/>
</cp:coreProperties>
</file>