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984" documentId="8_{8AC65CE8-A2B6-459A-A86F-0D719A1CA042}" xr6:coauthVersionLast="47" xr6:coauthVersionMax="47" xr10:uidLastSave="{A442D0B9-B0A4-4E8B-8C11-5A41BDA07672}"/>
  <workbookProtection workbookAlgorithmName="SHA-512" workbookHashValue="kmc+Bk1IPwXp70JrwEm2pY6/duqvj9bzwpYghJzrG87f8IoTeiM34BJgns5izTKX8/QbJlvLK8VvW6N0vHelYg==" workbookSaltValue="3OSbIUOh14mbCceHzst+kw==" workbookSpinCount="100000" lockStructure="1"/>
  <bookViews>
    <workbookView xWindow="28692" yWindow="-108" windowWidth="29016" windowHeight="15696" xr2:uid="{AA5DEDF4-0583-4C2A-9433-BFDB5C1C0570}"/>
  </bookViews>
  <sheets>
    <sheet name="Soal" sheetId="1" r:id="rId1"/>
    <sheet name="Data Kerja" sheetId="2" r:id="rId2"/>
    <sheet name="About" sheetId="6" r:id="rId3"/>
    <sheet name="DF" sheetId="4" state="veryHidden" r:id="rId4"/>
  </sheets>
  <definedNames>
    <definedName name="_xlnm._FilterDatabase" localSheetId="1" hidden="1">'Data Kerja'!$A$3:$E$46</definedName>
    <definedName name="kamujuga" localSheetId="3">DF!$C$48</definedName>
    <definedName name="kode_jawaban">DF!$C$52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50" i="1"/>
  <c r="K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50" i="1"/>
  <c r="D27" i="4"/>
  <c r="E27" i="4"/>
  <c r="F27" i="4"/>
  <c r="G27" i="4"/>
  <c r="H27" i="4"/>
  <c r="I27" i="4"/>
  <c r="J27" i="4"/>
  <c r="D26" i="4"/>
  <c r="E26" i="4"/>
  <c r="F26" i="4"/>
  <c r="G26" i="4"/>
  <c r="H26" i="4"/>
  <c r="I26" i="4"/>
  <c r="J26" i="4"/>
  <c r="X2" i="4"/>
  <c r="Y2" i="4"/>
  <c r="Z2" i="4"/>
  <c r="AA2" i="4"/>
  <c r="AB2" i="4"/>
  <c r="AC2" i="4"/>
  <c r="AD2" i="4"/>
  <c r="W3" i="4"/>
  <c r="W4" i="4"/>
  <c r="W5" i="4"/>
  <c r="W6" i="4"/>
  <c r="W7" i="4"/>
  <c r="W8" i="4"/>
  <c r="W9" i="4"/>
  <c r="W2" i="4"/>
  <c r="C55" i="4" s="1"/>
  <c r="L3" i="4"/>
  <c r="M3" i="4"/>
  <c r="N3" i="4"/>
  <c r="O3" i="4"/>
  <c r="P3" i="4"/>
  <c r="Q3" i="4"/>
  <c r="R3" i="4"/>
  <c r="S3" i="4"/>
  <c r="L4" i="4"/>
  <c r="M4" i="4"/>
  <c r="N4" i="4"/>
  <c r="O4" i="4"/>
  <c r="P4" i="4"/>
  <c r="Q4" i="4"/>
  <c r="R4" i="4"/>
  <c r="S4" i="4"/>
  <c r="L5" i="4"/>
  <c r="M5" i="4"/>
  <c r="N5" i="4"/>
  <c r="O5" i="4"/>
  <c r="P5" i="4"/>
  <c r="Q5" i="4"/>
  <c r="R5" i="4"/>
  <c r="S5" i="4"/>
  <c r="L6" i="4"/>
  <c r="M6" i="4"/>
  <c r="N6" i="4"/>
  <c r="O6" i="4"/>
  <c r="P6" i="4"/>
  <c r="Q6" i="4"/>
  <c r="R6" i="4"/>
  <c r="S6" i="4"/>
  <c r="L7" i="4"/>
  <c r="M7" i="4"/>
  <c r="N7" i="4"/>
  <c r="O7" i="4"/>
  <c r="P7" i="4"/>
  <c r="Q7" i="4"/>
  <c r="R7" i="4"/>
  <c r="S7" i="4"/>
  <c r="L8" i="4"/>
  <c r="M8" i="4"/>
  <c r="N8" i="4"/>
  <c r="O8" i="4"/>
  <c r="P8" i="4"/>
  <c r="Q8" i="4"/>
  <c r="R8" i="4"/>
  <c r="S8" i="4"/>
  <c r="L9" i="4"/>
  <c r="M9" i="4"/>
  <c r="N9" i="4"/>
  <c r="O9" i="4"/>
  <c r="P9" i="4"/>
  <c r="Q9" i="4"/>
  <c r="R9" i="4"/>
  <c r="S9" i="4"/>
  <c r="L10" i="4"/>
  <c r="M10" i="4"/>
  <c r="N10" i="4"/>
  <c r="O10" i="4"/>
  <c r="P10" i="4"/>
  <c r="Q10" i="4"/>
  <c r="R10" i="4"/>
  <c r="S10" i="4"/>
  <c r="L11" i="4"/>
  <c r="M11" i="4"/>
  <c r="N11" i="4"/>
  <c r="O11" i="4"/>
  <c r="P11" i="4"/>
  <c r="Q11" i="4"/>
  <c r="R11" i="4"/>
  <c r="S11" i="4"/>
  <c r="L12" i="4"/>
  <c r="M12" i="4"/>
  <c r="N12" i="4"/>
  <c r="O12" i="4"/>
  <c r="P12" i="4"/>
  <c r="Q12" i="4"/>
  <c r="R12" i="4"/>
  <c r="S12" i="4"/>
  <c r="L13" i="4"/>
  <c r="M13" i="4"/>
  <c r="N13" i="4"/>
  <c r="O13" i="4"/>
  <c r="P13" i="4"/>
  <c r="Q13" i="4"/>
  <c r="R13" i="4"/>
  <c r="S13" i="4"/>
  <c r="L14" i="4"/>
  <c r="M14" i="4"/>
  <c r="N14" i="4"/>
  <c r="O14" i="4"/>
  <c r="P14" i="4"/>
  <c r="Q14" i="4"/>
  <c r="R14" i="4"/>
  <c r="S14" i="4"/>
  <c r="L15" i="4"/>
  <c r="M15" i="4"/>
  <c r="N15" i="4"/>
  <c r="O15" i="4"/>
  <c r="P15" i="4"/>
  <c r="Q15" i="4"/>
  <c r="R15" i="4"/>
  <c r="S15" i="4"/>
  <c r="L16" i="4"/>
  <c r="M16" i="4"/>
  <c r="N16" i="4"/>
  <c r="O16" i="4"/>
  <c r="P16" i="4"/>
  <c r="Q16" i="4"/>
  <c r="R16" i="4"/>
  <c r="S16" i="4"/>
  <c r="L17" i="4"/>
  <c r="M17" i="4"/>
  <c r="N17" i="4"/>
  <c r="O17" i="4"/>
  <c r="P17" i="4"/>
  <c r="Q17" i="4"/>
  <c r="R17" i="4"/>
  <c r="S17" i="4"/>
  <c r="M2" i="4"/>
  <c r="N2" i="4"/>
  <c r="O2" i="4"/>
  <c r="P2" i="4"/>
  <c r="Q2" i="4"/>
  <c r="R2" i="4"/>
  <c r="S2" i="4"/>
  <c r="L2" i="4"/>
  <c r="C3" i="4"/>
  <c r="D3" i="4"/>
  <c r="E3" i="4"/>
  <c r="F3" i="4"/>
  <c r="G3" i="4"/>
  <c r="H3" i="4"/>
  <c r="I3" i="4"/>
  <c r="J3" i="4"/>
  <c r="C4" i="4"/>
  <c r="D4" i="4"/>
  <c r="E4" i="4"/>
  <c r="F4" i="4"/>
  <c r="G4" i="4"/>
  <c r="H4" i="4"/>
  <c r="I4" i="4"/>
  <c r="J4" i="4"/>
  <c r="C5" i="4"/>
  <c r="D5" i="4"/>
  <c r="E5" i="4"/>
  <c r="F5" i="4"/>
  <c r="G5" i="4"/>
  <c r="H5" i="4"/>
  <c r="I5" i="4"/>
  <c r="J5" i="4"/>
  <c r="C6" i="4"/>
  <c r="D6" i="4"/>
  <c r="E6" i="4"/>
  <c r="F6" i="4"/>
  <c r="G6" i="4"/>
  <c r="H6" i="4"/>
  <c r="I6" i="4"/>
  <c r="J6" i="4"/>
  <c r="C7" i="4"/>
  <c r="D7" i="4"/>
  <c r="E7" i="4"/>
  <c r="F7" i="4"/>
  <c r="G7" i="4"/>
  <c r="H7" i="4"/>
  <c r="I7" i="4"/>
  <c r="J7" i="4"/>
  <c r="C8" i="4"/>
  <c r="D8" i="4"/>
  <c r="E8" i="4"/>
  <c r="F8" i="4"/>
  <c r="G8" i="4"/>
  <c r="H8" i="4"/>
  <c r="I8" i="4"/>
  <c r="J8" i="4"/>
  <c r="C9" i="4"/>
  <c r="D9" i="4"/>
  <c r="E9" i="4"/>
  <c r="F9" i="4"/>
  <c r="G9" i="4"/>
  <c r="H9" i="4"/>
  <c r="I9" i="4"/>
  <c r="J9" i="4"/>
  <c r="C10" i="4"/>
  <c r="D10" i="4"/>
  <c r="E10" i="4"/>
  <c r="F10" i="4"/>
  <c r="G10" i="4"/>
  <c r="H10" i="4"/>
  <c r="I10" i="4"/>
  <c r="J10" i="4"/>
  <c r="C11" i="4"/>
  <c r="D11" i="4"/>
  <c r="E11" i="4"/>
  <c r="F11" i="4"/>
  <c r="G11" i="4"/>
  <c r="H11" i="4"/>
  <c r="I11" i="4"/>
  <c r="J11" i="4"/>
  <c r="C12" i="4"/>
  <c r="D12" i="4"/>
  <c r="E12" i="4"/>
  <c r="F12" i="4"/>
  <c r="G12" i="4"/>
  <c r="H12" i="4"/>
  <c r="I12" i="4"/>
  <c r="J12" i="4"/>
  <c r="C13" i="4"/>
  <c r="D13" i="4"/>
  <c r="E13" i="4"/>
  <c r="F13" i="4"/>
  <c r="G13" i="4"/>
  <c r="H13" i="4"/>
  <c r="I13" i="4"/>
  <c r="J13" i="4"/>
  <c r="C14" i="4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C16" i="4"/>
  <c r="D16" i="4"/>
  <c r="E16" i="4"/>
  <c r="F16" i="4"/>
  <c r="G16" i="4"/>
  <c r="H16" i="4"/>
  <c r="I16" i="4"/>
  <c r="J16" i="4"/>
  <c r="C17" i="4"/>
  <c r="D17" i="4"/>
  <c r="E17" i="4"/>
  <c r="F17" i="4"/>
  <c r="G17" i="4"/>
  <c r="H17" i="4"/>
  <c r="I17" i="4"/>
  <c r="J17" i="4"/>
  <c r="D2" i="4"/>
  <c r="E2" i="4"/>
  <c r="F2" i="4"/>
  <c r="G2" i="4"/>
  <c r="H2" i="4"/>
  <c r="I2" i="4"/>
  <c r="J2" i="4"/>
  <c r="C2" i="4"/>
  <c r="C21" i="4" s="1"/>
  <c r="C26" i="4"/>
  <c r="C27" i="4"/>
  <c r="D29" i="4" l="1"/>
  <c r="D21" i="4"/>
  <c r="E29" i="4"/>
  <c r="E21" i="4"/>
  <c r="F29" i="4"/>
  <c r="F21" i="4"/>
  <c r="G29" i="4"/>
  <c r="G21" i="4"/>
  <c r="H29" i="4"/>
  <c r="H21" i="4"/>
  <c r="I21" i="4"/>
  <c r="I29" i="4"/>
  <c r="J29" i="4"/>
  <c r="J21" i="4"/>
  <c r="D54" i="4"/>
  <c r="D55" i="4"/>
  <c r="E54" i="4"/>
  <c r="E55" i="4"/>
  <c r="F54" i="4"/>
  <c r="F55" i="4"/>
  <c r="G54" i="4"/>
  <c r="G55" i="4"/>
  <c r="H54" i="4"/>
  <c r="H55" i="4"/>
  <c r="I54" i="4"/>
  <c r="I55" i="4"/>
  <c r="J54" i="4"/>
  <c r="J55" i="4"/>
  <c r="C54" i="4"/>
  <c r="C59" i="4" s="1"/>
  <c r="D35" i="4"/>
  <c r="E35" i="4"/>
  <c r="F35" i="4"/>
  <c r="G35" i="4"/>
  <c r="H35" i="4"/>
  <c r="I35" i="4"/>
  <c r="J35" i="4"/>
  <c r="C35" i="4"/>
  <c r="D30" i="4"/>
  <c r="D36" i="4"/>
  <c r="D38" i="4" s="1"/>
  <c r="E30" i="4"/>
  <c r="E36" i="4"/>
  <c r="E38" i="4" s="1"/>
  <c r="F30" i="4"/>
  <c r="F36" i="4"/>
  <c r="F38" i="4" s="1"/>
  <c r="G30" i="4"/>
  <c r="G36" i="4"/>
  <c r="G38" i="4" s="1"/>
  <c r="H30" i="4"/>
  <c r="H36" i="4"/>
  <c r="H38" i="4" s="1"/>
  <c r="I30" i="4"/>
  <c r="I36" i="4"/>
  <c r="I38" i="4" s="1"/>
  <c r="J30" i="4"/>
  <c r="J36" i="4"/>
  <c r="J38" i="4" s="1"/>
  <c r="C36" i="4"/>
  <c r="C38" i="4" s="1"/>
  <c r="C30" i="4"/>
  <c r="M21" i="4"/>
  <c r="M22" i="4"/>
  <c r="N21" i="4"/>
  <c r="N22" i="4"/>
  <c r="O21" i="4"/>
  <c r="O22" i="4"/>
  <c r="P21" i="4"/>
  <c r="P22" i="4"/>
  <c r="Q21" i="4"/>
  <c r="Q22" i="4"/>
  <c r="R21" i="4"/>
  <c r="R22" i="4"/>
  <c r="S21" i="4"/>
  <c r="S22" i="4"/>
  <c r="L21" i="4"/>
  <c r="L22" i="4"/>
  <c r="C40" i="4" l="1"/>
  <c r="C44" i="4" s="1"/>
  <c r="J59" i="4"/>
  <c r="J40" i="4" s="1"/>
  <c r="J44" i="4" s="1"/>
  <c r="D59" i="4"/>
  <c r="D40" i="4" s="1"/>
  <c r="D44" i="4" s="1"/>
  <c r="E59" i="4"/>
  <c r="E40" i="4" s="1"/>
  <c r="E44" i="4" s="1"/>
  <c r="F59" i="4"/>
  <c r="F40" i="4" s="1"/>
  <c r="F44" i="4" s="1"/>
  <c r="G59" i="4"/>
  <c r="G40" i="4" s="1"/>
  <c r="G44" i="4" s="1"/>
  <c r="H59" i="4"/>
  <c r="H40" i="4" s="1"/>
  <c r="H44" i="4" s="1"/>
  <c r="I59" i="4"/>
  <c r="I40" i="4" s="1"/>
  <c r="I44" i="4" s="1"/>
  <c r="M23" i="4"/>
  <c r="D31" i="4" s="1"/>
  <c r="D33" i="4" s="1"/>
  <c r="D43" i="4" s="1"/>
  <c r="N23" i="4"/>
  <c r="E31" i="4" s="1"/>
  <c r="E33" i="4" s="1"/>
  <c r="E43" i="4" s="1"/>
  <c r="O23" i="4"/>
  <c r="F31" i="4" s="1"/>
  <c r="F33" i="4" s="1"/>
  <c r="F43" i="4" s="1"/>
  <c r="P23" i="4"/>
  <c r="G31" i="4" s="1"/>
  <c r="G33" i="4" s="1"/>
  <c r="G43" i="4" s="1"/>
  <c r="Q23" i="4"/>
  <c r="H31" i="4" s="1"/>
  <c r="H33" i="4" s="1"/>
  <c r="H43" i="4" s="1"/>
  <c r="R23" i="4"/>
  <c r="I31" i="4" s="1"/>
  <c r="I33" i="4" s="1"/>
  <c r="I43" i="4" s="1"/>
  <c r="S23" i="4"/>
  <c r="J31" i="4" s="1"/>
  <c r="J33" i="4" s="1"/>
  <c r="J43" i="4" s="1"/>
  <c r="C29" i="4"/>
  <c r="L23" i="4"/>
  <c r="C31" i="4" s="1"/>
  <c r="D46" i="4" l="1"/>
  <c r="F46" i="4"/>
  <c r="H46" i="4"/>
  <c r="J46" i="4"/>
  <c r="G46" i="4"/>
  <c r="E46" i="4"/>
  <c r="I46" i="4"/>
  <c r="C33" i="4"/>
  <c r="C43" i="4" s="1"/>
  <c r="C46" i="4" s="1"/>
  <c r="C48" i="4" l="1"/>
  <c r="C50" i="4" a="1"/>
  <c r="C50" i="4" s="1"/>
  <c r="C52" i="4" s="1"/>
  <c r="G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<sst xmlns="http://schemas.openxmlformats.org/spreadsheetml/2006/main" count="204" uniqueCount="113">
  <si>
    <t>KODE SOAL</t>
  </si>
  <si>
    <t>SBEH011</t>
  </si>
  <si>
    <t>KODE JAWABAN</t>
  </si>
  <si>
    <t>Intruksi</t>
  </si>
  <si>
    <r>
      <rPr>
        <b/>
        <sz val="12"/>
        <color rgb="FF00B050"/>
        <rFont val="Aptos Narrow"/>
        <family val="2"/>
        <scheme val="minor"/>
      </rPr>
      <t>Hard Level</t>
    </r>
    <r>
      <rPr>
        <b/>
        <sz val="12"/>
        <color theme="1"/>
        <rFont val="Aptos Narrow"/>
        <family val="2"/>
        <scheme val="minor"/>
      </rPr>
      <t xml:space="preserve"> - Latihan Soal Excel MIN MAX Level Hard</t>
    </r>
  </si>
  <si>
    <t>Soal  :</t>
  </si>
  <si>
    <r>
      <t xml:space="preserve">Gunakan Fungsi Excel (Function) </t>
    </r>
    <r>
      <rPr>
        <b/>
        <i/>
        <sz val="11"/>
        <color rgb="FF0070C0"/>
        <rFont val="Aptos Narrow"/>
        <family val="2"/>
        <scheme val="minor"/>
      </rPr>
      <t>MIN</t>
    </r>
    <r>
      <rPr>
        <i/>
        <sz val="11"/>
        <color theme="0" tint="-0.34998626667073579"/>
        <rFont val="Aptos Narrow"/>
        <family val="2"/>
        <scheme val="minor"/>
      </rPr>
      <t xml:space="preserve"> dan atau </t>
    </r>
    <r>
      <rPr>
        <b/>
        <i/>
        <sz val="11"/>
        <color rgb="FF0070C0"/>
        <rFont val="Aptos Narrow"/>
        <family val="2"/>
        <scheme val="minor"/>
      </rPr>
      <t>MAX</t>
    </r>
    <r>
      <rPr>
        <i/>
        <sz val="11"/>
        <color theme="0" tint="-0.34998626667073579"/>
        <rFont val="Aptos Narrow"/>
        <family val="2"/>
        <scheme val="minor"/>
      </rPr>
      <t xml:space="preserve"> atau </t>
    </r>
    <r>
      <rPr>
        <b/>
        <i/>
        <sz val="11"/>
        <color rgb="FF0070C0"/>
        <rFont val="Aptos Narrow"/>
        <family val="2"/>
        <scheme val="minor"/>
      </rPr>
      <t>MINIFS</t>
    </r>
    <r>
      <rPr>
        <i/>
        <sz val="11"/>
        <color theme="0" tint="-0.34998626667073579"/>
        <rFont val="Aptos Narrow"/>
        <family val="2"/>
        <scheme val="minor"/>
      </rPr>
      <t xml:space="preserve"> (</t>
    </r>
    <r>
      <rPr>
        <b/>
        <i/>
        <sz val="11"/>
        <color rgb="FF0070C0"/>
        <rFont val="Aptos Narrow"/>
        <family val="2"/>
        <scheme val="minor"/>
      </rPr>
      <t>MIN</t>
    </r>
    <r>
      <rPr>
        <i/>
        <sz val="11"/>
        <color theme="0" tint="-0.34998626667073579"/>
        <rFont val="Aptos Narrow"/>
        <family val="2"/>
        <scheme val="minor"/>
      </rPr>
      <t>+</t>
    </r>
    <r>
      <rPr>
        <b/>
        <i/>
        <sz val="11"/>
        <color rgb="FF0070C0"/>
        <rFont val="Aptos Narrow"/>
        <family val="2"/>
        <scheme val="minor"/>
      </rPr>
      <t>IF</t>
    </r>
    <r>
      <rPr>
        <i/>
        <sz val="11"/>
        <color theme="0" tint="-0.34998626667073579"/>
        <rFont val="Aptos Narrow"/>
        <family val="2"/>
        <scheme val="minor"/>
      </rPr>
      <t xml:space="preserve">) atau </t>
    </r>
    <r>
      <rPr>
        <b/>
        <i/>
        <sz val="11"/>
        <color rgb="FF0070C0"/>
        <rFont val="Aptos Narrow"/>
        <family val="2"/>
        <scheme val="minor"/>
      </rPr>
      <t>MAXIFS</t>
    </r>
    <r>
      <rPr>
        <i/>
        <sz val="11"/>
        <color theme="0" tint="-0.34998626667073579"/>
        <rFont val="Aptos Narrow"/>
        <family val="2"/>
        <scheme val="minor"/>
      </rPr>
      <t xml:space="preserve"> (</t>
    </r>
    <r>
      <rPr>
        <b/>
        <i/>
        <sz val="11"/>
        <color rgb="FF0070C0"/>
        <rFont val="Aptos Narrow"/>
        <family val="2"/>
        <scheme val="minor"/>
      </rPr>
      <t>MAX</t>
    </r>
    <r>
      <rPr>
        <i/>
        <sz val="11"/>
        <color theme="0" tint="-0.34998626667073579"/>
        <rFont val="Aptos Narrow"/>
        <family val="2"/>
        <scheme val="minor"/>
      </rPr>
      <t>+</t>
    </r>
    <r>
      <rPr>
        <b/>
        <i/>
        <sz val="11"/>
        <color rgb="FF0070C0"/>
        <rFont val="Aptos Narrow"/>
        <family val="2"/>
        <scheme val="minor"/>
      </rPr>
      <t>IF</t>
    </r>
    <r>
      <rPr>
        <i/>
        <sz val="11"/>
        <color theme="0" tint="-0.34998626667073579"/>
        <rFont val="Aptos Narrow"/>
        <family val="2"/>
        <scheme val="minor"/>
      </rPr>
      <t>) pada soal-soal berikut ini :</t>
    </r>
  </si>
  <si>
    <t>Kapan tanggal terakhir kerja dari masing masing nama</t>
  </si>
  <si>
    <t>Hitung berapa jumlah jam kerja dari masing masing nama diambil dari tanggal terbaru</t>
  </si>
  <si>
    <t>Hitung berapa Gaji kotor dengan ketentuan sebagai berikut :</t>
  </si>
  <si>
    <t>Tarif Kerja Normal: Rp25.000 /jam (untuk 160 jam pertama).</t>
  </si>
  <si>
    <t>Tarif Lembur: Rp35.000 /jam (untuk kelebihan jam di atas 160).</t>
  </si>
  <si>
    <t>Tunjangan anak sebesar Rp15.000 per anak, maximal 3 anak saja</t>
  </si>
  <si>
    <t>Hitung berapa nilai asuransi , asuransi adalah 5% dari Gaji kotor dengan minimal  nilai pembayaran asuransi sebesar Rp250.000</t>
  </si>
  <si>
    <t>Bonus diberikan sebesar Rp350.000 untuk karyawan dengan gaji kotor dibawah Rp5.000.000</t>
  </si>
  <si>
    <t>Potongan Infak sebesar Rp150.000 bagi karyawan dengan Gaji kotor diatas Rp4.000.000</t>
  </si>
  <si>
    <t>PPH sebesar 5% untuk Gaji dibawah Rp5.000.000 dan selebihnya dikenakan tarif 2% dari Gaji Kotor, dengan tarif PPH minimal Rp100.000</t>
  </si>
  <si>
    <t>Misalnya Gaji kotor Rp6.000.000 maka Rp5.000.000 terkena PPH 5% dan Rp1.000.000 terkena PPH 2%, dengan minimal Nilai PPH adalah Rp100.000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</si>
  <si>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</si>
  <si>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</si>
  <si>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 xml:space="preserve">Data Gaji Karyawan </t>
  </si>
  <si>
    <t>No</t>
  </si>
  <si>
    <t>NIK</t>
  </si>
  <si>
    <t>Nama</t>
  </si>
  <si>
    <t>Jml Anak</t>
  </si>
  <si>
    <t>Tanggal Terakhir Kerja</t>
  </si>
  <si>
    <t>Akumulasi Jam Kerja</t>
  </si>
  <si>
    <t>Gaji Kotor</t>
  </si>
  <si>
    <t>Tunjangan Anak</t>
  </si>
  <si>
    <t>Asuransi</t>
  </si>
  <si>
    <t>Bonus</t>
  </si>
  <si>
    <t>Potongan Infak</t>
  </si>
  <si>
    <t>PPH</t>
  </si>
  <si>
    <t>Example</t>
  </si>
  <si>
    <t>ID001</t>
  </si>
  <si>
    <t>Austin Cooke</t>
  </si>
  <si>
    <t>ID002</t>
  </si>
  <si>
    <t>Randy Beasley</t>
  </si>
  <si>
    <t>ID003</t>
  </si>
  <si>
    <t>Kelly Williams</t>
  </si>
  <si>
    <t>ID004</t>
  </si>
  <si>
    <t>Steven Daniel</t>
  </si>
  <si>
    <t>ID005</t>
  </si>
  <si>
    <t>Anthony Sharp</t>
  </si>
  <si>
    <t>ID006</t>
  </si>
  <si>
    <t>Richard Miller</t>
  </si>
  <si>
    <t>ID007</t>
  </si>
  <si>
    <t>Elizabeth White</t>
  </si>
  <si>
    <t>ID008</t>
  </si>
  <si>
    <t>Brian Tucker</t>
  </si>
  <si>
    <t>ID009</t>
  </si>
  <si>
    <t>Elizabeth Villarreal</t>
  </si>
  <si>
    <t>ID010</t>
  </si>
  <si>
    <t>Norman Beck</t>
  </si>
  <si>
    <t>ID011</t>
  </si>
  <si>
    <t>Sheila Daniels</t>
  </si>
  <si>
    <t>ID012</t>
  </si>
  <si>
    <t>Jessica Burton</t>
  </si>
  <si>
    <t>ID013</t>
  </si>
  <si>
    <t>Melissa Garcia</t>
  </si>
  <si>
    <t>ID014</t>
  </si>
  <si>
    <t>Veronica Wilson</t>
  </si>
  <si>
    <t>ID015</t>
  </si>
  <si>
    <t>Wayne Harris</t>
  </si>
  <si>
    <t>ID016</t>
  </si>
  <si>
    <t>Stanley Dorsey</t>
  </si>
  <si>
    <t>ID017</t>
  </si>
  <si>
    <t>Brenda Chan</t>
  </si>
  <si>
    <t>Dilarang mengubah Table atau Menambah Table Baru atau Menambah Kolom Bantuan !!, Gunakan Table seperti yang sudah di sediakan soal.</t>
  </si>
  <si>
    <t>Update Akumulasi Jam Kerja</t>
  </si>
  <si>
    <t>Tanggal Update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</si>
  <si>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</si>
  <si>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</si>
  <si>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</si>
  <si>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</si>
  <si>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</si>
  <si>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</si>
  <si>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</si>
  <si>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</si>
  <si>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</si>
  <si>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</si>
  <si>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</si>
  <si>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</si>
  <si>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</si>
  <si>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</si>
  <si>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</si>
  <si>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</si>
  <si>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</si>
  <si>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</si>
  <si>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</si>
  <si>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</si>
  <si>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</si>
  <si>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</si>
  <si>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</si>
  <si>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</si>
  <si>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</si>
  <si>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</si>
  <si>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HK1</t>
  </si>
  <si>
    <t>Arr</t>
  </si>
  <si>
    <t>**</t>
  </si>
  <si>
    <t>Rand</t>
  </si>
  <si>
    <t>Kosong</t>
  </si>
  <si>
    <t>Cek Form</t>
  </si>
  <si>
    <t>Akhir</t>
  </si>
  <si>
    <t>Cek Formula</t>
  </si>
  <si>
    <t>ka</t>
  </si>
  <si>
    <t>mu</t>
  </si>
  <si>
    <t>juga</t>
  </si>
  <si>
    <t>Cek banyak</t>
  </si>
  <si>
    <t>N</t>
  </si>
  <si>
    <t>A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</si>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</sst>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409]dd\-mmm\-yyyy;@"/>
    <numFmt numFmtId="166" formatCode="dd\-mmm\-yyyy"/>
    <numFmt numFmtId="167" formatCode="_(* #,##0_);_(* \(#,##0\);_(* &quot;-&quot;??_);_(@_)"/>
    <numFmt numFmtId="168" formatCode="#,##0;\(#,##0\);\-"/>
    <numFmt numFmtId="169" formatCode="yyyy\-mm\-dd;@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i/>
      <sz val="11"/>
      <color rgb="FFEE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4" tint="0.3999755851924192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9"/>
      <color theme="4" tint="-0.249977111117893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0"/>
      <name val="ROBOTECH GP"/>
      <family val="2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/>
  </cellStyleXfs>
  <cellXfs count="78">
    <xf numFmtId="0" fontId="0" fillId="0" borderId="0" xfId="0"/>
    <xf numFmtId="0" fontId="3" fillId="2" borderId="0" xfId="0" applyFont="1" applyFill="1" applyAlignment="1">
      <alignment horizontal="center" vertical="center"/>
    </xf>
    <xf numFmtId="166" fontId="0" fillId="0" borderId="0" xfId="0" applyNumberFormat="1"/>
    <xf numFmtId="0" fontId="5" fillId="0" borderId="0" xfId="0" applyFont="1"/>
    <xf numFmtId="0" fontId="6" fillId="0" borderId="0" xfId="0" applyFont="1"/>
    <xf numFmtId="1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/>
    <xf numFmtId="168" fontId="10" fillId="6" borderId="0" xfId="0" applyNumberFormat="1" applyFont="1" applyFill="1" applyAlignment="1">
      <alignment horizontal="center" vertical="center"/>
    </xf>
    <xf numFmtId="168" fontId="10" fillId="6" borderId="2" xfId="0" applyNumberFormat="1" applyFont="1" applyFill="1" applyBorder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3" fillId="7" borderId="6" xfId="0" applyFont="1" applyFill="1" applyBorder="1" applyAlignment="1">
      <alignment vertical="top" wrapText="1"/>
    </xf>
    <xf numFmtId="0" fontId="13" fillId="7" borderId="0" xfId="0" applyFont="1" applyFill="1" applyAlignment="1">
      <alignment vertical="top" wrapText="1"/>
    </xf>
    <xf numFmtId="0" fontId="0" fillId="7" borderId="0" xfId="0" applyFill="1"/>
    <xf numFmtId="0" fontId="14" fillId="7" borderId="0" xfId="0" applyFont="1" applyFill="1" applyAlignment="1">
      <alignment horizontal="left" vertical="top"/>
    </xf>
    <xf numFmtId="0" fontId="13" fillId="7" borderId="7" xfId="0" applyFont="1" applyFill="1" applyBorder="1" applyAlignment="1">
      <alignment vertical="top" wrapText="1"/>
    </xf>
    <xf numFmtId="0" fontId="14" fillId="7" borderId="0" xfId="0" applyFont="1" applyFill="1" applyAlignment="1">
      <alignment vertical="top"/>
    </xf>
    <xf numFmtId="0" fontId="16" fillId="7" borderId="0" xfId="0" applyFont="1" applyFill="1" applyAlignment="1">
      <alignment horizontal="center" vertical="top" wrapText="1"/>
    </xf>
    <xf numFmtId="0" fontId="17" fillId="7" borderId="0" xfId="0" applyFont="1" applyFill="1" applyAlignment="1">
      <alignment horizontal="right"/>
    </xf>
    <xf numFmtId="0" fontId="18" fillId="7" borderId="0" xfId="0" applyFont="1" applyFill="1" applyAlignment="1">
      <alignment vertical="top"/>
    </xf>
    <xf numFmtId="0" fontId="19" fillId="0" borderId="0" xfId="0" applyFont="1" applyAlignment="1">
      <alignment wrapText="1"/>
    </xf>
    <xf numFmtId="0" fontId="7" fillId="7" borderId="0" xfId="0" applyFont="1" applyFill="1"/>
    <xf numFmtId="0" fontId="19" fillId="7" borderId="0" xfId="0" applyFont="1" applyFill="1" applyAlignment="1">
      <alignment wrapText="1"/>
    </xf>
    <xf numFmtId="0" fontId="19" fillId="7" borderId="7" xfId="0" applyFont="1" applyFill="1" applyBorder="1" applyAlignment="1">
      <alignment wrapText="1"/>
    </xf>
    <xf numFmtId="0" fontId="7" fillId="7" borderId="0" xfId="0" applyFont="1" applyFill="1" applyAlignment="1">
      <alignment horizontal="center" vertical="center"/>
    </xf>
    <xf numFmtId="0" fontId="20" fillId="7" borderId="0" xfId="0" applyFont="1" applyFill="1"/>
    <xf numFmtId="0" fontId="3" fillId="2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167" fontId="0" fillId="3" borderId="8" xfId="1" applyNumberFormat="1" applyFont="1" applyFill="1" applyBorder="1" applyAlignment="1">
      <alignment horizontal="center"/>
    </xf>
    <xf numFmtId="165" fontId="0" fillId="8" borderId="8" xfId="0" applyNumberFormat="1" applyFill="1" applyBorder="1" applyAlignment="1">
      <alignment horizontal="left" indent="1"/>
    </xf>
    <xf numFmtId="168" fontId="22" fillId="6" borderId="9" xfId="0" applyNumberFormat="1" applyFont="1" applyFill="1" applyBorder="1" applyAlignment="1">
      <alignment horizontal="center" vertical="center"/>
    </xf>
    <xf numFmtId="0" fontId="1" fillId="0" borderId="0" xfId="3"/>
    <xf numFmtId="0" fontId="1" fillId="0" borderId="8" xfId="3" applyBorder="1"/>
    <xf numFmtId="0" fontId="1" fillId="0" borderId="10" xfId="3" applyBorder="1"/>
    <xf numFmtId="0" fontId="1" fillId="0" borderId="11" xfId="3" applyBorder="1"/>
    <xf numFmtId="0" fontId="26" fillId="0" borderId="8" xfId="3" applyFont="1" applyBorder="1"/>
    <xf numFmtId="0" fontId="28" fillId="0" borderId="8" xfId="3" applyFont="1" applyBorder="1"/>
    <xf numFmtId="0" fontId="29" fillId="0" borderId="10" xfId="0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25" fillId="0" borderId="8" xfId="4" applyBorder="1" applyAlignment="1">
      <alignment vertical="top"/>
    </xf>
    <xf numFmtId="0" fontId="2" fillId="0" borderId="0" xfId="3" applyFont="1"/>
    <xf numFmtId="0" fontId="32" fillId="0" borderId="0" xfId="3" applyFont="1"/>
    <xf numFmtId="0" fontId="25" fillId="0" borderId="0" xfId="2"/>
    <xf numFmtId="0" fontId="32" fillId="0" borderId="0" xfId="3" quotePrefix="1" applyFont="1"/>
    <xf numFmtId="0" fontId="0" fillId="6" borderId="0" xfId="0" applyFill="1"/>
    <xf numFmtId="0" fontId="33" fillId="6" borderId="0" xfId="0" applyFont="1" applyFill="1"/>
    <xf numFmtId="0" fontId="8" fillId="6" borderId="0" xfId="0" applyFont="1" applyFill="1"/>
    <xf numFmtId="0" fontId="34" fillId="6" borderId="0" xfId="0" applyFont="1" applyFill="1"/>
    <xf numFmtId="0" fontId="35" fillId="6" borderId="0" xfId="2" applyFont="1" applyFill="1"/>
    <xf numFmtId="167" fontId="0" fillId="0" borderId="0" xfId="0" applyNumberFormat="1"/>
    <xf numFmtId="169" fontId="0" fillId="3" borderId="8" xfId="1" applyNumberFormat="1" applyFont="1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165" fontId="0" fillId="10" borderId="8" xfId="0" applyNumberFormat="1" applyFill="1" applyBorder="1" applyAlignment="1">
      <alignment horizontal="left" indent="1"/>
    </xf>
    <xf numFmtId="169" fontId="0" fillId="10" borderId="8" xfId="1" applyNumberFormat="1" applyFont="1" applyFill="1" applyBorder="1" applyAlignment="1">
      <alignment horizontal="center"/>
    </xf>
    <xf numFmtId="167" fontId="0" fillId="10" borderId="8" xfId="1" applyNumberFormat="1" applyFont="1" applyFill="1" applyBorder="1" applyAlignment="1">
      <alignment horizontal="center"/>
    </xf>
    <xf numFmtId="0" fontId="0" fillId="11" borderId="0" xfId="0" applyFill="1"/>
    <xf numFmtId="0" fontId="4" fillId="11" borderId="0" xfId="0" applyFont="1" applyFill="1"/>
    <xf numFmtId="0" fontId="28" fillId="0" borderId="8" xfId="3" applyFont="1" applyBorder="1" applyAlignment="1">
      <alignment horizontal="left"/>
    </xf>
    <xf numFmtId="167" fontId="0" fillId="3" borderId="8" xfId="1" applyNumberFormat="1" applyFont="1" applyFill="1" applyBorder="1" applyAlignment="1">
      <alignment horizontal="center" wrapText="1"/>
    </xf>
    <xf numFmtId="0" fontId="23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8" fillId="0" borderId="8" xfId="3" applyFont="1" applyBorder="1" applyAlignment="1">
      <alignment horizontal="left"/>
    </xf>
    <xf numFmtId="0" fontId="27" fillId="0" borderId="8" xfId="3" applyFont="1" applyBorder="1" applyAlignment="1">
      <alignment horizontal="left"/>
    </xf>
    <xf numFmtId="0" fontId="29" fillId="0" borderId="0" xfId="0" applyFont="1" applyAlignment="1">
      <alignment horizontal="left" vertical="top" wrapText="1"/>
    </xf>
    <xf numFmtId="0" fontId="29" fillId="0" borderId="12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12" xfId="0" applyFont="1" applyBorder="1" applyAlignment="1">
      <alignment horizontal="left" vertical="top" wrapText="1"/>
    </xf>
    <xf numFmtId="0" fontId="23" fillId="5" borderId="6" xfId="0" applyFont="1" applyFill="1" applyBorder="1" applyAlignment="1">
      <alignment horizontal="center" vertical="center"/>
    </xf>
  </cellXfs>
  <cellStyles count="5">
    <cellStyle name="Comma" xfId="1" builtinId="3"/>
    <cellStyle name="Hyperlink" xfId="2" builtinId="8"/>
    <cellStyle name="Hyperlink 2" xfId="4" xr:uid="{3B8AFE35-CD2B-499F-B900-99ED0CAB1E87}"/>
    <cellStyle name="Normal" xfId="0" builtinId="0"/>
    <cellStyle name="Normal 2" xfId="3" xr:uid="{8F1CF9CE-E25D-4287-B0C1-2178CF4F7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1333500</xdr:colOff>
      <xdr:row>16</xdr:row>
      <xdr:rowOff>7620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5690A2-4134-38E3-D7FB-2FA1F513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1734799" cy="29337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13</xdr:row>
      <xdr:rowOff>83820</xdr:rowOff>
    </xdr:from>
    <xdr:to>
      <xdr:col>7</xdr:col>
      <xdr:colOff>429260</xdr:colOff>
      <xdr:row>17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71D5F6-390D-4511-8C52-ED3BB26C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8420" y="246126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37</xdr:row>
      <xdr:rowOff>68580</xdr:rowOff>
    </xdr:from>
    <xdr:to>
      <xdr:col>4</xdr:col>
      <xdr:colOff>1097280</xdr:colOff>
      <xdr:row>39</xdr:row>
      <xdr:rowOff>22860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B544B3-6BB2-4D7B-9AC0-51E7803301FC}"/>
            </a:ext>
          </a:extLst>
        </xdr:cNvPr>
        <xdr:cNvSpPr/>
      </xdr:nvSpPr>
      <xdr:spPr>
        <a:xfrm>
          <a:off x="3055620" y="7315200"/>
          <a:ext cx="16687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198120</xdr:colOff>
      <xdr:row>0</xdr:row>
      <xdr:rowOff>121920</xdr:rowOff>
    </xdr:from>
    <xdr:ext cx="967381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7FA3E5-2EE9-45FD-8414-639F6F139BEA}"/>
            </a:ext>
          </a:extLst>
        </xdr:cNvPr>
        <xdr:cNvSpPr txBox="1"/>
      </xdr:nvSpPr>
      <xdr:spPr>
        <a:xfrm>
          <a:off x="10599420" y="121920"/>
          <a:ext cx="967381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HARD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175260</xdr:colOff>
      <xdr:row>0</xdr:row>
      <xdr:rowOff>0</xdr:rowOff>
    </xdr:from>
    <xdr:to>
      <xdr:col>11</xdr:col>
      <xdr:colOff>944880</xdr:colOff>
      <xdr:row>15</xdr:row>
      <xdr:rowOff>177023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7429E-1648-481E-8518-1B84681E6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1020" y="0"/>
          <a:ext cx="1874520" cy="2920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AB307D0-F4C6-4F37-9934-141F4B9FF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54F93265-D5A3-417D-9195-9BA5674F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586740</xdr:colOff>
      <xdr:row>1</xdr:row>
      <xdr:rowOff>30480</xdr:rowOff>
    </xdr:from>
    <xdr:to>
      <xdr:col>4</xdr:col>
      <xdr:colOff>266700</xdr:colOff>
      <xdr:row>14</xdr:row>
      <xdr:rowOff>122172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D320DB-AE90-4333-91B7-0A2078AE1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980" y="21336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C1C-19D2-442E-A4CF-B84BDE7C391E}">
  <sheetPr codeName="Sheet1"/>
  <dimension ref="A18:P72"/>
  <sheetViews>
    <sheetView tabSelected="1" topLeftCell="A39" workbookViewId="0">
      <selection activeCell="K50" sqref="K50"/>
    </sheetView>
  </sheetViews>
  <sheetFormatPr defaultRowHeight="14.45"/>
  <cols>
    <col min="1" max="1" width="10.28515625" customWidth="1"/>
    <col min="2" max="2" width="11.28515625" customWidth="1"/>
    <col min="3" max="3" width="16.5703125" customWidth="1"/>
    <col min="4" max="4" width="14.85546875" customWidth="1"/>
    <col min="5" max="5" width="20.140625" customWidth="1"/>
    <col min="6" max="6" width="19.7109375" customWidth="1"/>
    <col min="7" max="7" width="21.7109375" customWidth="1"/>
    <col min="8" max="8" width="18.5703125" customWidth="1"/>
    <col min="9" max="9" width="18.7109375" customWidth="1"/>
    <col min="10" max="10" width="20.28515625" customWidth="1"/>
    <col min="11" max="11" width="16.140625" customWidth="1"/>
    <col min="12" max="12" width="18" customWidth="1"/>
    <col min="13" max="13" width="19" customWidth="1"/>
    <col min="14" max="14" width="10.28515625" bestFit="1" customWidth="1"/>
  </cols>
  <sheetData>
    <row r="18" spans="1:13" ht="23.45">
      <c r="A18" s="62" t="s">
        <v>0</v>
      </c>
      <c r="B18" s="62"/>
      <c r="C18" s="8" t="s">
        <v>1</v>
      </c>
      <c r="E18" s="62" t="s">
        <v>2</v>
      </c>
      <c r="F18" s="63"/>
      <c r="G18" s="9" t="str">
        <f ca="1">kode_jawaban</f>
        <v>HK1|F4-FFC81;25-F58;2A-66B5F20;18-BAC48;DF-6A412C;22-501BD0;12-192D50;1B-4864D0</v>
      </c>
      <c r="H18" s="10"/>
      <c r="I18" s="10"/>
      <c r="J18" s="10"/>
      <c r="K18" s="10"/>
      <c r="L18" s="10"/>
    </row>
    <row r="20" spans="1:13" ht="22.9">
      <c r="A20" s="64" t="s">
        <v>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3" ht="15.6">
      <c r="A21" s="11"/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5"/>
    </row>
    <row r="22" spans="1:13" ht="15.6">
      <c r="A22" s="13"/>
      <c r="B22" s="14" t="s">
        <v>4</v>
      </c>
      <c r="C22" s="13"/>
      <c r="D22" s="13"/>
      <c r="E22" s="12"/>
      <c r="F22" s="12"/>
      <c r="G22" s="12"/>
      <c r="H22" s="12"/>
      <c r="I22" s="12"/>
      <c r="J22" s="13"/>
      <c r="K22" s="13"/>
      <c r="L22" s="15"/>
    </row>
    <row r="23" spans="1:13" ht="15.6">
      <c r="A23" s="13"/>
      <c r="B23" s="13"/>
      <c r="C23" s="16"/>
      <c r="D23" s="13"/>
      <c r="E23" s="12"/>
      <c r="F23" s="12"/>
      <c r="G23" s="12"/>
      <c r="H23" s="17"/>
      <c r="I23" s="12"/>
      <c r="J23" s="13"/>
      <c r="K23" s="13"/>
      <c r="L23" s="15"/>
    </row>
    <row r="24" spans="1:13" ht="15.6" customHeight="1">
      <c r="A24" s="13"/>
      <c r="B24" s="18" t="s">
        <v>5</v>
      </c>
      <c r="C24" s="19" t="s">
        <v>6</v>
      </c>
      <c r="D24" s="13"/>
      <c r="E24" s="13"/>
      <c r="F24" s="12"/>
      <c r="G24" s="13"/>
      <c r="H24" s="17"/>
      <c r="I24" s="22"/>
      <c r="J24" s="13"/>
      <c r="K24" s="13"/>
      <c r="L24" s="23"/>
      <c r="M24" s="20"/>
    </row>
    <row r="25" spans="1:13" ht="15.6">
      <c r="A25" s="13"/>
      <c r="B25" s="21">
        <v>1</v>
      </c>
      <c r="C25" s="13" t="s">
        <v>7</v>
      </c>
      <c r="D25" s="13"/>
      <c r="E25" s="13"/>
      <c r="F25" s="12"/>
      <c r="G25" s="13"/>
      <c r="H25" s="17"/>
      <c r="I25" s="22"/>
      <c r="J25" s="13"/>
      <c r="K25" s="13"/>
      <c r="L25" s="23"/>
      <c r="M25" s="20"/>
    </row>
    <row r="26" spans="1:13" ht="15.6">
      <c r="A26" s="13"/>
      <c r="B26" s="21">
        <v>2</v>
      </c>
      <c r="C26" s="13" t="s">
        <v>8</v>
      </c>
      <c r="D26" s="13"/>
      <c r="E26" s="13"/>
      <c r="F26" s="12"/>
      <c r="G26" s="13"/>
      <c r="H26" s="17"/>
      <c r="I26" s="12"/>
      <c r="J26" s="13"/>
      <c r="K26" s="13"/>
      <c r="L26" s="15"/>
    </row>
    <row r="27" spans="1:13" ht="15.6" customHeight="1">
      <c r="A27" s="13"/>
      <c r="B27" s="21">
        <v>3</v>
      </c>
      <c r="C27" s="13" t="s">
        <v>9</v>
      </c>
      <c r="D27" s="13"/>
      <c r="E27" s="13"/>
      <c r="F27" s="12"/>
      <c r="G27" s="13"/>
      <c r="H27" s="17"/>
      <c r="I27" s="22"/>
      <c r="J27" s="13"/>
      <c r="K27" s="13"/>
      <c r="L27" s="23"/>
    </row>
    <row r="28" spans="1:13" ht="15.6" customHeight="1">
      <c r="A28" s="13"/>
      <c r="B28" s="21"/>
      <c r="C28" s="13"/>
      <c r="D28" s="13" t="s">
        <v>10</v>
      </c>
      <c r="E28" s="13"/>
      <c r="F28" s="12"/>
      <c r="G28" s="13"/>
      <c r="H28" s="17"/>
      <c r="I28" s="22"/>
      <c r="J28" s="13"/>
      <c r="K28" s="13"/>
      <c r="L28" s="23"/>
    </row>
    <row r="29" spans="1:13" ht="15.6" customHeight="1">
      <c r="A29" s="13"/>
      <c r="B29" s="21"/>
      <c r="C29" s="13"/>
      <c r="D29" s="13" t="s">
        <v>11</v>
      </c>
      <c r="E29" s="13"/>
      <c r="F29" s="12"/>
      <c r="G29" s="13"/>
      <c r="H29" s="17"/>
      <c r="I29" s="22"/>
      <c r="J29" s="13"/>
      <c r="K29" s="13"/>
      <c r="L29" s="23"/>
    </row>
    <row r="30" spans="1:13" ht="15.6">
      <c r="A30" s="13"/>
      <c r="B30" s="21">
        <v>4</v>
      </c>
      <c r="C30" s="13" t="s">
        <v>12</v>
      </c>
      <c r="D30" s="13"/>
      <c r="E30" s="13"/>
      <c r="F30" s="12"/>
      <c r="G30" s="13"/>
      <c r="H30" s="17"/>
      <c r="I30" s="22"/>
      <c r="J30" s="13"/>
      <c r="K30" s="13"/>
      <c r="L30" s="23"/>
    </row>
    <row r="31" spans="1:13" ht="15.6">
      <c r="A31" s="13"/>
      <c r="B31" s="21">
        <v>5</v>
      </c>
      <c r="C31" s="13" t="s">
        <v>13</v>
      </c>
      <c r="D31" s="13"/>
      <c r="E31" s="13"/>
      <c r="F31" s="12"/>
      <c r="G31" s="13"/>
      <c r="H31" s="17"/>
      <c r="I31" s="22"/>
      <c r="J31" s="13"/>
      <c r="K31" s="13"/>
      <c r="L31" s="23"/>
    </row>
    <row r="32" spans="1:13" ht="15.6">
      <c r="A32" s="13"/>
      <c r="B32" s="21">
        <v>6</v>
      </c>
      <c r="C32" s="13" t="s">
        <v>14</v>
      </c>
      <c r="D32" s="13"/>
      <c r="E32" s="13"/>
      <c r="F32" s="12"/>
      <c r="G32" s="13"/>
      <c r="H32" s="17"/>
      <c r="I32" s="22"/>
      <c r="J32" s="13"/>
      <c r="K32" s="13"/>
      <c r="L32" s="23"/>
    </row>
    <row r="33" spans="1:16" ht="15.6">
      <c r="A33" s="13"/>
      <c r="B33" s="21">
        <v>7</v>
      </c>
      <c r="C33" s="13" t="s">
        <v>15</v>
      </c>
      <c r="D33" s="13"/>
      <c r="E33" s="13"/>
      <c r="F33" s="12"/>
      <c r="G33" s="13"/>
      <c r="H33" s="17"/>
      <c r="I33" s="22"/>
      <c r="J33" s="13"/>
      <c r="K33" s="13"/>
      <c r="L33" s="23"/>
    </row>
    <row r="34" spans="1:16" ht="15.6">
      <c r="A34" s="13"/>
      <c r="B34" s="21">
        <v>8</v>
      </c>
      <c r="C34" s="13" t="s">
        <v>16</v>
      </c>
      <c r="D34" s="13"/>
      <c r="E34" s="13"/>
      <c r="F34" s="12"/>
      <c r="G34" s="13"/>
      <c r="H34" s="17"/>
      <c r="I34" s="22"/>
      <c r="J34" s="13"/>
      <c r="K34" s="13"/>
      <c r="L34" s="23"/>
    </row>
    <row r="35" spans="1:16" ht="15.6">
      <c r="A35" s="13"/>
      <c r="B35" s="21"/>
      <c r="C35" s="13"/>
      <c r="D35" s="13" t="s">
        <v>17</v>
      </c>
      <c r="E35" s="13"/>
      <c r="F35" s="12"/>
      <c r="G35" s="13"/>
      <c r="H35" s="17"/>
      <c r="I35" s="22"/>
      <c r="J35" s="13"/>
      <c r="K35" s="13"/>
      <c r="L35" s="23"/>
    </row>
    <row r="36" spans="1:16" ht="15.6">
      <c r="A36" s="13"/>
      <c r="B36" s="24"/>
      <c r="C36" s="13"/>
      <c r="D36" s="13"/>
      <c r="E36" s="13"/>
      <c r="F36" s="12"/>
      <c r="G36" s="13"/>
      <c r="H36" s="13"/>
      <c r="I36" s="12"/>
      <c r="J36" s="13"/>
      <c r="K36" s="13"/>
      <c r="L36" s="15"/>
    </row>
    <row r="37" spans="1:16" ht="15.6">
      <c r="A37" s="13"/>
      <c r="B37" s="13"/>
      <c r="C37" s="25" t="s">
        <v>18</v>
      </c>
      <c r="D37" s="13"/>
      <c r="E37" s="13"/>
      <c r="F37" s="12"/>
      <c r="G37" s="13"/>
      <c r="H37" s="13"/>
      <c r="I37" s="12"/>
      <c r="J37" s="13"/>
      <c r="K37" s="13"/>
      <c r="L37" s="15"/>
    </row>
    <row r="38" spans="1:16" ht="15.6">
      <c r="A38" s="13"/>
      <c r="B38" s="13"/>
      <c r="C38" s="25" t="s">
        <v>19</v>
      </c>
      <c r="D38" s="13"/>
      <c r="E38" s="12"/>
      <c r="F38" s="12"/>
      <c r="G38" s="13"/>
      <c r="H38" s="13"/>
      <c r="I38" s="12"/>
      <c r="J38" s="13"/>
      <c r="K38" s="13"/>
      <c r="L38" s="15"/>
    </row>
    <row r="39" spans="1:16" ht="15.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5"/>
    </row>
    <row r="40" spans="1:16" ht="15.6">
      <c r="A40" s="13"/>
      <c r="B40" s="13"/>
      <c r="C40" s="13"/>
      <c r="D40" s="13"/>
      <c r="E40" s="13"/>
      <c r="F40" s="13"/>
      <c r="G40" s="13"/>
      <c r="H40" s="13"/>
      <c r="I40" s="13"/>
      <c r="L40" s="15"/>
    </row>
    <row r="41" spans="1:16" ht="22.9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3" spans="1:16" ht="21">
      <c r="A43" s="70" t="s">
        <v>20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</row>
    <row r="44" spans="1:16" ht="13.9" customHeight="1">
      <c r="C44" s="3"/>
    </row>
    <row r="45" spans="1:16" ht="15" thickBot="1"/>
    <row r="46" spans="1:16" ht="16.149999999999999" thickBot="1">
      <c r="E46" s="32">
        <v>1</v>
      </c>
      <c r="F46" s="32">
        <v>2</v>
      </c>
      <c r="G46" s="32">
        <v>3</v>
      </c>
      <c r="H46" s="32">
        <v>4</v>
      </c>
      <c r="I46" s="32">
        <v>5</v>
      </c>
      <c r="J46" s="32">
        <v>6</v>
      </c>
      <c r="K46" s="32">
        <v>7</v>
      </c>
      <c r="L46" s="32">
        <v>8</v>
      </c>
    </row>
    <row r="47" spans="1:16" ht="35.450000000000003" customHeight="1">
      <c r="A47" s="26" t="s">
        <v>21</v>
      </c>
      <c r="B47" s="26" t="s">
        <v>22</v>
      </c>
      <c r="C47" s="26" t="s">
        <v>23</v>
      </c>
      <c r="D47" s="26" t="s">
        <v>24</v>
      </c>
      <c r="E47" s="27" t="s">
        <v>25</v>
      </c>
      <c r="F47" s="27" t="s">
        <v>26</v>
      </c>
      <c r="G47" s="27" t="s">
        <v>27</v>
      </c>
      <c r="H47" s="28" t="s">
        <v>28</v>
      </c>
      <c r="I47" s="28" t="s">
        <v>29</v>
      </c>
      <c r="J47" s="28" t="s">
        <v>30</v>
      </c>
      <c r="K47" s="28" t="s">
        <v>31</v>
      </c>
      <c r="L47" s="28" t="s">
        <v>32</v>
      </c>
    </row>
    <row r="48" spans="1:16" ht="19.899999999999999" customHeight="1">
      <c r="A48" s="29" t="s">
        <v>33</v>
      </c>
      <c r="B48" s="29" t="s">
        <v>34</v>
      </c>
      <c r="C48" s="31" t="s">
        <v>35</v>
      </c>
      <c r="D48" s="29">
        <v>4</v>
      </c>
      <c r="E48" s="52">
        <v>45608</v>
      </c>
      <c r="F48" s="30">
        <v>235</v>
      </c>
      <c r="G48" s="30">
        <v>6625000</v>
      </c>
      <c r="H48" s="30">
        <v>45000</v>
      </c>
      <c r="I48" s="30">
        <v>331250</v>
      </c>
      <c r="J48" s="30">
        <v>0</v>
      </c>
      <c r="K48" s="30">
        <v>150000</v>
      </c>
      <c r="L48" s="30">
        <v>282500</v>
      </c>
      <c r="N48" s="51"/>
      <c r="O48" s="51"/>
      <c r="P48" s="51"/>
    </row>
    <row r="49" spans="1:16" ht="6" customHeight="1">
      <c r="A49" s="53"/>
      <c r="B49" s="53"/>
      <c r="C49" s="54"/>
      <c r="D49" s="53"/>
      <c r="E49" s="55"/>
      <c r="F49" s="56"/>
      <c r="G49" s="56"/>
      <c r="H49" s="56"/>
      <c r="I49" s="56"/>
      <c r="J49" s="56"/>
      <c r="K49" s="56"/>
      <c r="L49" s="56"/>
      <c r="N49" s="51"/>
      <c r="O49" s="51"/>
      <c r="P49" s="51"/>
    </row>
    <row r="50" spans="1:16" ht="19.899999999999999" customHeight="1">
      <c r="A50" s="29">
        <v>1</v>
      </c>
      <c r="B50" s="29" t="s">
        <v>36</v>
      </c>
      <c r="C50" s="31" t="s">
        <v>37</v>
      </c>
      <c r="D50" s="29">
        <v>3</v>
      </c>
      <c r="E50" s="52">
        <f>_xlfn.MAXIFS('Data Kerja'!$D$4:$D$46,'Data Kerja'!$B$4:$B$46,Soal!B50)</f>
        <v>45625</v>
      </c>
      <c r="F50" s="30">
        <f>_xlfn.MAXIFS('Data Kerja'!$E$4:$E$46,'Data Kerja'!$B$4:$B$46,Soal!B50,'Data Kerja'!$D$4:$D$46,Soal!E50)</f>
        <v>227</v>
      </c>
      <c r="G50" s="30">
        <f>MIN(F50,160)*25000 + MAX(0,F50-160)*35000</f>
        <v>6345000</v>
      </c>
      <c r="H50" s="30">
        <f>MIN(3,D50)*15000</f>
        <v>45000</v>
      </c>
      <c r="I50" s="30">
        <f>MAX(250000,G50*5%)</f>
        <v>317250</v>
      </c>
      <c r="J50" s="60">
        <f>MIN(350000,MAX(0,G50&lt;5000000)*350000)</f>
        <v>0</v>
      </c>
      <c r="K50" s="30">
        <f>MAX(150000*(G50&gt;4000000),0)</f>
        <v>150000</v>
      </c>
      <c r="L50" s="30">
        <f>MAX(100000,MIN(G50,5000000)*5% + MAX(0,G50-5000000)*2%)</f>
        <v>276900</v>
      </c>
      <c r="N50" s="6"/>
    </row>
    <row r="51" spans="1:16" ht="19.899999999999999" customHeight="1">
      <c r="A51" s="29">
        <v>2</v>
      </c>
      <c r="B51" s="29" t="s">
        <v>38</v>
      </c>
      <c r="C51" s="31" t="s">
        <v>39</v>
      </c>
      <c r="D51" s="29">
        <v>5</v>
      </c>
      <c r="E51" s="52">
        <f>_xlfn.MAXIFS('Data Kerja'!$D$4:$D$46,'Data Kerja'!$B$4:$B$46,Soal!B51)</f>
        <v>45517</v>
      </c>
      <c r="F51" s="30">
        <f>_xlfn.MAXIFS('Data Kerja'!$E$4:$E$46,'Data Kerja'!$B$4:$B$46,Soal!B51,'Data Kerja'!$D$4:$D$46,Soal!E51)</f>
        <v>348</v>
      </c>
      <c r="G51" s="30">
        <f t="shared" ref="G51:G65" si="0">MIN(F51,160)*25000 + MAX(0,F51-160)*35000</f>
        <v>10580000</v>
      </c>
      <c r="H51" s="30">
        <f t="shared" ref="H51:H65" si="1">MIN(3,D51)*15000</f>
        <v>45000</v>
      </c>
      <c r="I51" s="30">
        <f t="shared" ref="I51:I65" si="2">MAX(250000,G51*5%)</f>
        <v>529000</v>
      </c>
      <c r="J51" s="60">
        <f t="shared" ref="J51:J65" si="3">MIN(350000,MAX(0,G51&lt;5000000)*350000)</f>
        <v>0</v>
      </c>
      <c r="K51" s="30">
        <f t="shared" ref="K51:K65" si="4">MAX(150000*(G51&gt;4000000),0)</f>
        <v>150000</v>
      </c>
      <c r="L51" s="30">
        <f t="shared" ref="L51:L65" si="5">MAX(100000,MIN(G51,5000000)*5% + MAX(0,G51-5000000)*2%)</f>
        <v>361600</v>
      </c>
      <c r="N51" s="6"/>
    </row>
    <row r="52" spans="1:16" ht="19.899999999999999" customHeight="1">
      <c r="A52" s="29">
        <v>3</v>
      </c>
      <c r="B52" s="29" t="s">
        <v>40</v>
      </c>
      <c r="C52" s="31" t="s">
        <v>41</v>
      </c>
      <c r="D52" s="29">
        <v>3</v>
      </c>
      <c r="E52" s="52">
        <f>_xlfn.MAXIFS('Data Kerja'!$D$4:$D$46,'Data Kerja'!$B$4:$B$46,Soal!B52)</f>
        <v>45443</v>
      </c>
      <c r="F52" s="30">
        <f>_xlfn.MAXIFS('Data Kerja'!$E$4:$E$46,'Data Kerja'!$B$4:$B$46,Soal!B52,'Data Kerja'!$D$4:$D$46,Soal!E52)</f>
        <v>130</v>
      </c>
      <c r="G52" s="30">
        <f t="shared" si="0"/>
        <v>3250000</v>
      </c>
      <c r="H52" s="30">
        <f t="shared" si="1"/>
        <v>45000</v>
      </c>
      <c r="I52" s="30">
        <f t="shared" si="2"/>
        <v>250000</v>
      </c>
      <c r="J52" s="60">
        <f t="shared" si="3"/>
        <v>350000</v>
      </c>
      <c r="K52" s="30">
        <f t="shared" si="4"/>
        <v>0</v>
      </c>
      <c r="L52" s="30">
        <f t="shared" si="5"/>
        <v>162500</v>
      </c>
      <c r="N52" s="6"/>
    </row>
    <row r="53" spans="1:16" ht="19.899999999999999" customHeight="1">
      <c r="A53" s="29">
        <v>4</v>
      </c>
      <c r="B53" s="29" t="s">
        <v>42</v>
      </c>
      <c r="C53" s="31" t="s">
        <v>43</v>
      </c>
      <c r="D53" s="29">
        <v>5</v>
      </c>
      <c r="E53" s="52">
        <f>_xlfn.MAXIFS('Data Kerja'!$D$4:$D$46,'Data Kerja'!$B$4:$B$46,Soal!B53)</f>
        <v>45596</v>
      </c>
      <c r="F53" s="30">
        <f>_xlfn.MAXIFS('Data Kerja'!$E$4:$E$46,'Data Kerja'!$B$4:$B$46,Soal!B53,'Data Kerja'!$D$4:$D$46,Soal!E53)</f>
        <v>56</v>
      </c>
      <c r="G53" s="30">
        <f t="shared" si="0"/>
        <v>1400000</v>
      </c>
      <c r="H53" s="30">
        <f t="shared" si="1"/>
        <v>45000</v>
      </c>
      <c r="I53" s="30">
        <f t="shared" si="2"/>
        <v>250000</v>
      </c>
      <c r="J53" s="60">
        <f t="shared" si="3"/>
        <v>350000</v>
      </c>
      <c r="K53" s="30">
        <f t="shared" si="4"/>
        <v>0</v>
      </c>
      <c r="L53" s="30">
        <f t="shared" si="5"/>
        <v>100000</v>
      </c>
    </row>
    <row r="54" spans="1:16" ht="19.899999999999999" customHeight="1">
      <c r="A54" s="29">
        <v>5</v>
      </c>
      <c r="B54" s="29" t="s">
        <v>44</v>
      </c>
      <c r="C54" s="31" t="s">
        <v>45</v>
      </c>
      <c r="D54" s="29">
        <v>4</v>
      </c>
      <c r="E54" s="52">
        <f>_xlfn.MAXIFS('Data Kerja'!$D$4:$D$46,'Data Kerja'!$B$4:$B$46,Soal!B54)</f>
        <v>45622</v>
      </c>
      <c r="F54" s="30">
        <f>_xlfn.MAXIFS('Data Kerja'!$E$4:$E$46,'Data Kerja'!$B$4:$B$46,Soal!B54,'Data Kerja'!$D$4:$D$46,Soal!E54)</f>
        <v>411</v>
      </c>
      <c r="G54" s="30">
        <f t="shared" si="0"/>
        <v>12785000</v>
      </c>
      <c r="H54" s="30">
        <f t="shared" si="1"/>
        <v>45000</v>
      </c>
      <c r="I54" s="30">
        <f t="shared" si="2"/>
        <v>639250</v>
      </c>
      <c r="J54" s="60">
        <f t="shared" si="3"/>
        <v>0</v>
      </c>
      <c r="K54" s="30">
        <f t="shared" si="4"/>
        <v>150000</v>
      </c>
      <c r="L54" s="30">
        <f t="shared" si="5"/>
        <v>405700</v>
      </c>
    </row>
    <row r="55" spans="1:16" ht="19.899999999999999" customHeight="1">
      <c r="A55" s="29">
        <v>6</v>
      </c>
      <c r="B55" s="29" t="s">
        <v>46</v>
      </c>
      <c r="C55" s="31" t="s">
        <v>47</v>
      </c>
      <c r="D55" s="29">
        <v>5</v>
      </c>
      <c r="E55" s="52">
        <f>_xlfn.MAXIFS('Data Kerja'!$D$4:$D$46,'Data Kerja'!$B$4:$B$46,Soal!B55)</f>
        <v>45619</v>
      </c>
      <c r="F55" s="30">
        <f>_xlfn.MAXIFS('Data Kerja'!$E$4:$E$46,'Data Kerja'!$B$4:$B$46,Soal!B55,'Data Kerja'!$D$4:$D$46,Soal!E55)</f>
        <v>120</v>
      </c>
      <c r="G55" s="30">
        <f t="shared" si="0"/>
        <v>3000000</v>
      </c>
      <c r="H55" s="30">
        <f t="shared" si="1"/>
        <v>45000</v>
      </c>
      <c r="I55" s="30">
        <f t="shared" si="2"/>
        <v>250000</v>
      </c>
      <c r="J55" s="60">
        <f t="shared" si="3"/>
        <v>350000</v>
      </c>
      <c r="K55" s="30">
        <f t="shared" si="4"/>
        <v>0</v>
      </c>
      <c r="L55" s="30">
        <f t="shared" si="5"/>
        <v>150000</v>
      </c>
    </row>
    <row r="56" spans="1:16" ht="19.899999999999999" customHeight="1">
      <c r="A56" s="29">
        <v>7</v>
      </c>
      <c r="B56" s="29" t="s">
        <v>48</v>
      </c>
      <c r="C56" s="31" t="s">
        <v>49</v>
      </c>
      <c r="D56" s="29">
        <v>3</v>
      </c>
      <c r="E56" s="52">
        <f>_xlfn.MAXIFS('Data Kerja'!$D$4:$D$46,'Data Kerja'!$B$4:$B$46,Soal!B56)</f>
        <v>45628</v>
      </c>
      <c r="F56" s="30">
        <f>_xlfn.MAXIFS('Data Kerja'!$E$4:$E$46,'Data Kerja'!$B$4:$B$46,Soal!B56,'Data Kerja'!$D$4:$D$46,Soal!E56)</f>
        <v>162</v>
      </c>
      <c r="G56" s="30">
        <f t="shared" si="0"/>
        <v>4070000</v>
      </c>
      <c r="H56" s="30">
        <f t="shared" si="1"/>
        <v>45000</v>
      </c>
      <c r="I56" s="30">
        <f t="shared" si="2"/>
        <v>250000</v>
      </c>
      <c r="J56" s="60">
        <f t="shared" si="3"/>
        <v>350000</v>
      </c>
      <c r="K56" s="30">
        <f t="shared" si="4"/>
        <v>150000</v>
      </c>
      <c r="L56" s="30">
        <f t="shared" si="5"/>
        <v>203500</v>
      </c>
    </row>
    <row r="57" spans="1:16" ht="19.899999999999999" customHeight="1">
      <c r="A57" s="29">
        <v>8</v>
      </c>
      <c r="B57" s="29" t="s">
        <v>50</v>
      </c>
      <c r="C57" s="31" t="s">
        <v>51</v>
      </c>
      <c r="D57" s="29">
        <v>5</v>
      </c>
      <c r="E57" s="52">
        <f>_xlfn.MAXIFS('Data Kerja'!$D$4:$D$46,'Data Kerja'!$B$4:$B$46,Soal!B57)</f>
        <v>45585</v>
      </c>
      <c r="F57" s="30">
        <f>_xlfn.MAXIFS('Data Kerja'!$E$4:$E$46,'Data Kerja'!$B$4:$B$46,Soal!B57,'Data Kerja'!$D$4:$D$46,Soal!E57)</f>
        <v>184</v>
      </c>
      <c r="G57" s="30">
        <f t="shared" si="0"/>
        <v>4840000</v>
      </c>
      <c r="H57" s="30">
        <f t="shared" si="1"/>
        <v>45000</v>
      </c>
      <c r="I57" s="30">
        <f t="shared" si="2"/>
        <v>250000</v>
      </c>
      <c r="J57" s="60">
        <f t="shared" si="3"/>
        <v>350000</v>
      </c>
      <c r="K57" s="30">
        <f t="shared" si="4"/>
        <v>150000</v>
      </c>
      <c r="L57" s="30">
        <f t="shared" si="5"/>
        <v>242000</v>
      </c>
    </row>
    <row r="58" spans="1:16" ht="19.899999999999999" customHeight="1">
      <c r="A58" s="29">
        <v>9</v>
      </c>
      <c r="B58" s="29" t="s">
        <v>52</v>
      </c>
      <c r="C58" s="31" t="s">
        <v>53</v>
      </c>
      <c r="D58" s="29">
        <v>1</v>
      </c>
      <c r="E58" s="52">
        <f>_xlfn.MAXIFS('Data Kerja'!$D$4:$D$46,'Data Kerja'!$B$4:$B$46,Soal!B58)</f>
        <v>45569</v>
      </c>
      <c r="F58" s="30">
        <f>_xlfn.MAXIFS('Data Kerja'!$E$4:$E$46,'Data Kerja'!$B$4:$B$46,Soal!B58,'Data Kerja'!$D$4:$D$46,Soal!E58)</f>
        <v>98</v>
      </c>
      <c r="G58" s="30">
        <f t="shared" si="0"/>
        <v>2450000</v>
      </c>
      <c r="H58" s="30">
        <f t="shared" si="1"/>
        <v>15000</v>
      </c>
      <c r="I58" s="30">
        <f t="shared" si="2"/>
        <v>250000</v>
      </c>
      <c r="J58" s="60">
        <f t="shared" si="3"/>
        <v>350000</v>
      </c>
      <c r="K58" s="30">
        <f t="shared" si="4"/>
        <v>0</v>
      </c>
      <c r="L58" s="30">
        <f t="shared" si="5"/>
        <v>122500</v>
      </c>
    </row>
    <row r="59" spans="1:16" ht="19.899999999999999" customHeight="1">
      <c r="A59" s="29">
        <v>10</v>
      </c>
      <c r="B59" s="29" t="s">
        <v>54</v>
      </c>
      <c r="C59" s="31" t="s">
        <v>55</v>
      </c>
      <c r="D59" s="29">
        <v>5</v>
      </c>
      <c r="E59" s="52">
        <f>_xlfn.MAXIFS('Data Kerja'!$D$4:$D$46,'Data Kerja'!$B$4:$B$46,Soal!B59)</f>
        <v>45456</v>
      </c>
      <c r="F59" s="30">
        <f>_xlfn.MAXIFS('Data Kerja'!$E$4:$E$46,'Data Kerja'!$B$4:$B$46,Soal!B59,'Data Kerja'!$D$4:$D$46,Soal!E59)</f>
        <v>145</v>
      </c>
      <c r="G59" s="30">
        <f t="shared" si="0"/>
        <v>3625000</v>
      </c>
      <c r="H59" s="30">
        <f t="shared" si="1"/>
        <v>45000</v>
      </c>
      <c r="I59" s="30">
        <f t="shared" si="2"/>
        <v>250000</v>
      </c>
      <c r="J59" s="60">
        <f t="shared" si="3"/>
        <v>350000</v>
      </c>
      <c r="K59" s="30">
        <f t="shared" si="4"/>
        <v>0</v>
      </c>
      <c r="L59" s="30">
        <f t="shared" si="5"/>
        <v>181250</v>
      </c>
    </row>
    <row r="60" spans="1:16" ht="19.899999999999999" customHeight="1">
      <c r="A60" s="29">
        <v>11</v>
      </c>
      <c r="B60" s="29" t="s">
        <v>56</v>
      </c>
      <c r="C60" s="31" t="s">
        <v>57</v>
      </c>
      <c r="D60" s="29">
        <v>0</v>
      </c>
      <c r="E60" s="52">
        <f>_xlfn.MAXIFS('Data Kerja'!$D$4:$D$46,'Data Kerja'!$B$4:$B$46,Soal!B60)</f>
        <v>45449</v>
      </c>
      <c r="F60" s="30">
        <f>_xlfn.MAXIFS('Data Kerja'!$E$4:$E$46,'Data Kerja'!$B$4:$B$46,Soal!B60,'Data Kerja'!$D$4:$D$46,Soal!E60)</f>
        <v>140</v>
      </c>
      <c r="G60" s="30">
        <f t="shared" si="0"/>
        <v>3500000</v>
      </c>
      <c r="H60" s="30">
        <f t="shared" si="1"/>
        <v>0</v>
      </c>
      <c r="I60" s="30">
        <f t="shared" si="2"/>
        <v>250000</v>
      </c>
      <c r="J60" s="60">
        <f t="shared" si="3"/>
        <v>350000</v>
      </c>
      <c r="K60" s="30">
        <f t="shared" si="4"/>
        <v>0</v>
      </c>
      <c r="L60" s="30">
        <f t="shared" si="5"/>
        <v>175000</v>
      </c>
    </row>
    <row r="61" spans="1:16" ht="19.899999999999999" customHeight="1">
      <c r="A61" s="29">
        <v>12</v>
      </c>
      <c r="B61" s="29" t="s">
        <v>58</v>
      </c>
      <c r="C61" s="31" t="s">
        <v>59</v>
      </c>
      <c r="D61" s="29">
        <v>2</v>
      </c>
      <c r="E61" s="52">
        <f>_xlfn.MAXIFS('Data Kerja'!$D$4:$D$46,'Data Kerja'!$B$4:$B$46,Soal!B61)</f>
        <v>45483</v>
      </c>
      <c r="F61" s="30">
        <f>_xlfn.MAXIFS('Data Kerja'!$E$4:$E$46,'Data Kerja'!$B$4:$B$46,Soal!B61,'Data Kerja'!$D$4:$D$46,Soal!E61)</f>
        <v>58</v>
      </c>
      <c r="G61" s="30">
        <f t="shared" si="0"/>
        <v>1450000</v>
      </c>
      <c r="H61" s="30">
        <f t="shared" si="1"/>
        <v>30000</v>
      </c>
      <c r="I61" s="30">
        <f t="shared" si="2"/>
        <v>250000</v>
      </c>
      <c r="J61" s="60">
        <f t="shared" si="3"/>
        <v>350000</v>
      </c>
      <c r="K61" s="30">
        <f t="shared" si="4"/>
        <v>0</v>
      </c>
      <c r="L61" s="30">
        <f t="shared" si="5"/>
        <v>100000</v>
      </c>
    </row>
    <row r="62" spans="1:16" ht="19.899999999999999" customHeight="1">
      <c r="A62" s="29">
        <v>13</v>
      </c>
      <c r="B62" s="29" t="s">
        <v>60</v>
      </c>
      <c r="C62" s="31" t="s">
        <v>61</v>
      </c>
      <c r="D62" s="29">
        <v>1</v>
      </c>
      <c r="E62" s="52">
        <f>_xlfn.MAXIFS('Data Kerja'!$D$4:$D$46,'Data Kerja'!$B$4:$B$46,Soal!B62)</f>
        <v>45477</v>
      </c>
      <c r="F62" s="30">
        <f>_xlfn.MAXIFS('Data Kerja'!$E$4:$E$46,'Data Kerja'!$B$4:$B$46,Soal!B62,'Data Kerja'!$D$4:$D$46,Soal!E62)</f>
        <v>194</v>
      </c>
      <c r="G62" s="30">
        <f t="shared" si="0"/>
        <v>5190000</v>
      </c>
      <c r="H62" s="30">
        <f t="shared" si="1"/>
        <v>15000</v>
      </c>
      <c r="I62" s="30">
        <f t="shared" si="2"/>
        <v>259500</v>
      </c>
      <c r="J62" s="60">
        <f t="shared" si="3"/>
        <v>0</v>
      </c>
      <c r="K62" s="30">
        <f t="shared" si="4"/>
        <v>150000</v>
      </c>
      <c r="L62" s="30">
        <f t="shared" si="5"/>
        <v>253800</v>
      </c>
    </row>
    <row r="63" spans="1:16" ht="19.899999999999999" customHeight="1">
      <c r="A63" s="29">
        <v>14</v>
      </c>
      <c r="B63" s="29" t="s">
        <v>62</v>
      </c>
      <c r="C63" s="31" t="s">
        <v>63</v>
      </c>
      <c r="D63" s="29">
        <v>1</v>
      </c>
      <c r="E63" s="52">
        <f>_xlfn.MAXIFS('Data Kerja'!$D$4:$D$46,'Data Kerja'!$B$4:$B$46,Soal!B63)</f>
        <v>45631</v>
      </c>
      <c r="F63" s="30">
        <f>_xlfn.MAXIFS('Data Kerja'!$E$4:$E$46,'Data Kerja'!$B$4:$B$46,Soal!B63,'Data Kerja'!$D$4:$D$46,Soal!E63)</f>
        <v>234</v>
      </c>
      <c r="G63" s="30">
        <f t="shared" si="0"/>
        <v>6590000</v>
      </c>
      <c r="H63" s="30">
        <f t="shared" si="1"/>
        <v>15000</v>
      </c>
      <c r="I63" s="30">
        <f t="shared" si="2"/>
        <v>329500</v>
      </c>
      <c r="J63" s="60">
        <f t="shared" si="3"/>
        <v>0</v>
      </c>
      <c r="K63" s="30">
        <f t="shared" si="4"/>
        <v>150000</v>
      </c>
      <c r="L63" s="30">
        <f t="shared" si="5"/>
        <v>281800</v>
      </c>
    </row>
    <row r="64" spans="1:16" ht="19.899999999999999" customHeight="1">
      <c r="A64" s="29">
        <v>15</v>
      </c>
      <c r="B64" s="29" t="s">
        <v>64</v>
      </c>
      <c r="C64" s="31" t="s">
        <v>65</v>
      </c>
      <c r="D64" s="29">
        <v>3</v>
      </c>
      <c r="E64" s="52">
        <f>_xlfn.MAXIFS('Data Kerja'!$D$4:$D$46,'Data Kerja'!$B$4:$B$46,Soal!B64)</f>
        <v>45642</v>
      </c>
      <c r="F64" s="30">
        <f>_xlfn.MAXIFS('Data Kerja'!$E$4:$E$46,'Data Kerja'!$B$4:$B$46,Soal!B64,'Data Kerja'!$D$4:$D$46,Soal!E64)</f>
        <v>246</v>
      </c>
      <c r="G64" s="30">
        <f t="shared" si="0"/>
        <v>7010000</v>
      </c>
      <c r="H64" s="30">
        <f t="shared" si="1"/>
        <v>45000</v>
      </c>
      <c r="I64" s="30">
        <f t="shared" si="2"/>
        <v>350500</v>
      </c>
      <c r="J64" s="60">
        <f t="shared" si="3"/>
        <v>0</v>
      </c>
      <c r="K64" s="30">
        <f t="shared" si="4"/>
        <v>150000</v>
      </c>
      <c r="L64" s="30">
        <f t="shared" si="5"/>
        <v>290200</v>
      </c>
    </row>
    <row r="65" spans="1:12" ht="19.899999999999999" customHeight="1">
      <c r="A65" s="29">
        <v>16</v>
      </c>
      <c r="B65" s="29" t="s">
        <v>66</v>
      </c>
      <c r="C65" s="31" t="s">
        <v>67</v>
      </c>
      <c r="D65" s="29">
        <v>1</v>
      </c>
      <c r="E65" s="52">
        <f>_xlfn.MAXIFS('Data Kerja'!$D$4:$D$46,'Data Kerja'!$B$4:$B$46,Soal!B65)</f>
        <v>45548</v>
      </c>
      <c r="F65" s="30">
        <f>_xlfn.MAXIFS('Data Kerja'!$E$4:$E$46,'Data Kerja'!$B$4:$B$46,Soal!B65,'Data Kerja'!$D$4:$D$46,Soal!E65)</f>
        <v>86</v>
      </c>
      <c r="G65" s="30">
        <f t="shared" si="0"/>
        <v>2150000</v>
      </c>
      <c r="H65" s="30">
        <f t="shared" si="1"/>
        <v>15000</v>
      </c>
      <c r="I65" s="30">
        <f t="shared" si="2"/>
        <v>250000</v>
      </c>
      <c r="J65" s="60">
        <f t="shared" si="3"/>
        <v>350000</v>
      </c>
      <c r="K65" s="30">
        <f t="shared" si="4"/>
        <v>0</v>
      </c>
      <c r="L65" s="30">
        <f t="shared" si="5"/>
        <v>107500</v>
      </c>
    </row>
    <row r="66" spans="1:12" ht="7.1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</row>
    <row r="67" spans="1:12" ht="15" customHeight="1">
      <c r="K67" s="7"/>
    </row>
    <row r="68" spans="1:12" ht="15" customHeight="1">
      <c r="K68" s="7"/>
    </row>
    <row r="69" spans="1:12">
      <c r="K69" s="7"/>
    </row>
    <row r="70" spans="1:12">
      <c r="A70" s="61" t="s">
        <v>68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</row>
    <row r="71" spans="1:12">
      <c r="K71" s="7"/>
    </row>
    <row r="72" spans="1:12">
      <c r="K72" s="7"/>
    </row>
  </sheetData>
  <mergeCells count="6">
    <mergeCell ref="A70:L70"/>
    <mergeCell ref="A18:B18"/>
    <mergeCell ref="E18:F18"/>
    <mergeCell ref="A20:L20"/>
    <mergeCell ref="A41:L41"/>
    <mergeCell ref="A43:L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5627-014B-4125-87DD-700CF095AABB}">
  <sheetPr codeName="Sheet2" filterMode="1"/>
  <dimension ref="A1:E46"/>
  <sheetViews>
    <sheetView workbookViewId="0">
      <selection activeCell="A2" sqref="A2"/>
    </sheetView>
  </sheetViews>
  <sheetFormatPr defaultRowHeight="14.45"/>
  <cols>
    <col min="1" max="1" width="3.28515625" bestFit="1" customWidth="1"/>
    <col min="2" max="2" width="11.28515625" customWidth="1"/>
    <col min="3" max="3" width="17.28515625" customWidth="1"/>
    <col min="4" max="4" width="18.140625" customWidth="1"/>
    <col min="5" max="5" width="19.85546875" customWidth="1"/>
    <col min="6" max="6" width="9.85546875" customWidth="1"/>
  </cols>
  <sheetData>
    <row r="1" spans="1:5" ht="23.45">
      <c r="B1" s="4" t="s">
        <v>69</v>
      </c>
    </row>
    <row r="3" spans="1:5" ht="19.149999999999999" customHeight="1">
      <c r="A3" s="1" t="s">
        <v>21</v>
      </c>
      <c r="B3" s="1" t="s">
        <v>22</v>
      </c>
      <c r="C3" s="1" t="s">
        <v>23</v>
      </c>
      <c r="D3" s="1" t="s">
        <v>70</v>
      </c>
      <c r="E3" s="1" t="s">
        <v>26</v>
      </c>
    </row>
    <row r="4" spans="1:5">
      <c r="A4">
        <v>1</v>
      </c>
      <c r="B4" t="s">
        <v>38</v>
      </c>
      <c r="C4" t="s">
        <v>39</v>
      </c>
      <c r="D4" s="2">
        <v>45309</v>
      </c>
      <c r="E4">
        <v>48</v>
      </c>
    </row>
    <row r="5" spans="1:5" hidden="1">
      <c r="A5">
        <v>2</v>
      </c>
      <c r="B5" t="s">
        <v>34</v>
      </c>
      <c r="C5" t="s">
        <v>35</v>
      </c>
      <c r="D5" s="2">
        <v>45320</v>
      </c>
      <c r="E5">
        <v>65</v>
      </c>
    </row>
    <row r="6" spans="1:5" hidden="1">
      <c r="A6">
        <v>3</v>
      </c>
      <c r="B6" t="s">
        <v>56</v>
      </c>
      <c r="C6" t="s">
        <v>57</v>
      </c>
      <c r="D6" s="2">
        <v>45328</v>
      </c>
      <c r="E6">
        <v>43</v>
      </c>
    </row>
    <row r="7" spans="1:5" hidden="1">
      <c r="A7">
        <v>4</v>
      </c>
      <c r="B7" t="s">
        <v>48</v>
      </c>
      <c r="C7" t="s">
        <v>49</v>
      </c>
      <c r="D7" s="2">
        <v>45329</v>
      </c>
      <c r="E7">
        <v>35</v>
      </c>
    </row>
    <row r="8" spans="1:5">
      <c r="A8">
        <v>5</v>
      </c>
      <c r="B8" t="s">
        <v>38</v>
      </c>
      <c r="C8" t="s">
        <v>39</v>
      </c>
      <c r="D8" s="2">
        <v>45334</v>
      </c>
      <c r="E8">
        <v>88</v>
      </c>
    </row>
    <row r="9" spans="1:5" hidden="1">
      <c r="A9">
        <v>6</v>
      </c>
      <c r="B9" t="s">
        <v>40</v>
      </c>
      <c r="C9" t="s">
        <v>41</v>
      </c>
      <c r="D9" s="2">
        <v>45361</v>
      </c>
      <c r="E9">
        <v>63</v>
      </c>
    </row>
    <row r="10" spans="1:5" hidden="1">
      <c r="A10">
        <v>7</v>
      </c>
      <c r="B10" t="s">
        <v>36</v>
      </c>
      <c r="C10" t="s">
        <v>37</v>
      </c>
      <c r="D10" s="2">
        <v>45387</v>
      </c>
      <c r="E10">
        <v>59</v>
      </c>
    </row>
    <row r="11" spans="1:5" hidden="1">
      <c r="A11">
        <v>8</v>
      </c>
      <c r="B11" t="s">
        <v>62</v>
      </c>
      <c r="C11" t="s">
        <v>63</v>
      </c>
      <c r="D11" s="2">
        <v>45395</v>
      </c>
      <c r="E11">
        <v>55</v>
      </c>
    </row>
    <row r="12" spans="1:5" hidden="1">
      <c r="A12">
        <v>9</v>
      </c>
      <c r="B12" t="s">
        <v>54</v>
      </c>
      <c r="C12" t="s">
        <v>55</v>
      </c>
      <c r="D12" s="2">
        <v>45411</v>
      </c>
      <c r="E12">
        <v>45</v>
      </c>
    </row>
    <row r="13" spans="1:5" hidden="1">
      <c r="A13">
        <v>10</v>
      </c>
      <c r="B13" t="s">
        <v>46</v>
      </c>
      <c r="C13" t="s">
        <v>47</v>
      </c>
      <c r="D13" s="2">
        <v>45415</v>
      </c>
      <c r="E13">
        <v>64</v>
      </c>
    </row>
    <row r="14" spans="1:5" hidden="1">
      <c r="A14">
        <v>11</v>
      </c>
      <c r="B14" t="s">
        <v>60</v>
      </c>
      <c r="C14" t="s">
        <v>61</v>
      </c>
      <c r="D14" s="2">
        <v>45422</v>
      </c>
      <c r="E14">
        <v>33</v>
      </c>
    </row>
    <row r="15" spans="1:5" hidden="1">
      <c r="A15">
        <v>12</v>
      </c>
      <c r="B15" t="s">
        <v>44</v>
      </c>
      <c r="C15" t="s">
        <v>45</v>
      </c>
      <c r="D15" s="2">
        <v>45438</v>
      </c>
      <c r="E15">
        <v>43</v>
      </c>
    </row>
    <row r="16" spans="1:5" hidden="1">
      <c r="A16">
        <v>13</v>
      </c>
      <c r="B16" t="s">
        <v>40</v>
      </c>
      <c r="C16" t="s">
        <v>41</v>
      </c>
      <c r="D16" s="2">
        <v>45443</v>
      </c>
      <c r="E16">
        <v>130</v>
      </c>
    </row>
    <row r="17" spans="1:5" hidden="1">
      <c r="A17">
        <v>14</v>
      </c>
      <c r="B17" t="s">
        <v>60</v>
      </c>
      <c r="C17" t="s">
        <v>61</v>
      </c>
      <c r="D17" s="2">
        <v>45447</v>
      </c>
      <c r="E17">
        <v>100</v>
      </c>
    </row>
    <row r="18" spans="1:5" hidden="1">
      <c r="A18">
        <v>15</v>
      </c>
      <c r="B18" t="s">
        <v>56</v>
      </c>
      <c r="C18" t="s">
        <v>57</v>
      </c>
      <c r="D18" s="2">
        <v>45449</v>
      </c>
      <c r="E18">
        <v>140</v>
      </c>
    </row>
    <row r="19" spans="1:5" hidden="1">
      <c r="A19">
        <v>16</v>
      </c>
      <c r="B19" t="s">
        <v>44</v>
      </c>
      <c r="C19" t="s">
        <v>45</v>
      </c>
      <c r="D19" s="2">
        <v>45452</v>
      </c>
      <c r="E19">
        <v>113</v>
      </c>
    </row>
    <row r="20" spans="1:5" hidden="1">
      <c r="A20">
        <v>17</v>
      </c>
      <c r="B20" t="s">
        <v>54</v>
      </c>
      <c r="C20" t="s">
        <v>55</v>
      </c>
      <c r="D20" s="2">
        <v>45456</v>
      </c>
      <c r="E20">
        <v>145</v>
      </c>
    </row>
    <row r="21" spans="1:5" hidden="1">
      <c r="A21">
        <v>18</v>
      </c>
      <c r="B21" t="s">
        <v>60</v>
      </c>
      <c r="C21" t="s">
        <v>61</v>
      </c>
      <c r="D21" s="2">
        <v>45477</v>
      </c>
      <c r="E21">
        <v>194</v>
      </c>
    </row>
    <row r="22" spans="1:5" hidden="1">
      <c r="A22">
        <v>19</v>
      </c>
      <c r="B22" t="s">
        <v>58</v>
      </c>
      <c r="C22" t="s">
        <v>59</v>
      </c>
      <c r="D22" s="2">
        <v>45483</v>
      </c>
      <c r="E22">
        <v>58</v>
      </c>
    </row>
    <row r="23" spans="1:5">
      <c r="A23">
        <v>20</v>
      </c>
      <c r="B23" t="s">
        <v>38</v>
      </c>
      <c r="C23" t="s">
        <v>39</v>
      </c>
      <c r="D23" s="2">
        <v>45486</v>
      </c>
      <c r="E23">
        <v>179</v>
      </c>
    </row>
    <row r="24" spans="1:5" hidden="1">
      <c r="A24">
        <v>21</v>
      </c>
      <c r="B24" t="s">
        <v>64</v>
      </c>
      <c r="C24" t="s">
        <v>65</v>
      </c>
      <c r="D24" s="2">
        <v>45490</v>
      </c>
      <c r="E24">
        <v>67</v>
      </c>
    </row>
    <row r="25" spans="1:5" hidden="1">
      <c r="A25">
        <v>22</v>
      </c>
      <c r="B25" t="s">
        <v>66</v>
      </c>
      <c r="C25" t="s">
        <v>67</v>
      </c>
      <c r="D25" s="2">
        <v>45510</v>
      </c>
      <c r="E25">
        <v>41</v>
      </c>
    </row>
    <row r="26" spans="1:5">
      <c r="A26">
        <v>23</v>
      </c>
      <c r="B26" t="s">
        <v>38</v>
      </c>
      <c r="C26" t="s">
        <v>39</v>
      </c>
      <c r="D26" s="2">
        <v>45517</v>
      </c>
      <c r="E26">
        <v>348</v>
      </c>
    </row>
    <row r="27" spans="1:5" hidden="1">
      <c r="A27">
        <v>24</v>
      </c>
      <c r="B27" t="s">
        <v>36</v>
      </c>
      <c r="C27" t="s">
        <v>37</v>
      </c>
      <c r="D27" s="2">
        <v>45518</v>
      </c>
      <c r="E27">
        <v>119</v>
      </c>
    </row>
    <row r="28" spans="1:5" hidden="1">
      <c r="A28">
        <v>25</v>
      </c>
      <c r="B28" t="s">
        <v>64</v>
      </c>
      <c r="C28" t="s">
        <v>65</v>
      </c>
      <c r="D28" s="2">
        <v>45527</v>
      </c>
      <c r="E28">
        <v>124</v>
      </c>
    </row>
    <row r="29" spans="1:5" hidden="1">
      <c r="A29">
        <v>26</v>
      </c>
      <c r="B29" t="s">
        <v>34</v>
      </c>
      <c r="C29" t="s">
        <v>35</v>
      </c>
      <c r="D29" s="2">
        <v>45529</v>
      </c>
      <c r="E29">
        <v>118</v>
      </c>
    </row>
    <row r="30" spans="1:5" hidden="1">
      <c r="A30">
        <v>27</v>
      </c>
      <c r="B30" t="s">
        <v>52</v>
      </c>
      <c r="C30" t="s">
        <v>53</v>
      </c>
      <c r="D30" s="2">
        <v>45539</v>
      </c>
      <c r="E30">
        <v>42</v>
      </c>
    </row>
    <row r="31" spans="1:5" hidden="1">
      <c r="A31">
        <v>28</v>
      </c>
      <c r="B31" t="s">
        <v>66</v>
      </c>
      <c r="C31" t="s">
        <v>67</v>
      </c>
      <c r="D31" s="2">
        <v>45548</v>
      </c>
      <c r="E31">
        <v>86</v>
      </c>
    </row>
    <row r="32" spans="1:5" hidden="1">
      <c r="A32">
        <v>29</v>
      </c>
      <c r="B32" t="s">
        <v>62</v>
      </c>
      <c r="C32" t="s">
        <v>63</v>
      </c>
      <c r="D32" s="2">
        <v>45551</v>
      </c>
      <c r="E32">
        <v>119</v>
      </c>
    </row>
    <row r="33" spans="1:5" hidden="1">
      <c r="A33">
        <v>30</v>
      </c>
      <c r="B33" t="s">
        <v>50</v>
      </c>
      <c r="C33" t="s">
        <v>51</v>
      </c>
      <c r="D33" s="2">
        <v>45555</v>
      </c>
      <c r="E33">
        <v>34</v>
      </c>
    </row>
    <row r="34" spans="1:5" hidden="1">
      <c r="A34">
        <v>31</v>
      </c>
      <c r="B34" t="s">
        <v>50</v>
      </c>
      <c r="C34" t="s">
        <v>51</v>
      </c>
      <c r="D34" s="2">
        <v>45568</v>
      </c>
      <c r="E34">
        <v>89</v>
      </c>
    </row>
    <row r="35" spans="1:5" hidden="1">
      <c r="A35">
        <v>32</v>
      </c>
      <c r="B35" t="s">
        <v>52</v>
      </c>
      <c r="C35" t="s">
        <v>53</v>
      </c>
      <c r="D35" s="2">
        <v>45569</v>
      </c>
      <c r="E35">
        <v>98</v>
      </c>
    </row>
    <row r="36" spans="1:5" hidden="1">
      <c r="A36">
        <v>33</v>
      </c>
      <c r="B36" t="s">
        <v>50</v>
      </c>
      <c r="C36" t="s">
        <v>51</v>
      </c>
      <c r="D36" s="2">
        <v>45585</v>
      </c>
      <c r="E36">
        <v>184</v>
      </c>
    </row>
    <row r="37" spans="1:5" hidden="1">
      <c r="A37">
        <v>34</v>
      </c>
      <c r="B37" t="s">
        <v>42</v>
      </c>
      <c r="C37" t="s">
        <v>43</v>
      </c>
      <c r="D37" s="2">
        <v>45596</v>
      </c>
      <c r="E37">
        <v>56</v>
      </c>
    </row>
    <row r="38" spans="1:5" hidden="1">
      <c r="A38">
        <v>35</v>
      </c>
      <c r="B38" t="s">
        <v>34</v>
      </c>
      <c r="C38" t="s">
        <v>35</v>
      </c>
      <c r="D38" s="2">
        <v>45608</v>
      </c>
      <c r="E38">
        <v>235</v>
      </c>
    </row>
    <row r="39" spans="1:5" hidden="1">
      <c r="A39">
        <v>36</v>
      </c>
      <c r="B39" t="s">
        <v>44</v>
      </c>
      <c r="C39" t="s">
        <v>45</v>
      </c>
      <c r="D39" s="2">
        <v>45616</v>
      </c>
      <c r="E39">
        <v>213</v>
      </c>
    </row>
    <row r="40" spans="1:5" hidden="1">
      <c r="A40">
        <v>37</v>
      </c>
      <c r="B40" t="s">
        <v>46</v>
      </c>
      <c r="C40" t="s">
        <v>47</v>
      </c>
      <c r="D40" s="2">
        <v>45619</v>
      </c>
      <c r="E40">
        <v>120</v>
      </c>
    </row>
    <row r="41" spans="1:5" hidden="1">
      <c r="A41">
        <v>38</v>
      </c>
      <c r="B41" t="s">
        <v>44</v>
      </c>
      <c r="C41" t="s">
        <v>45</v>
      </c>
      <c r="D41" s="2">
        <v>45622</v>
      </c>
      <c r="E41">
        <v>411</v>
      </c>
    </row>
    <row r="42" spans="1:5" hidden="1">
      <c r="A42">
        <v>39</v>
      </c>
      <c r="B42" t="s">
        <v>48</v>
      </c>
      <c r="C42" t="s">
        <v>49</v>
      </c>
      <c r="D42" s="2">
        <v>45623</v>
      </c>
      <c r="E42">
        <v>94</v>
      </c>
    </row>
    <row r="43" spans="1:5" hidden="1">
      <c r="A43">
        <v>40</v>
      </c>
      <c r="B43" t="s">
        <v>36</v>
      </c>
      <c r="C43" t="s">
        <v>37</v>
      </c>
      <c r="D43" s="2">
        <v>45625</v>
      </c>
      <c r="E43">
        <v>227</v>
      </c>
    </row>
    <row r="44" spans="1:5" hidden="1">
      <c r="A44">
        <v>41</v>
      </c>
      <c r="B44" t="s">
        <v>48</v>
      </c>
      <c r="C44" t="s">
        <v>49</v>
      </c>
      <c r="D44" s="2">
        <v>45628</v>
      </c>
      <c r="E44">
        <v>162</v>
      </c>
    </row>
    <row r="45" spans="1:5" hidden="1">
      <c r="A45">
        <v>42</v>
      </c>
      <c r="B45" t="s">
        <v>62</v>
      </c>
      <c r="C45" t="s">
        <v>63</v>
      </c>
      <c r="D45" s="2">
        <v>45631</v>
      </c>
      <c r="E45">
        <v>234</v>
      </c>
    </row>
    <row r="46" spans="1:5" hidden="1">
      <c r="A46">
        <v>43</v>
      </c>
      <c r="B46" t="s">
        <v>64</v>
      </c>
      <c r="C46" t="s">
        <v>65</v>
      </c>
      <c r="D46" s="2">
        <v>45642</v>
      </c>
      <c r="E46">
        <v>246</v>
      </c>
    </row>
  </sheetData>
  <autoFilter ref="A3:E46" xr:uid="{13535627-014B-4125-87DD-700CF095AABB}">
    <filterColumn colId="1">
      <filters>
        <filter val="ID00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7370-9F21-454D-BFE3-9260A1C75596}">
  <sheetPr codeName="Sheet5"/>
  <dimension ref="B1:P32"/>
  <sheetViews>
    <sheetView showGridLines="0" workbookViewId="0">
      <selection activeCell="R19" sqref="R19"/>
    </sheetView>
  </sheetViews>
  <sheetFormatPr defaultColWidth="8.85546875" defaultRowHeight="14.45"/>
  <cols>
    <col min="1" max="1" width="5.7109375" style="33" customWidth="1"/>
    <col min="2" max="2" width="10" style="33" customWidth="1"/>
    <col min="3" max="6" width="8.85546875" style="33"/>
    <col min="7" max="8" width="4.28515625" style="33" customWidth="1"/>
    <col min="9" max="9" width="8.85546875" style="33"/>
    <col min="10" max="10" width="10.42578125" style="33" customWidth="1"/>
    <col min="11" max="11" width="9.28515625" style="33" customWidth="1"/>
    <col min="12" max="13" width="8.85546875" style="33"/>
    <col min="14" max="14" width="26.42578125" style="33" customWidth="1"/>
    <col min="15" max="16384" width="8.85546875" style="33"/>
  </cols>
  <sheetData>
    <row r="1" spans="7:16">
      <c r="H1" s="34"/>
      <c r="I1" s="34"/>
      <c r="J1" s="34"/>
      <c r="K1" s="34"/>
      <c r="L1" s="34"/>
      <c r="M1" s="34"/>
      <c r="N1" s="34"/>
      <c r="O1" s="34"/>
      <c r="P1" s="34"/>
    </row>
    <row r="2" spans="7:16">
      <c r="H2" s="34"/>
      <c r="I2" s="34"/>
      <c r="J2" s="34"/>
      <c r="K2" s="34"/>
      <c r="L2" s="34"/>
      <c r="M2" s="34"/>
      <c r="N2" s="34"/>
      <c r="O2" s="34"/>
      <c r="P2" s="34"/>
    </row>
    <row r="3" spans="7:16">
      <c r="G3" s="35"/>
      <c r="H3" s="36"/>
      <c r="I3" s="34"/>
      <c r="J3" s="34"/>
      <c r="K3" s="34"/>
      <c r="L3" s="34"/>
      <c r="M3" s="34"/>
      <c r="N3" s="34"/>
      <c r="O3" s="34"/>
      <c r="P3" s="34"/>
    </row>
    <row r="4" spans="7:16">
      <c r="G4" s="35"/>
      <c r="H4" s="36"/>
      <c r="I4" s="34"/>
      <c r="J4" s="34"/>
      <c r="K4" s="34"/>
      <c r="L4" s="34"/>
      <c r="M4" s="34"/>
      <c r="N4" s="34"/>
      <c r="O4" s="34"/>
      <c r="P4" s="34"/>
    </row>
    <row r="5" spans="7:16">
      <c r="G5" s="35"/>
      <c r="H5" s="36"/>
      <c r="I5" s="34"/>
      <c r="J5" s="34"/>
      <c r="K5" s="34"/>
      <c r="L5" s="34"/>
      <c r="M5" s="34"/>
      <c r="N5" s="34"/>
      <c r="O5" s="34"/>
      <c r="P5" s="34"/>
    </row>
    <row r="6" spans="7:16">
      <c r="G6" s="35"/>
      <c r="H6" s="36"/>
      <c r="I6" s="34" t="s">
        <v>71</v>
      </c>
      <c r="J6" s="34"/>
      <c r="K6" s="34"/>
      <c r="L6" s="34"/>
      <c r="M6" s="34"/>
      <c r="N6" s="34"/>
      <c r="O6" s="34"/>
      <c r="P6" s="34"/>
    </row>
    <row r="7" spans="7:16">
      <c r="G7" s="35"/>
      <c r="H7" s="36"/>
      <c r="I7" s="34" t="s">
        <v>72</v>
      </c>
      <c r="J7" s="34"/>
      <c r="K7" s="34"/>
      <c r="L7" s="34"/>
      <c r="M7" s="34"/>
      <c r="N7" s="34"/>
      <c r="O7" s="34"/>
      <c r="P7" s="34"/>
    </row>
    <row r="8" spans="7:16">
      <c r="G8" s="35"/>
      <c r="H8" s="36"/>
      <c r="I8" s="34"/>
      <c r="J8" s="34"/>
      <c r="K8" s="34"/>
      <c r="L8" s="34"/>
      <c r="M8" s="34"/>
      <c r="N8" s="34"/>
      <c r="O8" s="34"/>
      <c r="P8" s="34"/>
    </row>
    <row r="9" spans="7:16">
      <c r="G9" s="35"/>
      <c r="H9" s="36"/>
      <c r="I9" s="34"/>
      <c r="J9" s="34"/>
      <c r="K9" s="34"/>
      <c r="L9" s="34"/>
      <c r="M9" s="34"/>
      <c r="N9" s="34"/>
      <c r="O9" s="34"/>
      <c r="P9" s="34"/>
    </row>
    <row r="10" spans="7:16">
      <c r="G10" s="35"/>
      <c r="H10" s="36"/>
      <c r="I10" s="34" t="s">
        <v>73</v>
      </c>
      <c r="J10" s="34"/>
      <c r="K10" s="34"/>
      <c r="L10" s="34"/>
      <c r="M10" s="34"/>
      <c r="N10" s="34"/>
      <c r="O10" s="34"/>
      <c r="P10" s="34"/>
    </row>
    <row r="11" spans="7:16">
      <c r="G11" s="35"/>
      <c r="H11" s="36"/>
      <c r="I11" s="34"/>
      <c r="J11" s="34"/>
      <c r="K11" s="34"/>
      <c r="L11" s="34"/>
      <c r="M11" s="34"/>
      <c r="N11" s="34"/>
      <c r="O11" s="34"/>
      <c r="P11" s="34"/>
    </row>
    <row r="12" spans="7:16">
      <c r="G12" s="35"/>
      <c r="H12" s="36"/>
      <c r="I12" s="37"/>
      <c r="J12" s="72" t="s">
        <v>74</v>
      </c>
      <c r="K12" s="72"/>
      <c r="L12" s="71" t="s">
        <v>75</v>
      </c>
      <c r="M12" s="71"/>
      <c r="N12" s="34"/>
      <c r="O12" s="34"/>
      <c r="P12" s="34"/>
    </row>
    <row r="13" spans="7:16">
      <c r="G13" s="35"/>
      <c r="H13" s="36"/>
      <c r="I13" s="37"/>
      <c r="J13" s="72" t="s">
        <v>76</v>
      </c>
      <c r="K13" s="72"/>
      <c r="L13" s="59" t="s">
        <v>77</v>
      </c>
      <c r="M13" s="59"/>
      <c r="N13" s="34"/>
      <c r="O13" s="34"/>
      <c r="P13" s="34"/>
    </row>
    <row r="14" spans="7:16">
      <c r="G14" s="35"/>
      <c r="H14" s="36"/>
      <c r="I14" s="37"/>
      <c r="J14" s="72" t="s">
        <v>78</v>
      </c>
      <c r="K14" s="72"/>
      <c r="L14" s="59" t="s">
        <v>79</v>
      </c>
      <c r="M14" s="38"/>
      <c r="N14" s="34"/>
      <c r="O14" s="34"/>
      <c r="P14" s="34"/>
    </row>
    <row r="15" spans="7:16">
      <c r="G15" s="35"/>
      <c r="H15" s="36"/>
      <c r="I15" s="37"/>
      <c r="J15" s="72" t="s">
        <v>80</v>
      </c>
      <c r="K15" s="72"/>
      <c r="L15" s="59" t="s">
        <v>81</v>
      </c>
      <c r="M15" s="38"/>
      <c r="N15" s="34"/>
      <c r="O15" s="34"/>
      <c r="P15" s="34"/>
    </row>
    <row r="16" spans="7:16">
      <c r="G16" s="35"/>
      <c r="H16" s="36"/>
      <c r="I16" s="37"/>
      <c r="J16" s="72" t="s">
        <v>82</v>
      </c>
      <c r="K16" s="72"/>
      <c r="L16" s="59" t="s">
        <v>83</v>
      </c>
      <c r="M16" s="38"/>
      <c r="N16" s="34"/>
      <c r="O16" s="34"/>
      <c r="P16" s="34"/>
    </row>
    <row r="17" spans="2:16" ht="54.6" customHeight="1">
      <c r="B17" s="73" t="s">
        <v>84</v>
      </c>
      <c r="C17" s="73"/>
      <c r="D17" s="73"/>
      <c r="E17" s="73"/>
      <c r="F17" s="74"/>
      <c r="G17" s="39"/>
      <c r="H17" s="36"/>
      <c r="I17" s="34" t="s">
        <v>85</v>
      </c>
      <c r="J17" s="34"/>
      <c r="K17" s="34"/>
      <c r="L17" s="34"/>
      <c r="M17" s="34"/>
      <c r="N17" s="34"/>
      <c r="O17" s="34"/>
      <c r="P17" s="34"/>
    </row>
    <row r="18" spans="2:16" ht="54.6" customHeight="1">
      <c r="B18" s="75" t="s">
        <v>86</v>
      </c>
      <c r="C18" s="75"/>
      <c r="D18" s="75"/>
      <c r="E18" s="75"/>
      <c r="F18" s="76"/>
      <c r="G18" s="40"/>
      <c r="H18" s="36"/>
      <c r="I18" s="41" t="s">
        <v>87</v>
      </c>
      <c r="J18" s="34"/>
      <c r="K18" s="34"/>
      <c r="L18" s="34"/>
      <c r="M18" s="34"/>
      <c r="N18" s="34"/>
      <c r="O18" s="34"/>
      <c r="P18" s="34"/>
    </row>
    <row r="19" spans="2:16">
      <c r="B19" s="42" t="s">
        <v>88</v>
      </c>
      <c r="H19" s="34"/>
      <c r="J19" s="34"/>
      <c r="K19" s="34"/>
      <c r="L19" s="34"/>
      <c r="M19" s="34"/>
      <c r="N19" s="34"/>
      <c r="O19" s="34"/>
      <c r="P19" s="34"/>
    </row>
    <row r="20" spans="2:16">
      <c r="B20" s="43" t="s">
        <v>89</v>
      </c>
      <c r="C20" s="44" t="s">
        <v>90</v>
      </c>
      <c r="H20" s="34"/>
      <c r="J20" s="34"/>
      <c r="K20" s="34"/>
      <c r="L20" s="34"/>
      <c r="M20" s="34"/>
      <c r="N20" s="34"/>
      <c r="O20" s="34"/>
      <c r="P20" s="34"/>
    </row>
    <row r="21" spans="2:16">
      <c r="B21" s="45" t="s">
        <v>91</v>
      </c>
      <c r="C21" s="44" t="s">
        <v>92</v>
      </c>
      <c r="H21" s="34"/>
      <c r="I21" s="34"/>
      <c r="J21" s="34"/>
      <c r="K21" s="34"/>
      <c r="L21" s="34"/>
      <c r="M21" s="34"/>
      <c r="N21" s="34"/>
      <c r="O21" s="34"/>
      <c r="P21" s="34"/>
    </row>
    <row r="22" spans="2:16">
      <c r="H22" s="34"/>
      <c r="I22" s="34"/>
      <c r="J22" s="34"/>
      <c r="K22" s="34"/>
      <c r="L22" s="34"/>
      <c r="M22" s="34"/>
      <c r="N22" s="34"/>
      <c r="O22" s="34"/>
      <c r="P22" s="34"/>
    </row>
    <row r="23" spans="2:16">
      <c r="N23" s="34"/>
      <c r="O23" s="34"/>
      <c r="P23" s="34"/>
    </row>
    <row r="24" spans="2:16">
      <c r="N24" s="34"/>
      <c r="O24" s="34"/>
      <c r="P24" s="34"/>
    </row>
    <row r="25" spans="2:16">
      <c r="B25" s="77"/>
      <c r="C25" s="61"/>
      <c r="D25" s="61"/>
      <c r="E25" s="61"/>
      <c r="F25" s="61"/>
      <c r="G25" s="61"/>
      <c r="H25" s="61"/>
      <c r="I25" s="61"/>
      <c r="N25" s="34"/>
      <c r="O25" s="34"/>
      <c r="P25" s="34"/>
    </row>
    <row r="26" spans="2:16">
      <c r="B26" s="46"/>
      <c r="C26" s="47"/>
      <c r="D26" s="46"/>
      <c r="E26" s="46"/>
      <c r="F26" s="46"/>
      <c r="G26" s="46"/>
      <c r="H26" s="46"/>
      <c r="I26" s="46"/>
    </row>
    <row r="27" spans="2:16">
      <c r="B27" s="46"/>
      <c r="C27" s="46"/>
      <c r="D27" s="48" t="s">
        <v>93</v>
      </c>
      <c r="E27" s="46"/>
      <c r="F27" s="46"/>
      <c r="G27" s="46"/>
      <c r="H27" s="46"/>
      <c r="I27" s="46"/>
    </row>
    <row r="28" spans="2:16">
      <c r="B28" s="46"/>
      <c r="C28" s="46"/>
      <c r="D28" s="49" t="s">
        <v>94</v>
      </c>
      <c r="E28" s="46"/>
      <c r="F28" s="46"/>
      <c r="G28" s="46"/>
      <c r="H28" s="46"/>
      <c r="I28" s="46"/>
    </row>
    <row r="29" spans="2:16">
      <c r="B29" s="46"/>
      <c r="C29" s="46"/>
      <c r="D29" s="50" t="s">
        <v>95</v>
      </c>
      <c r="E29" s="46"/>
      <c r="F29" s="46"/>
      <c r="G29" s="46"/>
      <c r="H29" s="46"/>
      <c r="I29" s="46"/>
    </row>
    <row r="30" spans="2:16">
      <c r="B30" s="46"/>
      <c r="C30" s="46"/>
      <c r="D30" s="46"/>
      <c r="E30" s="46"/>
      <c r="F30" s="46"/>
      <c r="G30" s="46"/>
      <c r="H30" s="46"/>
      <c r="I30" s="46"/>
    </row>
    <row r="31" spans="2:16">
      <c r="B31" s="46"/>
      <c r="C31" s="46"/>
      <c r="D31" s="46"/>
      <c r="E31" s="46"/>
      <c r="F31" s="46"/>
      <c r="G31" s="46"/>
      <c r="H31" s="46"/>
      <c r="I31" s="46"/>
    </row>
    <row r="32" spans="2:16">
      <c r="B32" s="77"/>
      <c r="C32" s="61"/>
      <c r="D32" s="61"/>
      <c r="E32" s="61"/>
      <c r="F32" s="61"/>
      <c r="G32" s="61"/>
      <c r="H32" s="61"/>
      <c r="I32" s="61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25940618-841C-470B-B497-2C78788BE59F}"/>
    <hyperlink ref="C21" r:id="rId2" xr:uid="{22584901-875F-48B8-BEDA-51F46BE1F263}"/>
    <hyperlink ref="C20" r:id="rId3" xr:uid="{894468D9-F5FE-4A74-AEA9-476354299A3D}"/>
    <hyperlink ref="D29" r:id="rId4" xr:uid="{194626E5-D04D-43E1-B066-67C1A4557F2B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AC8D-1A39-4906-BC91-E11D63325D6F}">
  <sheetPr codeName="Sheet4"/>
  <dimension ref="A1:AD59"/>
  <sheetViews>
    <sheetView topLeftCell="A31" workbookViewId="0">
      <selection activeCell="M65" sqref="M65"/>
    </sheetView>
  </sheetViews>
  <sheetFormatPr defaultRowHeight="14.45"/>
  <cols>
    <col min="2" max="2" width="11.85546875" customWidth="1"/>
    <col min="3" max="3" width="14" customWidth="1"/>
    <col min="4" max="4" width="9.7109375" customWidth="1"/>
    <col min="5" max="6" width="11.140625" customWidth="1"/>
    <col min="7" max="7" width="12.140625" customWidth="1"/>
    <col min="8" max="9" width="11.140625" customWidth="1"/>
    <col min="23" max="23" width="66" customWidth="1"/>
  </cols>
  <sheetData>
    <row r="1" spans="1:30">
      <c r="A1" t="s">
        <v>96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</row>
    <row r="2" spans="1:30">
      <c r="A2" t="s">
        <v>97</v>
      </c>
      <c r="B2" s="5">
        <v>1</v>
      </c>
      <c r="C2" s="5">
        <f>Soal!E50</f>
        <v>45625</v>
      </c>
      <c r="D2" s="5">
        <f>Soal!F50</f>
        <v>227</v>
      </c>
      <c r="E2" s="5">
        <f>Soal!G50</f>
        <v>6345000</v>
      </c>
      <c r="F2" s="5">
        <f>Soal!H50</f>
        <v>45000</v>
      </c>
      <c r="G2" s="5">
        <f>Soal!I50</f>
        <v>317250</v>
      </c>
      <c r="H2" s="5">
        <f>Soal!J50</f>
        <v>0</v>
      </c>
      <c r="I2" s="5">
        <f>Soal!K50</f>
        <v>150000</v>
      </c>
      <c r="J2" s="5">
        <f>Soal!L50</f>
        <v>276900</v>
      </c>
      <c r="L2">
        <f ca="1">LEN(_xlfn.FORMULATEXT(Soal!E50))</f>
        <v>65</v>
      </c>
      <c r="M2">
        <f ca="1">LEN(_xlfn.FORMULATEXT(Soal!F50))</f>
        <v>98</v>
      </c>
      <c r="N2">
        <f ca="1">LEN(_xlfn.FORMULATEXT(Soal!G50))</f>
        <v>42</v>
      </c>
      <c r="O2">
        <f ca="1">LEN(_xlfn.FORMULATEXT(Soal!H50))</f>
        <v>17</v>
      </c>
      <c r="P2">
        <f ca="1">LEN(_xlfn.FORMULATEXT(Soal!I50))</f>
        <v>19</v>
      </c>
      <c r="Q2">
        <f ca="1">LEN(_xlfn.FORMULATEXT(Soal!J50))</f>
        <v>38</v>
      </c>
      <c r="R2">
        <f ca="1">LEN(_xlfn.FORMULATEXT(Soal!K50))</f>
        <v>28</v>
      </c>
      <c r="S2">
        <f ca="1">LEN(_xlfn.FORMULATEXT(Soal!L50))</f>
        <v>56</v>
      </c>
      <c r="V2">
        <v>1</v>
      </c>
      <c r="W2" t="str">
        <f ca="1">SUBSTITUTE(_xlfn.FORMULATEXT(Soal!E50),"$","")</f>
        <v>=MAXIFS('Data Kerja'!D4:D46;'Data Kerja'!B4:B46;Soal!B50)</v>
      </c>
      <c r="X2" t="str">
        <f ca="1">SUBSTITUTE(_xlfn.FORMULATEXT(Soal!F50),"$","")</f>
        <v>=MAXIFS('Data Kerja'!E4:E46;'Data Kerja'!B4:B46;Soal!B50;'Data Kerja'!D4:D46;Soal!E50)</v>
      </c>
      <c r="Y2" t="str">
        <f ca="1">SUBSTITUTE(_xlfn.FORMULATEXT(Soal!G50),"$","")</f>
        <v>=MIN(F50;160)*25000 + MAX(0;F50-160)*35000</v>
      </c>
      <c r="Z2" t="str">
        <f ca="1">SUBSTITUTE(_xlfn.FORMULATEXT(Soal!H50),"$","")</f>
        <v>=MIN(3;D50)*15000</v>
      </c>
      <c r="AA2" t="str">
        <f ca="1">SUBSTITUTE(_xlfn.FORMULATEXT(Soal!I50),"$","")</f>
        <v>=MAX(250000;G50*5%)</v>
      </c>
      <c r="AB2" t="str">
        <f ca="1">SUBSTITUTE(_xlfn.FORMULATEXT(Soal!J50),"$","")</f>
        <v>=MIN(350000;MAX(0;G50&lt;5000000)*350000)</v>
      </c>
      <c r="AC2" t="str">
        <f ca="1">SUBSTITUTE(_xlfn.FORMULATEXT(Soal!K50),"$","")</f>
        <v>=MAX(150000*(G50&gt;4000000);0)</v>
      </c>
      <c r="AD2" t="str">
        <f ca="1">SUBSTITUTE(_xlfn.FORMULATEXT(Soal!L50),"$","")</f>
        <v>=MAX(100000;MIN(G50;5000000)*5% + MAX(0;G50-5000000)*2%)</v>
      </c>
    </row>
    <row r="3" spans="1:30">
      <c r="B3" s="5">
        <v>2</v>
      </c>
      <c r="C3" s="5">
        <f>Soal!E51</f>
        <v>45517</v>
      </c>
      <c r="D3" s="5">
        <f>Soal!F51</f>
        <v>348</v>
      </c>
      <c r="E3" s="5">
        <f>Soal!G51</f>
        <v>10580000</v>
      </c>
      <c r="F3" s="5">
        <f>Soal!H51</f>
        <v>45000</v>
      </c>
      <c r="G3" s="5">
        <f>Soal!I51</f>
        <v>529000</v>
      </c>
      <c r="H3" s="5">
        <f>Soal!J51</f>
        <v>0</v>
      </c>
      <c r="I3" s="5">
        <f>Soal!K51</f>
        <v>150000</v>
      </c>
      <c r="J3" s="5">
        <f>Soal!L51</f>
        <v>361600</v>
      </c>
      <c r="L3">
        <f ca="1">LEN(_xlfn.FORMULATEXT(Soal!E51))</f>
        <v>65</v>
      </c>
      <c r="M3">
        <f ca="1">LEN(_xlfn.FORMULATEXT(Soal!F51))</f>
        <v>98</v>
      </c>
      <c r="N3">
        <f ca="1">LEN(_xlfn.FORMULATEXT(Soal!G51))</f>
        <v>42</v>
      </c>
      <c r="O3">
        <f ca="1">LEN(_xlfn.FORMULATEXT(Soal!H51))</f>
        <v>17</v>
      </c>
      <c r="P3">
        <f ca="1">LEN(_xlfn.FORMULATEXT(Soal!I51))</f>
        <v>19</v>
      </c>
      <c r="Q3">
        <f ca="1">LEN(_xlfn.FORMULATEXT(Soal!J51))</f>
        <v>38</v>
      </c>
      <c r="R3">
        <f ca="1">LEN(_xlfn.FORMULATEXT(Soal!K51))</f>
        <v>28</v>
      </c>
      <c r="S3">
        <f ca="1">LEN(_xlfn.FORMULATEXT(Soal!L51))</f>
        <v>56</v>
      </c>
      <c r="V3">
        <v>2</v>
      </c>
      <c r="W3" t="str">
        <f ca="1">SUBSTITUTE(_xlfn.FORMULATEXT(Soal!F50),"$","")</f>
        <v>=MAXIFS('Data Kerja'!E4:E46;'Data Kerja'!B4:B46;Soal!B50;'Data Kerja'!D4:D46;Soal!E50)</v>
      </c>
    </row>
    <row r="4" spans="1:30">
      <c r="B4" s="5">
        <v>3</v>
      </c>
      <c r="C4" s="5">
        <f>Soal!E52</f>
        <v>45443</v>
      </c>
      <c r="D4" s="5">
        <f>Soal!F52</f>
        <v>130</v>
      </c>
      <c r="E4" s="5">
        <f>Soal!G52</f>
        <v>3250000</v>
      </c>
      <c r="F4" s="5">
        <f>Soal!H52</f>
        <v>45000</v>
      </c>
      <c r="G4" s="5">
        <f>Soal!I52</f>
        <v>250000</v>
      </c>
      <c r="H4" s="5">
        <f>Soal!J52</f>
        <v>350000</v>
      </c>
      <c r="I4" s="5">
        <f>Soal!K52</f>
        <v>0</v>
      </c>
      <c r="J4" s="5">
        <f>Soal!L52</f>
        <v>162500</v>
      </c>
      <c r="L4">
        <f ca="1">LEN(_xlfn.FORMULATEXT(Soal!E52))</f>
        <v>65</v>
      </c>
      <c r="M4">
        <f ca="1">LEN(_xlfn.FORMULATEXT(Soal!F52))</f>
        <v>98</v>
      </c>
      <c r="N4">
        <f ca="1">LEN(_xlfn.FORMULATEXT(Soal!G52))</f>
        <v>42</v>
      </c>
      <c r="O4">
        <f ca="1">LEN(_xlfn.FORMULATEXT(Soal!H52))</f>
        <v>17</v>
      </c>
      <c r="P4">
        <f ca="1">LEN(_xlfn.FORMULATEXT(Soal!I52))</f>
        <v>19</v>
      </c>
      <c r="Q4">
        <f ca="1">LEN(_xlfn.FORMULATEXT(Soal!J52))</f>
        <v>38</v>
      </c>
      <c r="R4">
        <f ca="1">LEN(_xlfn.FORMULATEXT(Soal!K52))</f>
        <v>28</v>
      </c>
      <c r="S4">
        <f ca="1">LEN(_xlfn.FORMULATEXT(Soal!L52))</f>
        <v>56</v>
      </c>
      <c r="V4">
        <v>3</v>
      </c>
      <c r="W4" t="str">
        <f ca="1">SUBSTITUTE(_xlfn.FORMULATEXT(Soal!G50),"$","")</f>
        <v>=MIN(F50;160)*25000 + MAX(0;F50-160)*35000</v>
      </c>
    </row>
    <row r="5" spans="1:30">
      <c r="B5" s="5">
        <v>4</v>
      </c>
      <c r="C5" s="5">
        <f>Soal!E53</f>
        <v>45596</v>
      </c>
      <c r="D5" s="5">
        <f>Soal!F53</f>
        <v>56</v>
      </c>
      <c r="E5" s="5">
        <f>Soal!G53</f>
        <v>1400000</v>
      </c>
      <c r="F5" s="5">
        <f>Soal!H53</f>
        <v>45000</v>
      </c>
      <c r="G5" s="5">
        <f>Soal!I53</f>
        <v>250000</v>
      </c>
      <c r="H5" s="5">
        <f>Soal!J53</f>
        <v>350000</v>
      </c>
      <c r="I5" s="5">
        <f>Soal!K53</f>
        <v>0</v>
      </c>
      <c r="J5" s="5">
        <f>Soal!L53</f>
        <v>100000</v>
      </c>
      <c r="L5">
        <f ca="1">LEN(_xlfn.FORMULATEXT(Soal!E53))</f>
        <v>65</v>
      </c>
      <c r="M5">
        <f ca="1">LEN(_xlfn.FORMULATEXT(Soal!F53))</f>
        <v>98</v>
      </c>
      <c r="N5">
        <f ca="1">LEN(_xlfn.FORMULATEXT(Soal!G53))</f>
        <v>42</v>
      </c>
      <c r="O5">
        <f ca="1">LEN(_xlfn.FORMULATEXT(Soal!H53))</f>
        <v>17</v>
      </c>
      <c r="P5">
        <f ca="1">LEN(_xlfn.FORMULATEXT(Soal!I53))</f>
        <v>19</v>
      </c>
      <c r="Q5">
        <f ca="1">LEN(_xlfn.FORMULATEXT(Soal!J53))</f>
        <v>38</v>
      </c>
      <c r="R5">
        <f ca="1">LEN(_xlfn.FORMULATEXT(Soal!K53))</f>
        <v>28</v>
      </c>
      <c r="S5">
        <f ca="1">LEN(_xlfn.FORMULATEXT(Soal!L53))</f>
        <v>56</v>
      </c>
      <c r="V5">
        <v>4</v>
      </c>
      <c r="W5" t="str">
        <f ca="1">SUBSTITUTE(_xlfn.FORMULATEXT(Soal!H50),"$","")</f>
        <v>=MIN(3;D50)*15000</v>
      </c>
    </row>
    <row r="6" spans="1:30">
      <c r="B6" s="5">
        <v>5</v>
      </c>
      <c r="C6" s="5">
        <f>Soal!E54</f>
        <v>45622</v>
      </c>
      <c r="D6" s="5">
        <f>Soal!F54</f>
        <v>411</v>
      </c>
      <c r="E6" s="5">
        <f>Soal!G54</f>
        <v>12785000</v>
      </c>
      <c r="F6" s="5">
        <f>Soal!H54</f>
        <v>45000</v>
      </c>
      <c r="G6" s="5">
        <f>Soal!I54</f>
        <v>639250</v>
      </c>
      <c r="H6" s="5">
        <f>Soal!J54</f>
        <v>0</v>
      </c>
      <c r="I6" s="5">
        <f>Soal!K54</f>
        <v>150000</v>
      </c>
      <c r="J6" s="5">
        <f>Soal!L54</f>
        <v>405700</v>
      </c>
      <c r="L6">
        <f ca="1">LEN(_xlfn.FORMULATEXT(Soal!E54))</f>
        <v>65</v>
      </c>
      <c r="M6">
        <f ca="1">LEN(_xlfn.FORMULATEXT(Soal!F54))</f>
        <v>98</v>
      </c>
      <c r="N6">
        <f ca="1">LEN(_xlfn.FORMULATEXT(Soal!G54))</f>
        <v>42</v>
      </c>
      <c r="O6">
        <f ca="1">LEN(_xlfn.FORMULATEXT(Soal!H54))</f>
        <v>17</v>
      </c>
      <c r="P6">
        <f ca="1">LEN(_xlfn.FORMULATEXT(Soal!I54))</f>
        <v>19</v>
      </c>
      <c r="Q6">
        <f ca="1">LEN(_xlfn.FORMULATEXT(Soal!J54))</f>
        <v>38</v>
      </c>
      <c r="R6">
        <f ca="1">LEN(_xlfn.FORMULATEXT(Soal!K54))</f>
        <v>28</v>
      </c>
      <c r="S6">
        <f ca="1">LEN(_xlfn.FORMULATEXT(Soal!L54))</f>
        <v>56</v>
      </c>
      <c r="V6">
        <v>5</v>
      </c>
      <c r="W6" t="str">
        <f ca="1">SUBSTITUTE(_xlfn.FORMULATEXT(Soal!I50),"$","")</f>
        <v>=MAX(250000;G50*5%)</v>
      </c>
    </row>
    <row r="7" spans="1:30">
      <c r="B7" s="5">
        <v>6</v>
      </c>
      <c r="C7" s="5">
        <f>Soal!E55</f>
        <v>45619</v>
      </c>
      <c r="D7" s="5">
        <f>Soal!F55</f>
        <v>120</v>
      </c>
      <c r="E7" s="5">
        <f>Soal!G55</f>
        <v>3000000</v>
      </c>
      <c r="F7" s="5">
        <f>Soal!H55</f>
        <v>45000</v>
      </c>
      <c r="G7" s="5">
        <f>Soal!I55</f>
        <v>250000</v>
      </c>
      <c r="H7" s="5">
        <f>Soal!J55</f>
        <v>350000</v>
      </c>
      <c r="I7" s="5">
        <f>Soal!K55</f>
        <v>0</v>
      </c>
      <c r="J7" s="5">
        <f>Soal!L55</f>
        <v>150000</v>
      </c>
      <c r="L7">
        <f ca="1">LEN(_xlfn.FORMULATEXT(Soal!E55))</f>
        <v>65</v>
      </c>
      <c r="M7">
        <f ca="1">LEN(_xlfn.FORMULATEXT(Soal!F55))</f>
        <v>98</v>
      </c>
      <c r="N7">
        <f ca="1">LEN(_xlfn.FORMULATEXT(Soal!G55))</f>
        <v>42</v>
      </c>
      <c r="O7">
        <f ca="1">LEN(_xlfn.FORMULATEXT(Soal!H55))</f>
        <v>17</v>
      </c>
      <c r="P7">
        <f ca="1">LEN(_xlfn.FORMULATEXT(Soal!I55))</f>
        <v>19</v>
      </c>
      <c r="Q7">
        <f ca="1">LEN(_xlfn.FORMULATEXT(Soal!J55))</f>
        <v>38</v>
      </c>
      <c r="R7">
        <f ca="1">LEN(_xlfn.FORMULATEXT(Soal!K55))</f>
        <v>28</v>
      </c>
      <c r="S7">
        <f ca="1">LEN(_xlfn.FORMULATEXT(Soal!L55))</f>
        <v>56</v>
      </c>
      <c r="V7">
        <v>6</v>
      </c>
      <c r="W7" t="str">
        <f ca="1">SUBSTITUTE(_xlfn.FORMULATEXT(Soal!J50),"$","")</f>
        <v>=MIN(350000;MAX(0;G50&lt;5000000)*350000)</v>
      </c>
    </row>
    <row r="8" spans="1:30">
      <c r="B8" s="5">
        <v>7</v>
      </c>
      <c r="C8" s="5">
        <f>Soal!E56</f>
        <v>45628</v>
      </c>
      <c r="D8" s="5">
        <f>Soal!F56</f>
        <v>162</v>
      </c>
      <c r="E8" s="5">
        <f>Soal!G56</f>
        <v>4070000</v>
      </c>
      <c r="F8" s="5">
        <f>Soal!H56</f>
        <v>45000</v>
      </c>
      <c r="G8" s="5">
        <f>Soal!I56</f>
        <v>250000</v>
      </c>
      <c r="H8" s="5">
        <f>Soal!J56</f>
        <v>350000</v>
      </c>
      <c r="I8" s="5">
        <f>Soal!K56</f>
        <v>150000</v>
      </c>
      <c r="J8" s="5">
        <f>Soal!L56</f>
        <v>203500</v>
      </c>
      <c r="L8">
        <f ca="1">LEN(_xlfn.FORMULATEXT(Soal!E56))</f>
        <v>65</v>
      </c>
      <c r="M8">
        <f ca="1">LEN(_xlfn.FORMULATEXT(Soal!F56))</f>
        <v>98</v>
      </c>
      <c r="N8">
        <f ca="1">LEN(_xlfn.FORMULATEXT(Soal!G56))</f>
        <v>42</v>
      </c>
      <c r="O8">
        <f ca="1">LEN(_xlfn.FORMULATEXT(Soal!H56))</f>
        <v>17</v>
      </c>
      <c r="P8">
        <f ca="1">LEN(_xlfn.FORMULATEXT(Soal!I56))</f>
        <v>19</v>
      </c>
      <c r="Q8">
        <f ca="1">LEN(_xlfn.FORMULATEXT(Soal!J56))</f>
        <v>38</v>
      </c>
      <c r="R8">
        <f ca="1">LEN(_xlfn.FORMULATEXT(Soal!K56))</f>
        <v>28</v>
      </c>
      <c r="S8">
        <f ca="1">LEN(_xlfn.FORMULATEXT(Soal!L56))</f>
        <v>56</v>
      </c>
      <c r="V8">
        <v>7</v>
      </c>
      <c r="W8" t="str">
        <f ca="1">SUBSTITUTE(_xlfn.FORMULATEXT(Soal!K50),"$","")</f>
        <v>=MAX(150000*(G50&gt;4000000);0)</v>
      </c>
    </row>
    <row r="9" spans="1:30">
      <c r="B9" s="5">
        <v>8</v>
      </c>
      <c r="C9" s="5">
        <f>Soal!E57</f>
        <v>45585</v>
      </c>
      <c r="D9" s="5">
        <f>Soal!F57</f>
        <v>184</v>
      </c>
      <c r="E9" s="5">
        <f>Soal!G57</f>
        <v>4840000</v>
      </c>
      <c r="F9" s="5">
        <f>Soal!H57</f>
        <v>45000</v>
      </c>
      <c r="G9" s="5">
        <f>Soal!I57</f>
        <v>250000</v>
      </c>
      <c r="H9" s="5">
        <f>Soal!J57</f>
        <v>350000</v>
      </c>
      <c r="I9" s="5">
        <f>Soal!K57</f>
        <v>150000</v>
      </c>
      <c r="J9" s="5">
        <f>Soal!L57</f>
        <v>242000</v>
      </c>
      <c r="L9">
        <f ca="1">LEN(_xlfn.FORMULATEXT(Soal!E57))</f>
        <v>65</v>
      </c>
      <c r="M9">
        <f ca="1">LEN(_xlfn.FORMULATEXT(Soal!F57))</f>
        <v>98</v>
      </c>
      <c r="N9">
        <f ca="1">LEN(_xlfn.FORMULATEXT(Soal!G57))</f>
        <v>42</v>
      </c>
      <c r="O9">
        <f ca="1">LEN(_xlfn.FORMULATEXT(Soal!H57))</f>
        <v>17</v>
      </c>
      <c r="P9">
        <f ca="1">LEN(_xlfn.FORMULATEXT(Soal!I57))</f>
        <v>19</v>
      </c>
      <c r="Q9">
        <f ca="1">LEN(_xlfn.FORMULATEXT(Soal!J57))</f>
        <v>38</v>
      </c>
      <c r="R9">
        <f ca="1">LEN(_xlfn.FORMULATEXT(Soal!K57))</f>
        <v>28</v>
      </c>
      <c r="S9">
        <f ca="1">LEN(_xlfn.FORMULATEXT(Soal!L57))</f>
        <v>56</v>
      </c>
      <c r="V9">
        <v>8</v>
      </c>
      <c r="W9" t="str">
        <f ca="1">SUBSTITUTE(_xlfn.FORMULATEXT(Soal!L50),"$","")</f>
        <v>=MAX(100000;MIN(G50;5000000)*5% + MAX(0;G50-5000000)*2%)</v>
      </c>
    </row>
    <row r="10" spans="1:30">
      <c r="B10" s="5">
        <v>9</v>
      </c>
      <c r="C10" s="5">
        <f>Soal!E58</f>
        <v>45569</v>
      </c>
      <c r="D10" s="5">
        <f>Soal!F58</f>
        <v>98</v>
      </c>
      <c r="E10" s="5">
        <f>Soal!G58</f>
        <v>2450000</v>
      </c>
      <c r="F10" s="5">
        <f>Soal!H58</f>
        <v>15000</v>
      </c>
      <c r="G10" s="5">
        <f>Soal!I58</f>
        <v>250000</v>
      </c>
      <c r="H10" s="5">
        <f>Soal!J58</f>
        <v>350000</v>
      </c>
      <c r="I10" s="5">
        <f>Soal!K58</f>
        <v>0</v>
      </c>
      <c r="J10" s="5">
        <f>Soal!L58</f>
        <v>122500</v>
      </c>
      <c r="L10">
        <f ca="1">LEN(_xlfn.FORMULATEXT(Soal!E58))</f>
        <v>65</v>
      </c>
      <c r="M10">
        <f ca="1">LEN(_xlfn.FORMULATEXT(Soal!F58))</f>
        <v>98</v>
      </c>
      <c r="N10">
        <f ca="1">LEN(_xlfn.FORMULATEXT(Soal!G58))</f>
        <v>42</v>
      </c>
      <c r="O10">
        <f ca="1">LEN(_xlfn.FORMULATEXT(Soal!H58))</f>
        <v>17</v>
      </c>
      <c r="P10">
        <f ca="1">LEN(_xlfn.FORMULATEXT(Soal!I58))</f>
        <v>19</v>
      </c>
      <c r="Q10">
        <f ca="1">LEN(_xlfn.FORMULATEXT(Soal!J58))</f>
        <v>38</v>
      </c>
      <c r="R10">
        <f ca="1">LEN(_xlfn.FORMULATEXT(Soal!K58))</f>
        <v>28</v>
      </c>
      <c r="S10">
        <f ca="1">LEN(_xlfn.FORMULATEXT(Soal!L58))</f>
        <v>56</v>
      </c>
    </row>
    <row r="11" spans="1:30">
      <c r="B11" s="5">
        <v>10</v>
      </c>
      <c r="C11" s="5">
        <f>Soal!E59</f>
        <v>45456</v>
      </c>
      <c r="D11" s="5">
        <f>Soal!F59</f>
        <v>145</v>
      </c>
      <c r="E11" s="5">
        <f>Soal!G59</f>
        <v>3625000</v>
      </c>
      <c r="F11" s="5">
        <f>Soal!H59</f>
        <v>45000</v>
      </c>
      <c r="G11" s="5">
        <f>Soal!I59</f>
        <v>250000</v>
      </c>
      <c r="H11" s="5">
        <f>Soal!J59</f>
        <v>350000</v>
      </c>
      <c r="I11" s="5">
        <f>Soal!K59</f>
        <v>0</v>
      </c>
      <c r="J11" s="5">
        <f>Soal!L59</f>
        <v>181250</v>
      </c>
      <c r="L11">
        <f ca="1">LEN(_xlfn.FORMULATEXT(Soal!E59))</f>
        <v>65</v>
      </c>
      <c r="M11">
        <f ca="1">LEN(_xlfn.FORMULATEXT(Soal!F59))</f>
        <v>98</v>
      </c>
      <c r="N11">
        <f ca="1">LEN(_xlfn.FORMULATEXT(Soal!G59))</f>
        <v>42</v>
      </c>
      <c r="O11">
        <f ca="1">LEN(_xlfn.FORMULATEXT(Soal!H59))</f>
        <v>17</v>
      </c>
      <c r="P11">
        <f ca="1">LEN(_xlfn.FORMULATEXT(Soal!I59))</f>
        <v>19</v>
      </c>
      <c r="Q11">
        <f ca="1">LEN(_xlfn.FORMULATEXT(Soal!J59))</f>
        <v>38</v>
      </c>
      <c r="R11">
        <f ca="1">LEN(_xlfn.FORMULATEXT(Soal!K59))</f>
        <v>28</v>
      </c>
      <c r="S11">
        <f ca="1">LEN(_xlfn.FORMULATEXT(Soal!L59))</f>
        <v>56</v>
      </c>
    </row>
    <row r="12" spans="1:30">
      <c r="B12" s="5">
        <v>11</v>
      </c>
      <c r="C12" s="5">
        <f>Soal!E60</f>
        <v>45449</v>
      </c>
      <c r="D12" s="5">
        <f>Soal!F60</f>
        <v>140</v>
      </c>
      <c r="E12" s="5">
        <f>Soal!G60</f>
        <v>3500000</v>
      </c>
      <c r="F12" s="5">
        <f>Soal!H60</f>
        <v>0</v>
      </c>
      <c r="G12" s="5">
        <f>Soal!I60</f>
        <v>250000</v>
      </c>
      <c r="H12" s="5">
        <f>Soal!J60</f>
        <v>350000</v>
      </c>
      <c r="I12" s="5">
        <f>Soal!K60</f>
        <v>0</v>
      </c>
      <c r="J12" s="5">
        <f>Soal!L60</f>
        <v>175000</v>
      </c>
      <c r="L12">
        <f ca="1">LEN(_xlfn.FORMULATEXT(Soal!E60))</f>
        <v>65</v>
      </c>
      <c r="M12">
        <f ca="1">LEN(_xlfn.FORMULATEXT(Soal!F60))</f>
        <v>98</v>
      </c>
      <c r="N12">
        <f ca="1">LEN(_xlfn.FORMULATEXT(Soal!G60))</f>
        <v>42</v>
      </c>
      <c r="O12">
        <f ca="1">LEN(_xlfn.FORMULATEXT(Soal!H60))</f>
        <v>17</v>
      </c>
      <c r="P12">
        <f ca="1">LEN(_xlfn.FORMULATEXT(Soal!I60))</f>
        <v>19</v>
      </c>
      <c r="Q12">
        <f ca="1">LEN(_xlfn.FORMULATEXT(Soal!J60))</f>
        <v>38</v>
      </c>
      <c r="R12">
        <f ca="1">LEN(_xlfn.FORMULATEXT(Soal!K60))</f>
        <v>28</v>
      </c>
      <c r="S12">
        <f ca="1">LEN(_xlfn.FORMULATEXT(Soal!L60))</f>
        <v>56</v>
      </c>
    </row>
    <row r="13" spans="1:30">
      <c r="B13" s="5">
        <v>12</v>
      </c>
      <c r="C13" s="5">
        <f>Soal!E61</f>
        <v>45483</v>
      </c>
      <c r="D13" s="5">
        <f>Soal!F61</f>
        <v>58</v>
      </c>
      <c r="E13" s="5">
        <f>Soal!G61</f>
        <v>1450000</v>
      </c>
      <c r="F13" s="5">
        <f>Soal!H61</f>
        <v>30000</v>
      </c>
      <c r="G13" s="5">
        <f>Soal!I61</f>
        <v>250000</v>
      </c>
      <c r="H13" s="5">
        <f>Soal!J61</f>
        <v>350000</v>
      </c>
      <c r="I13" s="5">
        <f>Soal!K61</f>
        <v>0</v>
      </c>
      <c r="J13" s="5">
        <f>Soal!L61</f>
        <v>100000</v>
      </c>
      <c r="L13">
        <f ca="1">LEN(_xlfn.FORMULATEXT(Soal!E61))</f>
        <v>65</v>
      </c>
      <c r="M13">
        <f ca="1">LEN(_xlfn.FORMULATEXT(Soal!F61))</f>
        <v>98</v>
      </c>
      <c r="N13">
        <f ca="1">LEN(_xlfn.FORMULATEXT(Soal!G61))</f>
        <v>42</v>
      </c>
      <c r="O13">
        <f ca="1">LEN(_xlfn.FORMULATEXT(Soal!H61))</f>
        <v>17</v>
      </c>
      <c r="P13">
        <f ca="1">LEN(_xlfn.FORMULATEXT(Soal!I61))</f>
        <v>19</v>
      </c>
      <c r="Q13">
        <f ca="1">LEN(_xlfn.FORMULATEXT(Soal!J61))</f>
        <v>38</v>
      </c>
      <c r="R13">
        <f ca="1">LEN(_xlfn.FORMULATEXT(Soal!K61))</f>
        <v>28</v>
      </c>
      <c r="S13">
        <f ca="1">LEN(_xlfn.FORMULATEXT(Soal!L61))</f>
        <v>56</v>
      </c>
    </row>
    <row r="14" spans="1:30">
      <c r="B14" s="5">
        <v>13</v>
      </c>
      <c r="C14" s="5">
        <f>Soal!E62</f>
        <v>45477</v>
      </c>
      <c r="D14" s="5">
        <f>Soal!F62</f>
        <v>194</v>
      </c>
      <c r="E14" s="5">
        <f>Soal!G62</f>
        <v>5190000</v>
      </c>
      <c r="F14" s="5">
        <f>Soal!H62</f>
        <v>15000</v>
      </c>
      <c r="G14" s="5">
        <f>Soal!I62</f>
        <v>259500</v>
      </c>
      <c r="H14" s="5">
        <f>Soal!J62</f>
        <v>0</v>
      </c>
      <c r="I14" s="5">
        <f>Soal!K62</f>
        <v>150000</v>
      </c>
      <c r="J14" s="5">
        <f>Soal!L62</f>
        <v>253800</v>
      </c>
      <c r="L14">
        <f ca="1">LEN(_xlfn.FORMULATEXT(Soal!E62))</f>
        <v>65</v>
      </c>
      <c r="M14">
        <f ca="1">LEN(_xlfn.FORMULATEXT(Soal!F62))</f>
        <v>98</v>
      </c>
      <c r="N14">
        <f ca="1">LEN(_xlfn.FORMULATEXT(Soal!G62))</f>
        <v>42</v>
      </c>
      <c r="O14">
        <f ca="1">LEN(_xlfn.FORMULATEXT(Soal!H62))</f>
        <v>17</v>
      </c>
      <c r="P14">
        <f ca="1">LEN(_xlfn.FORMULATEXT(Soal!I62))</f>
        <v>19</v>
      </c>
      <c r="Q14">
        <f ca="1">LEN(_xlfn.FORMULATEXT(Soal!J62))</f>
        <v>38</v>
      </c>
      <c r="R14">
        <f ca="1">LEN(_xlfn.FORMULATEXT(Soal!K62))</f>
        <v>28</v>
      </c>
      <c r="S14">
        <f ca="1">LEN(_xlfn.FORMULATEXT(Soal!L62))</f>
        <v>56</v>
      </c>
    </row>
    <row r="15" spans="1:30">
      <c r="B15" s="5">
        <v>14</v>
      </c>
      <c r="C15" s="5">
        <f>Soal!E63</f>
        <v>45631</v>
      </c>
      <c r="D15" s="5">
        <f>Soal!F63</f>
        <v>234</v>
      </c>
      <c r="E15" s="5">
        <f>Soal!G63</f>
        <v>6590000</v>
      </c>
      <c r="F15" s="5">
        <f>Soal!H63</f>
        <v>15000</v>
      </c>
      <c r="G15" s="5">
        <f>Soal!I63</f>
        <v>329500</v>
      </c>
      <c r="H15" s="5">
        <f>Soal!J63</f>
        <v>0</v>
      </c>
      <c r="I15" s="5">
        <f>Soal!K63</f>
        <v>150000</v>
      </c>
      <c r="J15" s="5">
        <f>Soal!L63</f>
        <v>281800</v>
      </c>
      <c r="L15">
        <f ca="1">LEN(_xlfn.FORMULATEXT(Soal!E63))</f>
        <v>65</v>
      </c>
      <c r="M15">
        <f ca="1">LEN(_xlfn.FORMULATEXT(Soal!F63))</f>
        <v>98</v>
      </c>
      <c r="N15">
        <f ca="1">LEN(_xlfn.FORMULATEXT(Soal!G63))</f>
        <v>42</v>
      </c>
      <c r="O15">
        <f ca="1">LEN(_xlfn.FORMULATEXT(Soal!H63))</f>
        <v>17</v>
      </c>
      <c r="P15">
        <f ca="1">LEN(_xlfn.FORMULATEXT(Soal!I63))</f>
        <v>19</v>
      </c>
      <c r="Q15">
        <f ca="1">LEN(_xlfn.FORMULATEXT(Soal!J63))</f>
        <v>38</v>
      </c>
      <c r="R15">
        <f ca="1">LEN(_xlfn.FORMULATEXT(Soal!K63))</f>
        <v>28</v>
      </c>
      <c r="S15">
        <f ca="1">LEN(_xlfn.FORMULATEXT(Soal!L63))</f>
        <v>56</v>
      </c>
    </row>
    <row r="16" spans="1:30">
      <c r="B16" s="5">
        <v>15</v>
      </c>
      <c r="C16" s="5">
        <f>Soal!E64</f>
        <v>45642</v>
      </c>
      <c r="D16" s="5">
        <f>Soal!F64</f>
        <v>246</v>
      </c>
      <c r="E16" s="5">
        <f>Soal!G64</f>
        <v>7010000</v>
      </c>
      <c r="F16" s="5">
        <f>Soal!H64</f>
        <v>45000</v>
      </c>
      <c r="G16" s="5">
        <f>Soal!I64</f>
        <v>350500</v>
      </c>
      <c r="H16" s="5">
        <f>Soal!J64</f>
        <v>0</v>
      </c>
      <c r="I16" s="5">
        <f>Soal!K64</f>
        <v>150000</v>
      </c>
      <c r="J16" s="5">
        <f>Soal!L64</f>
        <v>290200</v>
      </c>
      <c r="L16">
        <f ca="1">LEN(_xlfn.FORMULATEXT(Soal!E64))</f>
        <v>65</v>
      </c>
      <c r="M16">
        <f ca="1">LEN(_xlfn.FORMULATEXT(Soal!F64))</f>
        <v>98</v>
      </c>
      <c r="N16">
        <f ca="1">LEN(_xlfn.FORMULATEXT(Soal!G64))</f>
        <v>42</v>
      </c>
      <c r="O16">
        <f ca="1">LEN(_xlfn.FORMULATEXT(Soal!H64))</f>
        <v>17</v>
      </c>
      <c r="P16">
        <f ca="1">LEN(_xlfn.FORMULATEXT(Soal!I64))</f>
        <v>19</v>
      </c>
      <c r="Q16">
        <f ca="1">LEN(_xlfn.FORMULATEXT(Soal!J64))</f>
        <v>38</v>
      </c>
      <c r="R16">
        <f ca="1">LEN(_xlfn.FORMULATEXT(Soal!K64))</f>
        <v>28</v>
      </c>
      <c r="S16">
        <f ca="1">LEN(_xlfn.FORMULATEXT(Soal!L64))</f>
        <v>56</v>
      </c>
    </row>
    <row r="17" spans="2:19">
      <c r="B17" s="5">
        <v>16</v>
      </c>
      <c r="C17" s="5">
        <f>Soal!E65</f>
        <v>45548</v>
      </c>
      <c r="D17" s="5">
        <f>Soal!F65</f>
        <v>86</v>
      </c>
      <c r="E17" s="5">
        <f>Soal!G65</f>
        <v>2150000</v>
      </c>
      <c r="F17" s="5">
        <f>Soal!H65</f>
        <v>15000</v>
      </c>
      <c r="G17" s="5">
        <f>Soal!I65</f>
        <v>250000</v>
      </c>
      <c r="H17" s="5">
        <f>Soal!J65</f>
        <v>350000</v>
      </c>
      <c r="I17" s="5">
        <f>Soal!K65</f>
        <v>0</v>
      </c>
      <c r="J17" s="5">
        <f>Soal!L65</f>
        <v>107500</v>
      </c>
      <c r="L17">
        <f ca="1">LEN(_xlfn.FORMULATEXT(Soal!E65))</f>
        <v>65</v>
      </c>
      <c r="M17">
        <f ca="1">LEN(_xlfn.FORMULATEXT(Soal!F65))</f>
        <v>98</v>
      </c>
      <c r="N17">
        <f ca="1">LEN(_xlfn.FORMULATEXT(Soal!G65))</f>
        <v>42</v>
      </c>
      <c r="O17">
        <f ca="1">LEN(_xlfn.FORMULATEXT(Soal!H65))</f>
        <v>17</v>
      </c>
      <c r="P17">
        <f ca="1">LEN(_xlfn.FORMULATEXT(Soal!I65))</f>
        <v>19</v>
      </c>
      <c r="Q17">
        <f ca="1">LEN(_xlfn.FORMULATEXT(Soal!J65))</f>
        <v>38</v>
      </c>
      <c r="R17">
        <f ca="1">LEN(_xlfn.FORMULATEXT(Soal!K65))</f>
        <v>28</v>
      </c>
      <c r="S17">
        <f ca="1">LEN(_xlfn.FORMULATEXT(Soal!L65))</f>
        <v>56</v>
      </c>
    </row>
    <row r="18" spans="2:19">
      <c r="B18" s="5"/>
      <c r="C18" s="5"/>
      <c r="D18" s="5"/>
      <c r="E18" s="5"/>
      <c r="F18" s="5"/>
      <c r="G18" s="5"/>
      <c r="H18" s="5"/>
      <c r="I18" s="5"/>
    </row>
    <row r="21" spans="2:19">
      <c r="C21" s="5">
        <f>SUM(C2:C17,C3,C5,C8,C11,C14,C17,C10)</f>
        <v>1047681</v>
      </c>
      <c r="D21" s="5">
        <f t="shared" ref="D21:J21" si="0">SUM(D2:D17,D3,D5,D8,D11,D14,D17,D10)</f>
        <v>3928</v>
      </c>
      <c r="E21" s="5">
        <f t="shared" si="0"/>
        <v>107700000</v>
      </c>
      <c r="F21" s="5">
        <f t="shared" si="0"/>
        <v>765000</v>
      </c>
      <c r="G21" s="5">
        <f t="shared" si="0"/>
        <v>6963500</v>
      </c>
      <c r="H21" s="5">
        <f t="shared" si="0"/>
        <v>5250000</v>
      </c>
      <c r="I21" s="5">
        <f t="shared" si="0"/>
        <v>1650000</v>
      </c>
      <c r="J21" s="5">
        <f t="shared" si="0"/>
        <v>4744400</v>
      </c>
      <c r="L21" t="b">
        <f ca="1">AVERAGE(L2:L18)=L2</f>
        <v>1</v>
      </c>
      <c r="M21" t="b">
        <f t="shared" ref="M21:S21" ca="1" si="1">AVERAGE(M2:M18)=M2</f>
        <v>1</v>
      </c>
      <c r="N21" t="b">
        <f t="shared" ca="1" si="1"/>
        <v>1</v>
      </c>
      <c r="O21" t="b">
        <f t="shared" ca="1" si="1"/>
        <v>1</v>
      </c>
      <c r="P21" t="b">
        <f t="shared" ca="1" si="1"/>
        <v>1</v>
      </c>
      <c r="Q21" t="b">
        <f t="shared" ca="1" si="1"/>
        <v>1</v>
      </c>
      <c r="R21" t="b">
        <f t="shared" ca="1" si="1"/>
        <v>1</v>
      </c>
      <c r="S21" t="b">
        <f t="shared" ca="1" si="1"/>
        <v>1</v>
      </c>
    </row>
    <row r="22" spans="2:19">
      <c r="C22" s="5"/>
      <c r="D22" s="5"/>
      <c r="K22" t="s">
        <v>98</v>
      </c>
      <c r="L22" t="b">
        <f ca="1">AND(L2&gt;0,L6=0,C6&gt;0)</f>
        <v>0</v>
      </c>
      <c r="M22" t="b">
        <f t="shared" ref="M22:S22" ca="1" si="2">AND(M2&gt;0,M6=0,D6&gt;0)</f>
        <v>0</v>
      </c>
      <c r="N22" t="b">
        <f t="shared" ca="1" si="2"/>
        <v>0</v>
      </c>
      <c r="O22" t="b">
        <f t="shared" ca="1" si="2"/>
        <v>0</v>
      </c>
      <c r="P22" t="b">
        <f t="shared" ca="1" si="2"/>
        <v>0</v>
      </c>
      <c r="Q22" t="b">
        <f t="shared" ca="1" si="2"/>
        <v>0</v>
      </c>
      <c r="R22" t="b">
        <f t="shared" ca="1" si="2"/>
        <v>0</v>
      </c>
      <c r="S22" t="b">
        <f t="shared" ca="1" si="2"/>
        <v>0</v>
      </c>
    </row>
    <row r="23" spans="2:19">
      <c r="K23" t="s">
        <v>99</v>
      </c>
      <c r="L23" t="b">
        <f ca="1">IFERROR(OR(L21:L22),FALSE)</f>
        <v>1</v>
      </c>
      <c r="M23" t="b">
        <f t="shared" ref="M23:S23" ca="1" si="3">IFERROR(OR(M21:M22),FALSE)</f>
        <v>1</v>
      </c>
      <c r="N23" t="b">
        <f t="shared" ca="1" si="3"/>
        <v>1</v>
      </c>
      <c r="O23" t="b">
        <f t="shared" ca="1" si="3"/>
        <v>1</v>
      </c>
      <c r="P23" t="b">
        <f t="shared" ca="1" si="3"/>
        <v>1</v>
      </c>
      <c r="Q23" t="b">
        <f t="shared" ca="1" si="3"/>
        <v>1</v>
      </c>
      <c r="R23" t="b">
        <f t="shared" ca="1" si="3"/>
        <v>1</v>
      </c>
      <c r="S23" t="b">
        <f t="shared" ca="1" si="3"/>
        <v>1</v>
      </c>
    </row>
    <row r="24" spans="2:19">
      <c r="B24" t="s">
        <v>100</v>
      </c>
      <c r="C24">
        <v>2904</v>
      </c>
      <c r="D24">
        <v>8683</v>
      </c>
      <c r="E24">
        <v>9973</v>
      </c>
      <c r="F24">
        <v>5366</v>
      </c>
      <c r="G24">
        <v>2573</v>
      </c>
      <c r="H24">
        <v>7931</v>
      </c>
      <c r="I24">
        <v>3832</v>
      </c>
      <c r="J24">
        <v>6152</v>
      </c>
    </row>
    <row r="26" spans="2:19">
      <c r="B26" t="b">
        <v>1</v>
      </c>
      <c r="C26" t="str">
        <f>LEFT(DEC2HEX(C24+COLUMN()+1000),2)</f>
        <v>F4</v>
      </c>
      <c r="D26" t="str">
        <f t="shared" ref="D26:J26" si="4">LEFT(DEC2HEX(D24+COLUMN()+1000),2)</f>
        <v>25</v>
      </c>
      <c r="E26" t="str">
        <f t="shared" si="4"/>
        <v>2A</v>
      </c>
      <c r="F26" t="str">
        <f t="shared" si="4"/>
        <v>18</v>
      </c>
      <c r="G26" t="str">
        <f t="shared" si="4"/>
        <v>DF</v>
      </c>
      <c r="H26" t="str">
        <f t="shared" si="4"/>
        <v>22</v>
      </c>
      <c r="I26" t="str">
        <f t="shared" si="4"/>
        <v>12</v>
      </c>
      <c r="J26" t="str">
        <f t="shared" si="4"/>
        <v>1B</v>
      </c>
    </row>
    <row r="27" spans="2:19">
      <c r="B27" t="b">
        <v>0</v>
      </c>
      <c r="C27" t="str">
        <f>RIGHT(DEC2HEX(C24+COLUMN()+2),2)</f>
        <v>5D</v>
      </c>
      <c r="D27" t="str">
        <f t="shared" ref="D27:J27" si="5">RIGHT(DEC2HEX(D24+COLUMN()+2),2)</f>
        <v>F1</v>
      </c>
      <c r="E27" t="str">
        <f t="shared" si="5"/>
        <v>FC</v>
      </c>
      <c r="F27" t="str">
        <f t="shared" si="5"/>
        <v>FE</v>
      </c>
      <c r="G27" t="str">
        <f t="shared" si="5"/>
        <v>16</v>
      </c>
      <c r="H27" t="str">
        <f t="shared" si="5"/>
        <v>05</v>
      </c>
      <c r="I27" t="str">
        <f t="shared" si="5"/>
        <v>03</v>
      </c>
      <c r="J27" t="str">
        <f t="shared" si="5"/>
        <v>14</v>
      </c>
    </row>
    <row r="29" spans="2:19">
      <c r="B29" t="s">
        <v>101</v>
      </c>
      <c r="C29" t="b">
        <f>IF(AND(C2="",C2=0),FALSE,TRUE)</f>
        <v>1</v>
      </c>
      <c r="D29" t="b">
        <f t="shared" ref="D29:J29" si="6">IF(AND(D2="",D2=0),FALSE,TRUE)</f>
        <v>1</v>
      </c>
      <c r="E29" t="b">
        <f t="shared" si="6"/>
        <v>1</v>
      </c>
      <c r="F29" t="b">
        <f t="shared" si="6"/>
        <v>1</v>
      </c>
      <c r="G29" t="b">
        <f t="shared" si="6"/>
        <v>1</v>
      </c>
      <c r="H29" t="b">
        <f t="shared" si="6"/>
        <v>1</v>
      </c>
      <c r="I29" t="b">
        <f t="shared" si="6"/>
        <v>1</v>
      </c>
      <c r="J29" t="b">
        <f t="shared" si="6"/>
        <v>1</v>
      </c>
    </row>
    <row r="30" spans="2:19">
      <c r="B30" t="s">
        <v>102</v>
      </c>
      <c r="C30" t="b">
        <f ca="1">OR(AND(ISNUMBER(FIND("=",W2)),ISNUMBER(FIND("(",W2))),ISNUMBER(FIND("MAX",W2)),ISNUMBER(FIND("MIN",W2)))</f>
        <v>1</v>
      </c>
      <c r="D30" t="b">
        <f t="shared" ref="D30:J30" ca="1" si="7">OR(AND(ISNUMBER(FIND("=",X2)),ISNUMBER(FIND("(",X2))),ISNUMBER(FIND("MAX",X2)),ISNUMBER(FIND("MIN",X2)))</f>
        <v>1</v>
      </c>
      <c r="E30" t="b">
        <f t="shared" ca="1" si="7"/>
        <v>1</v>
      </c>
      <c r="F30" t="b">
        <f t="shared" ca="1" si="7"/>
        <v>1</v>
      </c>
      <c r="G30" t="b">
        <f t="shared" ca="1" si="7"/>
        <v>1</v>
      </c>
      <c r="H30" t="b">
        <f t="shared" ca="1" si="7"/>
        <v>1</v>
      </c>
      <c r="I30" t="b">
        <f t="shared" ca="1" si="7"/>
        <v>1</v>
      </c>
      <c r="J30" t="b">
        <f t="shared" ca="1" si="7"/>
        <v>1</v>
      </c>
    </row>
    <row r="31" spans="2:19">
      <c r="C31" t="b">
        <f ca="1">L23</f>
        <v>1</v>
      </c>
      <c r="D31" t="b">
        <f t="shared" ref="D31:J31" ca="1" si="8">M23</f>
        <v>1</v>
      </c>
      <c r="E31" t="b">
        <f t="shared" ca="1" si="8"/>
        <v>1</v>
      </c>
      <c r="F31" t="b">
        <f t="shared" ca="1" si="8"/>
        <v>1</v>
      </c>
      <c r="G31" t="b">
        <f t="shared" ca="1" si="8"/>
        <v>1</v>
      </c>
      <c r="H31" t="b">
        <f t="shared" ca="1" si="8"/>
        <v>1</v>
      </c>
      <c r="I31" t="b">
        <f t="shared" ca="1" si="8"/>
        <v>1</v>
      </c>
      <c r="J31" t="b">
        <f t="shared" ca="1" si="8"/>
        <v>1</v>
      </c>
    </row>
    <row r="33" spans="2:18">
      <c r="B33" t="s">
        <v>103</v>
      </c>
      <c r="C33" t="b">
        <f ca="1">AND(C29:C31)</f>
        <v>1</v>
      </c>
      <c r="D33" t="b">
        <f t="shared" ref="D33:J33" ca="1" si="9">AND(D29:D31)</f>
        <v>1</v>
      </c>
      <c r="E33" t="b">
        <f t="shared" ca="1" si="9"/>
        <v>1</v>
      </c>
      <c r="F33" t="b">
        <f t="shared" ca="1" si="9"/>
        <v>1</v>
      </c>
      <c r="G33" t="b">
        <f t="shared" ca="1" si="9"/>
        <v>1</v>
      </c>
      <c r="H33" t="b">
        <f t="shared" ca="1" si="9"/>
        <v>1</v>
      </c>
      <c r="I33" t="b">
        <f t="shared" ca="1" si="9"/>
        <v>1</v>
      </c>
      <c r="J33" t="b">
        <f t="shared" ca="1" si="9"/>
        <v>1</v>
      </c>
    </row>
    <row r="35" spans="2:18">
      <c r="B35" t="s">
        <v>104</v>
      </c>
      <c r="C35" t="b">
        <f ca="1">AND(ISNUMBER(FIND("MAX",W2)))</f>
        <v>1</v>
      </c>
      <c r="D35" t="b">
        <f t="shared" ref="D35" ca="1" si="10">AND(ISNUMBER(FIND("MAX",X2)))</f>
        <v>1</v>
      </c>
      <c r="E35" t="b">
        <f ca="1">AND(ISNUMBER(FIND("MIN",Y2)),ISNUMBER(FIND("MAX",Y2)))</f>
        <v>1</v>
      </c>
      <c r="F35" t="b">
        <f ca="1">AND(ISNUMBER(FIND("MIN",Z2)))</f>
        <v>1</v>
      </c>
      <c r="G35" t="b">
        <f ca="1">AND(ISNUMBER(FIND("MAX",AA2)))</f>
        <v>1</v>
      </c>
      <c r="H35" t="b">
        <f ca="1">AND(ISNUMBER(FIND("MIN",AB2)))</f>
        <v>1</v>
      </c>
      <c r="I35" t="b">
        <f ca="1">AND(ISNUMBER(FIND("MAX",AC2)))</f>
        <v>1</v>
      </c>
      <c r="J35" t="b">
        <f ca="1">AND(ISNUMBER(FIND("MIN",AD2)),ISNUMBER(FIND("MAX",AD2)))</f>
        <v>1</v>
      </c>
      <c r="M35" t="s">
        <v>105</v>
      </c>
      <c r="N35" t="s">
        <v>106</v>
      </c>
      <c r="R35" t="s">
        <v>107</v>
      </c>
    </row>
    <row r="36" spans="2:18">
      <c r="B36" t="s">
        <v>108</v>
      </c>
      <c r="C36">
        <f ca="1">IFERROR(LEN(W2)-LEN(SUBSTITUTE(W2,"(","")),99)</f>
        <v>1</v>
      </c>
      <c r="D36">
        <f t="shared" ref="D36:J36" ca="1" si="11">IFERROR(LEN(X2)-LEN(SUBSTITUTE(X2,"(","")),99)</f>
        <v>1</v>
      </c>
      <c r="E36">
        <f t="shared" ca="1" si="11"/>
        <v>2</v>
      </c>
      <c r="F36">
        <f t="shared" ca="1" si="11"/>
        <v>1</v>
      </c>
      <c r="G36">
        <f t="shared" ca="1" si="11"/>
        <v>1</v>
      </c>
      <c r="H36">
        <f t="shared" ca="1" si="11"/>
        <v>2</v>
      </c>
      <c r="I36">
        <f t="shared" ca="1" si="11"/>
        <v>2</v>
      </c>
      <c r="J36">
        <f t="shared" ca="1" si="11"/>
        <v>3</v>
      </c>
    </row>
    <row r="37" spans="2:18">
      <c r="C37">
        <v>2</v>
      </c>
      <c r="D37">
        <v>2</v>
      </c>
      <c r="E37">
        <v>2</v>
      </c>
      <c r="F37">
        <v>1</v>
      </c>
      <c r="G37">
        <v>1</v>
      </c>
      <c r="H37">
        <v>2</v>
      </c>
      <c r="I37">
        <v>2</v>
      </c>
      <c r="J37">
        <v>3</v>
      </c>
    </row>
    <row r="38" spans="2:18">
      <c r="C38" t="b">
        <f ca="1">C36&lt;=C37</f>
        <v>1</v>
      </c>
      <c r="D38" t="b">
        <f t="shared" ref="D38:J38" ca="1" si="12">D36&lt;=D37</f>
        <v>1</v>
      </c>
      <c r="E38" t="b">
        <f t="shared" ca="1" si="12"/>
        <v>1</v>
      </c>
      <c r="F38" t="b">
        <f t="shared" ca="1" si="12"/>
        <v>1</v>
      </c>
      <c r="G38" t="b">
        <f t="shared" ca="1" si="12"/>
        <v>1</v>
      </c>
      <c r="H38" t="b">
        <f t="shared" ca="1" si="12"/>
        <v>1</v>
      </c>
      <c r="I38" t="b">
        <f t="shared" ca="1" si="12"/>
        <v>1</v>
      </c>
      <c r="J38" t="b">
        <f t="shared" ca="1" si="12"/>
        <v>1</v>
      </c>
    </row>
    <row r="40" spans="2:18">
      <c r="B40" t="s">
        <v>103</v>
      </c>
      <c r="C40" t="b">
        <f ca="1">AND(C38,C35,C59)</f>
        <v>1</v>
      </c>
      <c r="D40" t="b">
        <f t="shared" ref="D40:J40" ca="1" si="13">AND(D38,D35,D59)</f>
        <v>1</v>
      </c>
      <c r="E40" t="b">
        <f t="shared" ca="1" si="13"/>
        <v>1</v>
      </c>
      <c r="F40" t="b">
        <f t="shared" ca="1" si="13"/>
        <v>1</v>
      </c>
      <c r="G40" t="b">
        <f t="shared" ca="1" si="13"/>
        <v>1</v>
      </c>
      <c r="H40" t="b">
        <f t="shared" ca="1" si="13"/>
        <v>1</v>
      </c>
      <c r="I40" t="b">
        <f t="shared" ca="1" si="13"/>
        <v>1</v>
      </c>
      <c r="J40" t="b">
        <f t="shared" ca="1" si="13"/>
        <v>1</v>
      </c>
    </row>
    <row r="43" spans="2:18">
      <c r="B43" t="s">
        <v>109</v>
      </c>
      <c r="C43" t="str">
        <f ca="1">IFERROR(DEC2HEX(IF(C33,C21,C24)),"EEE")</f>
        <v>FFC81</v>
      </c>
      <c r="D43" t="str">
        <f t="shared" ref="D43:J43" ca="1" si="14">IFERROR(DEC2HEX(IF(D33,D21,D24)),"EEE")</f>
        <v>F58</v>
      </c>
      <c r="E43" t="str">
        <f t="shared" ca="1" si="14"/>
        <v>66B5F20</v>
      </c>
      <c r="F43" t="str">
        <f t="shared" ca="1" si="14"/>
        <v>BAC48</v>
      </c>
      <c r="G43" t="str">
        <f t="shared" ca="1" si="14"/>
        <v>6A412C</v>
      </c>
      <c r="H43" t="str">
        <f t="shared" ca="1" si="14"/>
        <v>501BD0</v>
      </c>
      <c r="I43" t="str">
        <f t="shared" ca="1" si="14"/>
        <v>192D50</v>
      </c>
      <c r="J43" t="str">
        <f t="shared" ca="1" si="14"/>
        <v>4864D0</v>
      </c>
    </row>
    <row r="44" spans="2:18">
      <c r="B44" t="s">
        <v>110</v>
      </c>
      <c r="C44" t="str">
        <f ca="1">IF(C40,C26,C27)</f>
        <v>F4</v>
      </c>
      <c r="D44" t="str">
        <f t="shared" ref="D44:J44" ca="1" si="15">IF(D40,D26,D27)</f>
        <v>25</v>
      </c>
      <c r="E44" t="str">
        <f t="shared" ca="1" si="15"/>
        <v>2A</v>
      </c>
      <c r="F44" t="str">
        <f t="shared" ca="1" si="15"/>
        <v>18</v>
      </c>
      <c r="G44" t="str">
        <f t="shared" ca="1" si="15"/>
        <v>DF</v>
      </c>
      <c r="H44" t="str">
        <f t="shared" ca="1" si="15"/>
        <v>22</v>
      </c>
      <c r="I44" t="str">
        <f t="shared" ca="1" si="15"/>
        <v>12</v>
      </c>
      <c r="J44" t="str">
        <f t="shared" ca="1" si="15"/>
        <v>1B</v>
      </c>
    </row>
    <row r="46" spans="2:18">
      <c r="C46" t="str">
        <f ca="1">C44&amp;"-"&amp;C43&amp;";"</f>
        <v>F4-FFC81;</v>
      </c>
      <c r="D46" t="str">
        <f t="shared" ref="D46:I46" ca="1" si="16">D44&amp;"-"&amp;D43&amp;";"</f>
        <v>25-F58;</v>
      </c>
      <c r="E46" t="str">
        <f t="shared" ca="1" si="16"/>
        <v>2A-66B5F20;</v>
      </c>
      <c r="F46" t="str">
        <f t="shared" ca="1" si="16"/>
        <v>18-BAC48;</v>
      </c>
      <c r="G46" t="str">
        <f t="shared" ca="1" si="16"/>
        <v>DF-6A412C;</v>
      </c>
      <c r="H46" t="str">
        <f t="shared" ca="1" si="16"/>
        <v>22-501BD0;</v>
      </c>
      <c r="I46" t="str">
        <f t="shared" ca="1" si="16"/>
        <v>12-192D50;</v>
      </c>
      <c r="J46" t="str">
        <f ca="1">J44&amp;"-"&amp;J43</f>
        <v>1B-4864D0</v>
      </c>
    </row>
    <row r="48" spans="2:18">
      <c r="C48" t="str">
        <f ca="1">A2&amp;"|"&amp;C46&amp;D46&amp;E46&amp;F46&amp;G46&amp;H46&amp;I46&amp;J46</f>
        <v>HK1|F4-FFC81;25-F58;2A-66B5F20;18-BAC48;DF-6A412C;22-501BD0;12-192D50;1B-4864D0</v>
      </c>
    </row>
    <row r="50" spans="2:10">
      <c r="C50" t="str" cm="1">
        <f t="array" aca="1" ref="C50" ca="1">INDIRECT(M35&amp;N35&amp;R35)</f>
        <v>HK1|F4-FFC81;25-F58;2A-66B5F20;18-BAC48;DF-6A412C;22-501BD0;12-192D50;1B-4864D0</v>
      </c>
    </row>
    <row r="52" spans="2:10">
      <c r="C52" t="str">
        <f ca="1">C50</f>
        <v>HK1|F4-FFC81;25-F58;2A-66B5F20;18-BAC48;DF-6A412C;22-501BD0;12-192D50;1B-4864D0</v>
      </c>
    </row>
    <row r="54" spans="2:10">
      <c r="B54" t="s">
        <v>111</v>
      </c>
      <c r="C54">
        <f ca="1">IFERROR(LEN(W2)-LEN(SUBSTITUTE(W2,$B$54,"")),99)/3</f>
        <v>1</v>
      </c>
      <c r="D54">
        <f t="shared" ref="D54:J54" ca="1" si="17">IFERROR(LEN(X2)-LEN(SUBSTITUTE(X2,$B$54,"")),99)/3</f>
        <v>1</v>
      </c>
      <c r="E54">
        <f t="shared" ca="1" si="17"/>
        <v>1</v>
      </c>
      <c r="F54">
        <f t="shared" ca="1" si="17"/>
        <v>0</v>
      </c>
      <c r="G54">
        <f t="shared" ca="1" si="17"/>
        <v>1</v>
      </c>
      <c r="H54">
        <f t="shared" ca="1" si="17"/>
        <v>1</v>
      </c>
      <c r="I54">
        <f t="shared" ca="1" si="17"/>
        <v>1</v>
      </c>
      <c r="J54">
        <f t="shared" ca="1" si="17"/>
        <v>2</v>
      </c>
    </row>
    <row r="55" spans="2:10">
      <c r="B55" t="s">
        <v>112</v>
      </c>
      <c r="C55">
        <f ca="1">IFERROR(LEN(W2)-LEN(SUBSTITUTE(W2,$B$55,"")),99)/3</f>
        <v>0</v>
      </c>
      <c r="D55">
        <f t="shared" ref="D55:J55" ca="1" si="18">IFERROR(LEN(X2)-LEN(SUBSTITUTE(X2,$B$55,"")),99)/3</f>
        <v>0</v>
      </c>
      <c r="E55">
        <f t="shared" ca="1" si="18"/>
        <v>1</v>
      </c>
      <c r="F55">
        <f t="shared" ca="1" si="18"/>
        <v>1</v>
      </c>
      <c r="G55">
        <f t="shared" ca="1" si="18"/>
        <v>0</v>
      </c>
      <c r="H55">
        <f t="shared" ca="1" si="18"/>
        <v>1</v>
      </c>
      <c r="I55">
        <f t="shared" ca="1" si="18"/>
        <v>0</v>
      </c>
      <c r="J55">
        <f t="shared" ca="1" si="18"/>
        <v>1</v>
      </c>
    </row>
    <row r="57" spans="2:10"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2</v>
      </c>
    </row>
    <row r="58" spans="2:10"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2</v>
      </c>
    </row>
    <row r="59" spans="2:10">
      <c r="C59" t="b">
        <f ca="1">AND(C54&lt;=C57,C55&lt;=C58)</f>
        <v>1</v>
      </c>
      <c r="D59" t="b">
        <f t="shared" ref="D59:J59" ca="1" si="19">AND(D54&lt;=D57,D55&lt;=D58)</f>
        <v>1</v>
      </c>
      <c r="E59" t="b">
        <f t="shared" ca="1" si="19"/>
        <v>1</v>
      </c>
      <c r="F59" t="b">
        <f t="shared" ca="1" si="19"/>
        <v>1</v>
      </c>
      <c r="G59" t="b">
        <f t="shared" ca="1" si="19"/>
        <v>1</v>
      </c>
      <c r="H59" t="b">
        <f t="shared" ca="1" si="19"/>
        <v>1</v>
      </c>
      <c r="I59" t="b">
        <f t="shared" ca="1" si="19"/>
        <v>1</v>
      </c>
      <c r="J59" t="b">
        <f t="shared" ca="1" si="1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2025-01-25T11:10:28Z</dcterms:created>
  <dcterms:modified xsi:type="dcterms:W3CDTF">2026-06-12T19:59:27Z</dcterms:modified>
  <cp:category/>
  <cp:contentStatus/>
</cp:coreProperties>
</file>