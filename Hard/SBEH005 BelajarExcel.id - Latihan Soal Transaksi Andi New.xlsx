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43" documentId="8_{B0E80974-367C-4CEF-ACD7-14F4A698DD19}" xr6:coauthVersionLast="47" xr6:coauthVersionMax="47" xr10:uidLastSave="{E9699591-C53F-4B38-9169-93E73958D00F}"/>
  <workbookProtection workbookAlgorithmName="SHA-512" workbookHashValue="bCfWUUM9y2eD5+YXyEnPgAKH4/RRG7KXjZZdsJ6wafcKy9Sa/LqhUI4fb49/iJK3/Z3RKzWCUAys6C5rWUpQwA==" workbookSaltValue="pSdhjjjbq/NUjTOQPaIh1A==" workbookSpinCount="100000" lockStructure="1"/>
  <bookViews>
    <workbookView xWindow="28692" yWindow="-108" windowWidth="29016" windowHeight="15696" xr2:uid="{60737269-9CEA-4D48-B1C7-D14570C53EB1}"/>
  </bookViews>
  <sheets>
    <sheet name="XL-Test" sheetId="1" r:id="rId1"/>
    <sheet name="DF" sheetId="2" state="veryHidden" r:id="rId2"/>
  </sheets>
  <definedNames>
    <definedName name="kode_jawaban">DF!$D$10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 a="1"/>
  <c r="I12" i="1"/>
  <c r="I11" i="1"/>
  <c r="I10" i="1"/>
  <c r="I9" i="1" a="1"/>
  <c r="I9" i="1"/>
  <c r="I8" i="1" a="1"/>
  <c r="I8" i="1"/>
  <c r="I7" i="1" a="1"/>
  <c r="I7" i="1"/>
  <c r="I3" i="2"/>
  <c r="I4" i="2"/>
  <c r="I5" i="2"/>
  <c r="I6" i="2"/>
  <c r="I7" i="2"/>
  <c r="I2" i="2"/>
  <c r="H3" i="2"/>
  <c r="H4" i="2"/>
  <c r="H5" i="2"/>
  <c r="H6" i="2"/>
  <c r="H7" i="2"/>
  <c r="H2" i="2"/>
  <c r="D3" i="2"/>
  <c r="D4" i="2"/>
  <c r="D5" i="2"/>
  <c r="D6" i="2"/>
  <c r="D7" i="2"/>
  <c r="D2" i="2"/>
  <c r="W3" i="2"/>
  <c r="U3" i="2" s="1"/>
  <c r="N3" i="2" s="1"/>
  <c r="P3" i="2" s="1"/>
  <c r="W4" i="2"/>
  <c r="U4" i="2" s="1"/>
  <c r="N4" i="2" s="1"/>
  <c r="P4" i="2" s="1"/>
  <c r="W5" i="2"/>
  <c r="U5" i="2" s="1"/>
  <c r="N5" i="2" s="1"/>
  <c r="P5" i="2" s="1"/>
  <c r="W6" i="2"/>
  <c r="U6" i="2" s="1"/>
  <c r="N6" i="2" s="1"/>
  <c r="P6" i="2" s="1"/>
  <c r="W7" i="2"/>
  <c r="U7" i="2" s="1"/>
  <c r="N7" i="2" s="1"/>
  <c r="P7" i="2" s="1"/>
  <c r="W2" i="2"/>
  <c r="U2" i="2" s="1"/>
  <c r="N2" i="2" s="1"/>
  <c r="P2" i="2" s="1"/>
  <c r="A3" i="2"/>
  <c r="E3" i="2" l="1"/>
  <c r="F3" i="2"/>
  <c r="E4" i="2"/>
  <c r="F4" i="2"/>
  <c r="E5" i="2"/>
  <c r="F5" i="2"/>
  <c r="E6" i="2"/>
  <c r="F6" i="2"/>
  <c r="E7" i="2"/>
  <c r="F7" i="2"/>
  <c r="E2" i="2"/>
  <c r="F2" i="2"/>
  <c r="M3" i="2"/>
  <c r="Q3" i="2" s="1"/>
  <c r="M4" i="2"/>
  <c r="Q4" i="2" s="1"/>
  <c r="M5" i="2"/>
  <c r="Q5" i="2" s="1"/>
  <c r="M6" i="2"/>
  <c r="Q6" i="2" s="1"/>
  <c r="M7" i="2"/>
  <c r="Q7" i="2" s="1"/>
  <c r="M2" i="2"/>
  <c r="Q2" i="2" s="1"/>
  <c r="K5" i="2"/>
  <c r="K6" i="2"/>
  <c r="K2" i="2"/>
  <c r="J3" i="2"/>
  <c r="K3" i="2"/>
  <c r="J4" i="2"/>
  <c r="K4" i="2"/>
  <c r="J7" i="2"/>
  <c r="K7" i="2"/>
  <c r="J5" i="2"/>
  <c r="J6" i="2"/>
  <c r="J2" i="2"/>
  <c r="L5" i="2" l="1"/>
  <c r="R5" i="2" s="1"/>
  <c r="S5" i="2" s="1"/>
  <c r="L6" i="2"/>
  <c r="R6" i="2" s="1"/>
  <c r="S6" i="2" s="1"/>
  <c r="L2" i="2"/>
  <c r="R2" i="2" s="1"/>
  <c r="S2" i="2" s="1"/>
  <c r="L3" i="2"/>
  <c r="R3" i="2" s="1"/>
  <c r="S3" i="2" s="1"/>
  <c r="L4" i="2"/>
  <c r="R4" i="2" s="1"/>
  <c r="S4" i="2" s="1"/>
  <c r="L7" i="2"/>
  <c r="R7" i="2" s="1"/>
  <c r="S7" i="2" s="1"/>
  <c r="D10" i="2" l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<sst xmlns="http://schemas.openxmlformats.org/spreadsheetml/2006/main" count="71" uniqueCount="61">
  <si>
    <r>
      <t xml:space="preserve">Hard Level  </t>
    </r>
    <r>
      <rPr>
        <sz val="9"/>
        <color rgb="FFFFC000"/>
        <rFont val="Aptos Narrow"/>
        <family val="2"/>
        <scheme val="minor"/>
      </rPr>
      <t>(⭐⭐⭐)</t>
    </r>
  </si>
  <si>
    <t>KODE SOAL</t>
  </si>
  <si>
    <t>SBEH005</t>
  </si>
  <si>
    <t>KODE JAWABAN</t>
  </si>
  <si>
    <t>No</t>
  </si>
  <si>
    <t>Keterangan Transaksi</t>
  </si>
  <si>
    <t>Nilai Transaksi</t>
  </si>
  <si>
    <t>Kode Transaksi</t>
  </si>
  <si>
    <t>nama andi jumlah 25000</t>
  </si>
  <si>
    <t>*PKA*</t>
  </si>
  <si>
    <t xml:space="preserve">Soal </t>
  </si>
  <si>
    <t>Jawaban</t>
  </si>
  <si>
    <t>atas nama yandi sebesar 12000</t>
  </si>
  <si>
    <t>Berapa Banyak Transaksi yang dilakukan oleh andi</t>
  </si>
  <si>
    <t>pengiriman untuk sandi</t>
  </si>
  <si>
    <t>SUBPKA</t>
  </si>
  <si>
    <t>Berapa Jumlah Nilai Transaksi yang dilakukan oleh andi</t>
  </si>
  <si>
    <t>andini mengirim sebesar 22500</t>
  </si>
  <si>
    <t>*LSG*</t>
  </si>
  <si>
    <t>Berapa Jumlah Nilai Transaksi yang dilakukan oleh wandi</t>
  </si>
  <si>
    <t>dari handi jumlah 16000</t>
  </si>
  <si>
    <t>SUBLSG</t>
  </si>
  <si>
    <t>Berapa Banyak Transaksi dengan kode *PKA*</t>
  </si>
  <si>
    <t>randi bayar sebesar 20000</t>
  </si>
  <si>
    <t>Berapa Jumlah Nilai Transaksi dengan kode *PKA*</t>
  </si>
  <si>
    <t>nama badu jumlah 14500</t>
  </si>
  <si>
    <t>Berapa Jumlah Nilai Transaksi yang dilakukan oleh andi dengan kode *PKA*</t>
  </si>
  <si>
    <t>atas nama wandiman sebesar 19000</t>
  </si>
  <si>
    <t>*NIR*</t>
  </si>
  <si>
    <t>andi bayar jumlah 17500</t>
  </si>
  <si>
    <t>* Selesaikan tanpa menggunakan Table/kolom bantu</t>
  </si>
  <si>
    <t>atas nama dani sebesar 21000</t>
  </si>
  <si>
    <t>jumlah 13000 dibayar wandi</t>
  </si>
  <si>
    <t>Sudah selesai mengerjakan?</t>
  </si>
  <si>
    <t>sebesar 15500 atas nama andi</t>
  </si>
  <si>
    <t>SUB?NIR</t>
  </si>
  <si>
    <r>
      <t xml:space="preserve">Kirimkan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u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 benar/salah</t>
    </r>
  </si>
  <si>
    <t>nama nando jumlah 24000</t>
  </si>
  <si>
    <t>*OID*</t>
  </si>
  <si>
    <t>atas nama andini sebesar 11000</t>
  </si>
  <si>
    <t>PKA?INDEX</t>
  </si>
  <si>
    <t>nama mandika jumlah 23000</t>
  </si>
  <si>
    <t>atas nama ridwandi sebesar 10000</t>
  </si>
  <si>
    <t>SUB?OID</t>
  </si>
  <si>
    <t>pembayaran andi jumlah 14000</t>
  </si>
  <si>
    <t>atas nama andika sebesar 16500</t>
  </si>
  <si>
    <t>*HGU*</t>
  </si>
  <si>
    <t>pembelian oleh wandi 17500</t>
  </si>
  <si>
    <r>
      <t xml:space="preserve">Copyright </t>
    </r>
    <r>
      <rPr>
        <sz val="9"/>
        <color theme="1"/>
        <rFont val="Calibri"/>
        <family val="2"/>
      </rPr>
      <t>© 2025 | BelajarExcel.id</t>
    </r>
  </si>
  <si>
    <t>atas nama riswandika 20000 lunas</t>
  </si>
  <si>
    <t>SUB?PKA</t>
  </si>
  <si>
    <t>DEF</t>
  </si>
  <si>
    <t>Randm</t>
  </si>
  <si>
    <t>Cek Manual</t>
  </si>
  <si>
    <t>Cek Range</t>
  </si>
  <si>
    <t>Hasil</t>
  </si>
  <si>
    <t>Cek Formula</t>
  </si>
  <si>
    <t>kurung</t>
  </si>
  <si>
    <t>Asli</t>
  </si>
  <si>
    <t>B</t>
  </si>
  <si>
    <t>HE1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</si>
</sst>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-[$Rp-3809]* #,##0_-;\-[$Rp-3809]* #,##0_-;_-[$Rp-3809]* &quot;-&quot;??_-;_-@_-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EE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i/>
      <u/>
      <sz val="11"/>
      <color rgb="FF0070C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6" tint="0.39994506668294322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165" fontId="0" fillId="0" borderId="0" xfId="1" applyNumberFormat="1" applyFont="1"/>
    <xf numFmtId="0" fontId="0" fillId="2" borderId="0" xfId="0" applyFill="1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6" fontId="0" fillId="3" borderId="1" xfId="1" applyNumberFormat="1" applyFont="1" applyFill="1" applyBorder="1"/>
    <xf numFmtId="0" fontId="3" fillId="0" borderId="0" xfId="0" applyFont="1"/>
    <xf numFmtId="0" fontId="5" fillId="0" borderId="0" xfId="0" applyFont="1"/>
    <xf numFmtId="0" fontId="8" fillId="5" borderId="0" xfId="0" applyFont="1" applyFill="1"/>
    <xf numFmtId="0" fontId="10" fillId="6" borderId="0" xfId="0" applyFont="1" applyFill="1"/>
    <xf numFmtId="0" fontId="11" fillId="7" borderId="0" xfId="0" applyFont="1" applyFill="1"/>
    <xf numFmtId="0" fontId="0" fillId="7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166" fontId="0" fillId="3" borderId="2" xfId="1" applyNumberFormat="1" applyFont="1" applyFill="1" applyBorder="1"/>
    <xf numFmtId="0" fontId="0" fillId="4" borderId="0" xfId="0" applyFill="1" applyAlignment="1">
      <alignment horizontal="right" indent="1"/>
    </xf>
    <xf numFmtId="166" fontId="0" fillId="4" borderId="0" xfId="1" applyNumberFormat="1" applyFont="1" applyFill="1" applyAlignment="1">
      <alignment horizontal="right" indent="1"/>
    </xf>
    <xf numFmtId="166" fontId="0" fillId="4" borderId="0" xfId="0" applyNumberFormat="1" applyFill="1" applyAlignment="1">
      <alignment horizontal="right" indent="1"/>
    </xf>
    <xf numFmtId="0" fontId="0" fillId="8" borderId="0" xfId="0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elajarexcel.id/xl-test/jawaba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17</xdr:row>
      <xdr:rowOff>68580</xdr:rowOff>
    </xdr:from>
    <xdr:to>
      <xdr:col>7</xdr:col>
      <xdr:colOff>1844040</xdr:colOff>
      <xdr:row>18</xdr:row>
      <xdr:rowOff>160020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AA6E9F-5E1B-4C13-A648-5D6A50E0D309}"/>
            </a:ext>
          </a:extLst>
        </xdr:cNvPr>
        <xdr:cNvSpPr/>
      </xdr:nvSpPr>
      <xdr:spPr>
        <a:xfrm>
          <a:off x="7254240" y="3329940"/>
          <a:ext cx="1851660" cy="2743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6</xdr:col>
      <xdr:colOff>556260</xdr:colOff>
      <xdr:row>21</xdr:row>
      <xdr:rowOff>15240</xdr:rowOff>
    </xdr:from>
    <xdr:to>
      <xdr:col>7</xdr:col>
      <xdr:colOff>1609903</xdr:colOff>
      <xdr:row>23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75A472-83D6-4A59-A95C-5DD7F851B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5740" y="5242560"/>
          <a:ext cx="1663243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841B-3CC7-4D7D-8EA9-E5AEFF8A549F}">
  <sheetPr codeName="Sheet1"/>
  <dimension ref="B1:I26"/>
  <sheetViews>
    <sheetView tabSelected="1" topLeftCell="B5" workbookViewId="0">
      <selection activeCell="E2" sqref="E2"/>
    </sheetView>
  </sheetViews>
  <sheetFormatPr defaultRowHeight="14.45"/>
  <cols>
    <col min="1" max="1" width="7.5703125" customWidth="1"/>
    <col min="2" max="2" width="17.42578125" customWidth="1"/>
    <col min="3" max="3" width="31.42578125" customWidth="1"/>
    <col min="4" max="4" width="23.28515625" customWidth="1"/>
    <col min="5" max="5" width="21.7109375" customWidth="1"/>
    <col min="6" max="6" width="11" customWidth="1"/>
    <col min="8" max="8" width="62.7109375" customWidth="1"/>
    <col min="9" max="9" width="18.140625" customWidth="1"/>
  </cols>
  <sheetData>
    <row r="1" spans="2:9">
      <c r="B1" s="10" t="s">
        <v>0</v>
      </c>
    </row>
    <row r="2" spans="2:9" ht="23.45">
      <c r="B2" s="11" t="s">
        <v>1</v>
      </c>
      <c r="C2" s="12" t="s">
        <v>2</v>
      </c>
      <c r="D2" s="11" t="s">
        <v>3</v>
      </c>
      <c r="E2" s="12" t="str">
        <f ca="1">kode_jawaban</f>
        <v>HE1|8D1-9C401;CD1-1C201;721-77241;CF1-75301;991-D4E41;151-A6041</v>
      </c>
      <c r="F2" s="13"/>
      <c r="G2" s="13"/>
      <c r="H2" s="13"/>
    </row>
    <row r="5" spans="2:9" ht="28.15" customHeight="1">
      <c r="B5" s="4" t="s">
        <v>4</v>
      </c>
      <c r="C5" s="4" t="s">
        <v>5</v>
      </c>
      <c r="D5" s="4" t="s">
        <v>6</v>
      </c>
      <c r="E5" s="4" t="s">
        <v>7</v>
      </c>
    </row>
    <row r="6" spans="2:9" ht="19.899999999999999" customHeight="1">
      <c r="B6" s="6">
        <v>1</v>
      </c>
      <c r="C6" s="5" t="s">
        <v>8</v>
      </c>
      <c r="D6" s="7">
        <v>25000</v>
      </c>
      <c r="E6" s="6" t="s">
        <v>9</v>
      </c>
      <c r="G6" s="21" t="s">
        <v>10</v>
      </c>
      <c r="H6" s="1"/>
      <c r="I6" s="20" t="s">
        <v>11</v>
      </c>
    </row>
    <row r="7" spans="2:9" ht="19.899999999999999" customHeight="1">
      <c r="B7" s="6">
        <v>2</v>
      </c>
      <c r="C7" s="5" t="s">
        <v>12</v>
      </c>
      <c r="D7" s="7">
        <v>12000</v>
      </c>
      <c r="E7" s="6" t="s">
        <v>9</v>
      </c>
      <c r="G7" s="22">
        <v>1</v>
      </c>
      <c r="H7" t="s">
        <v>13</v>
      </c>
      <c r="I7" s="17" cm="1">
        <f t="array" ref="I7">SUMPRODUCT(ISNUMBER(FIND(" andi "," "&amp;C6:C25&amp;" "))*1)</f>
        <v>4</v>
      </c>
    </row>
    <row r="8" spans="2:9" ht="19.899999999999999" customHeight="1">
      <c r="B8" s="6">
        <v>3</v>
      </c>
      <c r="C8" s="5" t="s">
        <v>14</v>
      </c>
      <c r="D8" s="7">
        <v>0</v>
      </c>
      <c r="E8" s="6" t="s">
        <v>15</v>
      </c>
      <c r="F8" s="23"/>
      <c r="G8" s="22">
        <v>2</v>
      </c>
      <c r="H8" t="s">
        <v>16</v>
      </c>
      <c r="I8" s="18" cm="1">
        <f t="array" ref="I8">SUMPRODUCT(ISNUMBER(FIND(" andi "," "&amp;C6:C25&amp;" "))*D6:D25)</f>
        <v>72000</v>
      </c>
    </row>
    <row r="9" spans="2:9" ht="19.899999999999999" customHeight="1">
      <c r="B9" s="6">
        <v>4</v>
      </c>
      <c r="C9" s="5" t="s">
        <v>17</v>
      </c>
      <c r="D9" s="7">
        <v>22500</v>
      </c>
      <c r="E9" s="6" t="s">
        <v>18</v>
      </c>
      <c r="G9" s="22">
        <v>3</v>
      </c>
      <c r="H9" t="s">
        <v>19</v>
      </c>
      <c r="I9" s="18" cm="1">
        <f t="array" ref="I9">SUMPRODUCT(ISNUMBER(FIND(" wandi "," "&amp;C6:C25&amp;" "))*D6:D25)</f>
        <v>30500</v>
      </c>
    </row>
    <row r="10" spans="2:9" ht="19.899999999999999" customHeight="1">
      <c r="B10" s="6">
        <v>5</v>
      </c>
      <c r="C10" s="5" t="s">
        <v>20</v>
      </c>
      <c r="D10" s="7">
        <v>16000</v>
      </c>
      <c r="E10" s="6" t="s">
        <v>21</v>
      </c>
      <c r="G10" s="22">
        <v>4</v>
      </c>
      <c r="H10" t="s">
        <v>22</v>
      </c>
      <c r="I10" s="17">
        <f>COUNTIF(E6:E25,"~*PKA*~")</f>
        <v>3</v>
      </c>
    </row>
    <row r="11" spans="2:9" ht="19.899999999999999" customHeight="1">
      <c r="B11" s="6">
        <v>6</v>
      </c>
      <c r="C11" s="5" t="s">
        <v>23</v>
      </c>
      <c r="D11" s="7">
        <v>20000</v>
      </c>
      <c r="E11" s="6" t="s">
        <v>18</v>
      </c>
      <c r="G11" s="22">
        <v>5</v>
      </c>
      <c r="H11" t="s">
        <v>24</v>
      </c>
      <c r="I11" s="18">
        <f>SUMIF(E6:E25,"~*PKA*~",D6:D25)</f>
        <v>54500</v>
      </c>
    </row>
    <row r="12" spans="2:9" ht="19.899999999999999" customHeight="1">
      <c r="B12" s="6">
        <v>7</v>
      </c>
      <c r="C12" s="5" t="s">
        <v>25</v>
      </c>
      <c r="D12" s="7">
        <v>14500</v>
      </c>
      <c r="E12" s="6" t="s">
        <v>21</v>
      </c>
      <c r="G12" s="22">
        <v>6</v>
      </c>
      <c r="H12" t="s">
        <v>26</v>
      </c>
      <c r="I12" s="19" cm="1">
        <f t="array" ref="I12">SUMPRODUCT(ISNUMBER(FIND(" andi "," "&amp;C6:C25&amp;" "))*(E6:E25="*PKA*")*D6:D25)</f>
        <v>42500</v>
      </c>
    </row>
    <row r="13" spans="2:9" ht="19.899999999999999" customHeight="1">
      <c r="B13" s="6">
        <v>8</v>
      </c>
      <c r="C13" s="5" t="s">
        <v>27</v>
      </c>
      <c r="D13" s="7">
        <v>19000</v>
      </c>
      <c r="E13" s="6" t="s">
        <v>28</v>
      </c>
    </row>
    <row r="14" spans="2:9" ht="19.899999999999999" customHeight="1">
      <c r="B14" s="6">
        <v>9</v>
      </c>
      <c r="C14" s="5" t="s">
        <v>29</v>
      </c>
      <c r="D14" s="7">
        <v>17500</v>
      </c>
      <c r="E14" s="6" t="s">
        <v>9</v>
      </c>
      <c r="H14" s="3" t="s">
        <v>30</v>
      </c>
    </row>
    <row r="15" spans="2:9" ht="19.899999999999999" customHeight="1">
      <c r="B15" s="6">
        <v>10</v>
      </c>
      <c r="C15" s="5" t="s">
        <v>31</v>
      </c>
      <c r="D15" s="7">
        <v>21000</v>
      </c>
      <c r="E15" s="6" t="s">
        <v>15</v>
      </c>
    </row>
    <row r="16" spans="2:9" ht="19.899999999999999" customHeight="1">
      <c r="B16" s="6">
        <v>11</v>
      </c>
      <c r="C16" s="5" t="s">
        <v>32</v>
      </c>
      <c r="D16" s="7">
        <v>13000</v>
      </c>
      <c r="E16" s="6" t="s">
        <v>28</v>
      </c>
      <c r="H16" s="9" t="s">
        <v>33</v>
      </c>
    </row>
    <row r="17" spans="2:8" ht="19.899999999999999" customHeight="1">
      <c r="B17" s="6">
        <v>12</v>
      </c>
      <c r="C17" s="5" t="s">
        <v>34</v>
      </c>
      <c r="D17" s="7">
        <v>15500</v>
      </c>
      <c r="E17" s="6" t="s">
        <v>35</v>
      </c>
      <c r="H17" s="9" t="s">
        <v>36</v>
      </c>
    </row>
    <row r="18" spans="2:8" ht="19.899999999999999" customHeight="1">
      <c r="B18" s="6">
        <v>13</v>
      </c>
      <c r="C18" s="5" t="s">
        <v>37</v>
      </c>
      <c r="D18" s="7">
        <v>24000</v>
      </c>
      <c r="E18" s="6" t="s">
        <v>38</v>
      </c>
    </row>
    <row r="19" spans="2:8" ht="19.899999999999999" customHeight="1">
      <c r="B19" s="6">
        <v>14</v>
      </c>
      <c r="C19" s="5" t="s">
        <v>39</v>
      </c>
      <c r="D19" s="7">
        <v>11000</v>
      </c>
      <c r="E19" s="6" t="s">
        <v>40</v>
      </c>
    </row>
    <row r="20" spans="2:8" ht="19.899999999999999" customHeight="1">
      <c r="B20" s="6">
        <v>15</v>
      </c>
      <c r="C20" s="5" t="s">
        <v>41</v>
      </c>
      <c r="D20" s="7">
        <v>23000</v>
      </c>
      <c r="E20" s="6" t="s">
        <v>38</v>
      </c>
    </row>
    <row r="21" spans="2:8" ht="19.899999999999999" customHeight="1">
      <c r="B21" s="6">
        <v>16</v>
      </c>
      <c r="C21" s="5" t="s">
        <v>42</v>
      </c>
      <c r="D21" s="7">
        <v>10000</v>
      </c>
      <c r="E21" s="6" t="s">
        <v>43</v>
      </c>
    </row>
    <row r="22" spans="2:8" ht="19.899999999999999" customHeight="1">
      <c r="B22" s="6">
        <v>17</v>
      </c>
      <c r="C22" s="5" t="s">
        <v>44</v>
      </c>
      <c r="D22" s="7">
        <v>14000</v>
      </c>
      <c r="E22" s="6" t="s">
        <v>15</v>
      </c>
    </row>
    <row r="23" spans="2:8" ht="19.899999999999999" customHeight="1">
      <c r="B23" s="6">
        <v>18</v>
      </c>
      <c r="C23" s="5" t="s">
        <v>45</v>
      </c>
      <c r="D23" s="7">
        <v>16500</v>
      </c>
      <c r="E23" s="6" t="s">
        <v>46</v>
      </c>
    </row>
    <row r="24" spans="2:8" ht="19.899999999999999" customHeight="1">
      <c r="B24" s="6">
        <v>19</v>
      </c>
      <c r="C24" s="5" t="s">
        <v>47</v>
      </c>
      <c r="D24" s="7">
        <v>17500</v>
      </c>
      <c r="E24" s="6" t="s">
        <v>21</v>
      </c>
      <c r="H24" s="8" t="s">
        <v>48</v>
      </c>
    </row>
    <row r="25" spans="2:8" ht="19.899999999999999" customHeight="1" thickBot="1">
      <c r="B25" s="14">
        <v>20</v>
      </c>
      <c r="C25" s="15" t="s">
        <v>49</v>
      </c>
      <c r="D25" s="16">
        <v>20000</v>
      </c>
      <c r="E25" s="14" t="s">
        <v>50</v>
      </c>
    </row>
    <row r="26" spans="2:8" ht="15" thickTop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A232-1939-4EC1-BB37-3F3D793D98F6}">
  <sheetPr codeName="Sheet2"/>
  <dimension ref="A1:W10"/>
  <sheetViews>
    <sheetView workbookViewId="0">
      <selection activeCell="G23" sqref="G23"/>
    </sheetView>
  </sheetViews>
  <sheetFormatPr defaultRowHeight="14.45"/>
  <cols>
    <col min="4" max="4" width="11.28515625" customWidth="1"/>
    <col min="7" max="7" width="12.28515625" customWidth="1"/>
    <col min="10" max="10" width="10.85546875" customWidth="1"/>
    <col min="11" max="11" width="10.28515625" customWidth="1"/>
    <col min="13" max="13" width="12.7109375" customWidth="1"/>
    <col min="21" max="21" width="65.42578125" customWidth="1"/>
  </cols>
  <sheetData>
    <row r="1" spans="1:23">
      <c r="A1" s="2" t="s">
        <v>51</v>
      </c>
      <c r="C1" t="s">
        <v>4</v>
      </c>
      <c r="G1" t="s">
        <v>52</v>
      </c>
      <c r="H1" t="b">
        <v>1</v>
      </c>
      <c r="I1" t="b">
        <v>0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</row>
    <row r="2" spans="1:23">
      <c r="A2" t="s">
        <v>60</v>
      </c>
      <c r="C2">
        <v>1</v>
      </c>
      <c r="D2">
        <f>'XL-Test'!I7</f>
        <v>4</v>
      </c>
      <c r="E2">
        <f>D2*10000</f>
        <v>40000</v>
      </c>
      <c r="F2" t="str">
        <f>IFERROR(DEC2HEX(IF(OR(D2=0,D2=""),G2,E2)),"EEEE")</f>
        <v>9C40</v>
      </c>
      <c r="G2">
        <v>36190</v>
      </c>
      <c r="H2" t="str">
        <f>LEFT(DEC2HEX(G2),2)</f>
        <v>8D</v>
      </c>
      <c r="I2" t="str">
        <f>RIGHT(DEC2HEX(G2),2)</f>
        <v>5E</v>
      </c>
      <c r="J2" t="b">
        <f ca="1">AND(ISNUMBER(FIND("=",U2)),ISNUMBER(FIND("=",U2)))</f>
        <v>1</v>
      </c>
      <c r="K2" t="b">
        <f ca="1">ISNUMBER(FIND(":C",U2))</f>
        <v>1</v>
      </c>
      <c r="L2">
        <f ca="1">AND(J2,K2)+0</f>
        <v>1</v>
      </c>
      <c r="M2" t="b">
        <f ca="1">OR(AND(ISNUMBER(FIND("SUM",U2)),OR(ISNUMBER(FIND("FIND",U2)),ISNUMBER(FIND("SEAR",U2)))),AND(ISNUMBER(FIND("REG",U2)),ISNUMBER(FIND("SUM",U2))))</f>
        <v>1</v>
      </c>
      <c r="N2">
        <f ca="1">IFERROR(LEN(U2)-LEN(SUBSTITUTE(U2,"(","")),99)</f>
        <v>3</v>
      </c>
      <c r="O2">
        <v>3</v>
      </c>
      <c r="P2">
        <f ca="1">(N2&lt;=O2)+0</f>
        <v>1</v>
      </c>
      <c r="Q2" t="str">
        <f ca="1">IF(M2,H2,I2)&amp;P2</f>
        <v>8D1</v>
      </c>
      <c r="R2" t="str">
        <f ca="1">F2&amp;L2</f>
        <v>9C401</v>
      </c>
      <c r="S2" t="str">
        <f ca="1">Q2&amp;"-"&amp;R2&amp;";"</f>
        <v>8D1-9C401;</v>
      </c>
      <c r="U2" t="str">
        <f ca="1">SUBSTITUTE(W2,"$","")</f>
        <v>=SUMPRODUCT(ISNUMBER(FIND(" andi ";" "&amp;C6:C25&amp;" "))*1)</v>
      </c>
      <c r="V2">
        <v>1</v>
      </c>
      <c r="W2" t="str">
        <f ca="1">_xlfn.FORMULATEXT('XL-Test'!I7)</f>
        <v>=SUMPRODUCT(ISNUMBER(FIND(" andi ";" "&amp;C6:C25&amp;" "))*1)</v>
      </c>
    </row>
    <row r="3" spans="1:23">
      <c r="A3" t="str">
        <f>A2&amp;"|"</f>
        <v>HE1|</v>
      </c>
      <c r="C3">
        <v>2</v>
      </c>
      <c r="D3">
        <f>'XL-Test'!I8</f>
        <v>72000</v>
      </c>
      <c r="E3">
        <f>D3/10</f>
        <v>7200</v>
      </c>
      <c r="F3" t="str">
        <f t="shared" ref="F3:F7" si="0">IFERROR(DEC2HEX(IF(OR(D3=0,D3=""),G3,E3)),"EEEE")</f>
        <v>1C20</v>
      </c>
      <c r="G3">
        <v>52489</v>
      </c>
      <c r="H3" t="str">
        <f t="shared" ref="H3:H7" si="1">LEFT(DEC2HEX(G3),2)</f>
        <v>CD</v>
      </c>
      <c r="I3" t="str">
        <f t="shared" ref="I3:I7" si="2">RIGHT(DEC2HEX(G3),2)</f>
        <v>09</v>
      </c>
      <c r="J3" t="b">
        <f t="shared" ref="J3:J7" ca="1" si="3">AND(ISNUMBER(FIND("=",U3)),ISNUMBER(FIND("=",U3)))</f>
        <v>1</v>
      </c>
      <c r="K3" t="b">
        <f t="shared" ref="K3:K7" ca="1" si="4">ISNUMBER(FIND(":C",U3))</f>
        <v>1</v>
      </c>
      <c r="L3">
        <f t="shared" ref="L3:L7" ca="1" si="5">AND(J3,K3)+0</f>
        <v>1</v>
      </c>
      <c r="M3" t="b">
        <f t="shared" ref="M3:M7" ca="1" si="6">OR(AND(ISNUMBER(FIND("SUM",U3)),OR(ISNUMBER(FIND("FIND",U3)),ISNUMBER(FIND("SEAR",U3)))),AND(ISNUMBER(FIND("REG",U3)),ISNUMBER(FIND("SUM",U3))))</f>
        <v>1</v>
      </c>
      <c r="N3">
        <f t="shared" ref="N3:N7" ca="1" si="7">IFERROR(LEN(U3)-LEN(SUBSTITUTE(U3,"(","")),99)</f>
        <v>3</v>
      </c>
      <c r="O3">
        <v>3</v>
      </c>
      <c r="P3">
        <f t="shared" ref="P3:P7" ca="1" si="8">(N3&lt;=O3)+0</f>
        <v>1</v>
      </c>
      <c r="Q3" t="str">
        <f t="shared" ref="Q3:Q7" ca="1" si="9">IF(M3,H3,I3)&amp;P3</f>
        <v>CD1</v>
      </c>
      <c r="R3" t="str">
        <f t="shared" ref="R3:R7" ca="1" si="10">F3&amp;L3</f>
        <v>1C201</v>
      </c>
      <c r="S3" t="str">
        <f t="shared" ref="S3:S6" ca="1" si="11">Q3&amp;"-"&amp;R3&amp;";"</f>
        <v>CD1-1C201;</v>
      </c>
      <c r="U3" t="str">
        <f t="shared" ref="U3:U7" ca="1" si="12">SUBSTITUTE(W3,"$","")</f>
        <v>=SUMPRODUCT(ISNUMBER(FIND(" andi ";" "&amp;C6:C25&amp;" "))*D6:D25)</v>
      </c>
      <c r="V3">
        <v>2</v>
      </c>
      <c r="W3" t="str">
        <f ca="1">_xlfn.FORMULATEXT('XL-Test'!I8)</f>
        <v>=SUMPRODUCT(ISNUMBER(FIND(" andi ";" "&amp;C6:C25&amp;" "))*D6:D25)</v>
      </c>
    </row>
    <row r="4" spans="1:23">
      <c r="C4">
        <v>3</v>
      </c>
      <c r="D4">
        <f>'XL-Test'!I9</f>
        <v>30500</v>
      </c>
      <c r="E4">
        <f>D4</f>
        <v>30500</v>
      </c>
      <c r="F4" t="str">
        <f t="shared" si="0"/>
        <v>7724</v>
      </c>
      <c r="G4">
        <v>29240</v>
      </c>
      <c r="H4" t="str">
        <f t="shared" si="1"/>
        <v>72</v>
      </c>
      <c r="I4" t="str">
        <f t="shared" si="2"/>
        <v>38</v>
      </c>
      <c r="J4" t="b">
        <f t="shared" ca="1" si="3"/>
        <v>1</v>
      </c>
      <c r="K4" t="b">
        <f t="shared" ca="1" si="4"/>
        <v>1</v>
      </c>
      <c r="L4">
        <f t="shared" ca="1" si="5"/>
        <v>1</v>
      </c>
      <c r="M4" t="b">
        <f t="shared" ca="1" si="6"/>
        <v>1</v>
      </c>
      <c r="N4">
        <f t="shared" ca="1" si="7"/>
        <v>3</v>
      </c>
      <c r="O4">
        <v>3</v>
      </c>
      <c r="P4">
        <f t="shared" ca="1" si="8"/>
        <v>1</v>
      </c>
      <c r="Q4" t="str">
        <f t="shared" ca="1" si="9"/>
        <v>721</v>
      </c>
      <c r="R4" t="str">
        <f t="shared" ca="1" si="10"/>
        <v>77241</v>
      </c>
      <c r="S4" t="str">
        <f t="shared" ca="1" si="11"/>
        <v>721-77241;</v>
      </c>
      <c r="U4" t="str">
        <f t="shared" ca="1" si="12"/>
        <v>=SUMPRODUCT(ISNUMBER(FIND(" wandi ";" "&amp;C6:C25&amp;" "))*D6:D25)</v>
      </c>
      <c r="V4">
        <v>3</v>
      </c>
      <c r="W4" t="str">
        <f ca="1">_xlfn.FORMULATEXT('XL-Test'!I9)</f>
        <v>=SUMPRODUCT(ISNUMBER(FIND(" wandi ";" "&amp;C6:C25&amp;" "))*D6:D25)</v>
      </c>
    </row>
    <row r="5" spans="1:23">
      <c r="C5">
        <v>4</v>
      </c>
      <c r="D5">
        <f>'XL-Test'!I10</f>
        <v>3</v>
      </c>
      <c r="E5">
        <f>D5*10000</f>
        <v>30000</v>
      </c>
      <c r="F5" t="str">
        <f t="shared" si="0"/>
        <v>7530</v>
      </c>
      <c r="G5">
        <v>53216</v>
      </c>
      <c r="H5" t="str">
        <f t="shared" si="1"/>
        <v>CF</v>
      </c>
      <c r="I5" t="str">
        <f t="shared" si="2"/>
        <v>E0</v>
      </c>
      <c r="J5" t="b">
        <f t="shared" ca="1" si="3"/>
        <v>1</v>
      </c>
      <c r="K5" t="b">
        <f ca="1">ISNUMBER(FIND(":E",U5))</f>
        <v>1</v>
      </c>
      <c r="L5">
        <f t="shared" ca="1" si="5"/>
        <v>1</v>
      </c>
      <c r="M5" t="b">
        <f ca="1">AND(ISNUMBER(FIND("UNTI",U5)),ISNUMBER(FIND("~",U5)))</f>
        <v>1</v>
      </c>
      <c r="N5">
        <f t="shared" ca="1" si="7"/>
        <v>1</v>
      </c>
      <c r="O5">
        <v>1</v>
      </c>
      <c r="P5">
        <f t="shared" ca="1" si="8"/>
        <v>1</v>
      </c>
      <c r="Q5" t="str">
        <f t="shared" ca="1" si="9"/>
        <v>CF1</v>
      </c>
      <c r="R5" t="str">
        <f t="shared" ca="1" si="10"/>
        <v>75301</v>
      </c>
      <c r="S5" t="str">
        <f t="shared" ca="1" si="11"/>
        <v>CF1-75301;</v>
      </c>
      <c r="U5" t="str">
        <f t="shared" ca="1" si="12"/>
        <v>=COUNTIF(E6:E25;"~*PKA*~")</v>
      </c>
      <c r="V5">
        <v>4</v>
      </c>
      <c r="W5" t="str">
        <f ca="1">_xlfn.FORMULATEXT('XL-Test'!I10)</f>
        <v>=COUNTIF(E6:E25;"~*PKA*~")</v>
      </c>
    </row>
    <row r="6" spans="1:23">
      <c r="C6">
        <v>5</v>
      </c>
      <c r="D6">
        <f>'XL-Test'!I11</f>
        <v>54500</v>
      </c>
      <c r="E6">
        <f>D6</f>
        <v>54500</v>
      </c>
      <c r="F6" t="str">
        <f t="shared" si="0"/>
        <v>D4E4</v>
      </c>
      <c r="G6">
        <v>39274</v>
      </c>
      <c r="H6" t="str">
        <f t="shared" si="1"/>
        <v>99</v>
      </c>
      <c r="I6" t="str">
        <f t="shared" si="2"/>
        <v>6A</v>
      </c>
      <c r="J6" t="b">
        <f t="shared" ca="1" si="3"/>
        <v>1</v>
      </c>
      <c r="K6" t="b">
        <f ca="1">ISNUMBER(FIND(":E",U6))</f>
        <v>1</v>
      </c>
      <c r="L6">
        <f t="shared" ca="1" si="5"/>
        <v>1</v>
      </c>
      <c r="M6" t="b">
        <f ca="1">AND(ISNUMBER(FIND("UMI",U6)),ISNUMBER(FIND("~",U6)))</f>
        <v>1</v>
      </c>
      <c r="N6">
        <f t="shared" ca="1" si="7"/>
        <v>1</v>
      </c>
      <c r="O6">
        <v>1</v>
      </c>
      <c r="P6">
        <f t="shared" ca="1" si="8"/>
        <v>1</v>
      </c>
      <c r="Q6" t="str">
        <f t="shared" ca="1" si="9"/>
        <v>991</v>
      </c>
      <c r="R6" t="str">
        <f t="shared" ca="1" si="10"/>
        <v>D4E41</v>
      </c>
      <c r="S6" t="str">
        <f t="shared" ca="1" si="11"/>
        <v>991-D4E41;</v>
      </c>
      <c r="U6" t="str">
        <f t="shared" ca="1" si="12"/>
        <v>=SUMIF(E6:E25;"~*PKA*~";D6:D25)</v>
      </c>
      <c r="V6">
        <v>5</v>
      </c>
      <c r="W6" t="str">
        <f ca="1">_xlfn.FORMULATEXT('XL-Test'!I11)</f>
        <v>=SUMIF(E6:E25;"~*PKA*~";D6:D25)</v>
      </c>
    </row>
    <row r="7" spans="1:23">
      <c r="C7">
        <v>6</v>
      </c>
      <c r="D7">
        <f>'XL-Test'!I12</f>
        <v>42500</v>
      </c>
      <c r="E7">
        <f>D7</f>
        <v>42500</v>
      </c>
      <c r="F7" t="str">
        <f t="shared" si="0"/>
        <v>A604</v>
      </c>
      <c r="G7">
        <v>86436</v>
      </c>
      <c r="H7" t="str">
        <f t="shared" si="1"/>
        <v>15</v>
      </c>
      <c r="I7" t="str">
        <f t="shared" si="2"/>
        <v>A4</v>
      </c>
      <c r="J7" t="b">
        <f t="shared" ca="1" si="3"/>
        <v>1</v>
      </c>
      <c r="K7" t="b">
        <f t="shared" ca="1" si="4"/>
        <v>1</v>
      </c>
      <c r="L7">
        <f t="shared" ca="1" si="5"/>
        <v>1</v>
      </c>
      <c r="M7" t="b">
        <f t="shared" ca="1" si="6"/>
        <v>1</v>
      </c>
      <c r="N7">
        <f t="shared" ca="1" si="7"/>
        <v>4</v>
      </c>
      <c r="O7">
        <v>4</v>
      </c>
      <c r="P7">
        <f t="shared" ca="1" si="8"/>
        <v>1</v>
      </c>
      <c r="Q7" t="str">
        <f t="shared" ca="1" si="9"/>
        <v>151</v>
      </c>
      <c r="R7" t="str">
        <f t="shared" ca="1" si="10"/>
        <v>A6041</v>
      </c>
      <c r="S7" t="str">
        <f ca="1">Q7&amp;"-"&amp;R7</f>
        <v>151-A6041</v>
      </c>
      <c r="U7" t="str">
        <f t="shared" ca="1" si="12"/>
        <v>=SUMPRODUCT(ISNUMBER(FIND(" andi ";" "&amp;C6:C25&amp;" "))*(E6:E25="*PKA*")*D6:D25)</v>
      </c>
      <c r="V7">
        <v>6</v>
      </c>
      <c r="W7" t="str">
        <f ca="1">_xlfn.FORMULATEXT('XL-Test'!I12)</f>
        <v>=SUMPRODUCT(ISNUMBER(FIND(" andi ";" "&amp;C6:C25&amp;" "))*(E6:E25="*PKA*")*D6:D25)</v>
      </c>
    </row>
    <row r="10" spans="1:23">
      <c r="D10" t="str">
        <f ca="1">A3&amp;S2&amp;S3&amp;S4&amp;S5&amp;S6&amp;S7</f>
        <v>HE1|8D1-9C401;CD1-1C201;721-77241;CF1-75301;991-D4E41;151-A6041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2025-05-22T07:48:33Z</dcterms:created>
  <dcterms:modified xsi:type="dcterms:W3CDTF">2026-06-12T18:54:23Z</dcterms:modified>
  <cp:category/>
  <cp:contentStatus/>
</cp:coreProperties>
</file>