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04b3130b3dd6cff9/VBA REPO/File BelajarExcel.id/Soal/"/>
    </mc:Choice>
  </mc:AlternateContent>
  <xr:revisionPtr revIDLastSave="458" documentId="8_{1E996B77-72D6-4D87-9332-2F9EE1B0ABD6}" xr6:coauthVersionLast="47" xr6:coauthVersionMax="47" xr10:uidLastSave="{5D5DFAC6-6A51-4705-BCB3-29AF4F6C81EC}"/>
  <workbookProtection workbookAlgorithmName="SHA-512" workbookHashValue="Dc56iDwWs4jx1BKSSxK+I2t6G9TNZD8cPFp4tFwejoTuWF0fPMLmuQ/21eBBr+7w+vSnZAQa8/FAczX0ko2Fow==" workbookSaltValue="nNnzif4oYna95KPymCQ7Zg==" workbookSpinCount="100000" lockStructure="1"/>
  <bookViews>
    <workbookView xWindow="28692" yWindow="-108" windowWidth="29016" windowHeight="15696" xr2:uid="{3A3EC9F6-B5A1-4A38-ACB1-83685DA54427}"/>
  </bookViews>
  <sheets>
    <sheet name="XL-Test" sheetId="1" r:id="rId1"/>
    <sheet name="About" sheetId="3" r:id="rId2"/>
    <sheet name="DF" sheetId="2" state="veryHidden" r:id="rId3"/>
  </sheets>
  <externalReferences>
    <externalReference r:id="rId4"/>
  </externalReferences>
  <definedNames>
    <definedName name="kode_jawaban" localSheetId="1">[1]DF!$D$37</definedName>
    <definedName name="kode_jawaban">DF!$C$31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" i="1" l="1"/>
  <c r="H27" i="1"/>
  <c r="H28" i="1"/>
  <c r="H29" i="1"/>
  <c r="H30" i="1"/>
  <c r="H31" i="1"/>
  <c r="H32" i="1"/>
  <c r="H33" i="1"/>
  <c r="H34" i="1"/>
  <c r="H25" i="1"/>
  <c r="G26" i="1" a="1"/>
  <c r="G26" i="1"/>
  <c r="G27" i="1" a="1"/>
  <c r="G27" i="1"/>
  <c r="G28" i="1" a="1"/>
  <c r="G28" i="1"/>
  <c r="G29" i="1" a="1"/>
  <c r="G29" i="1"/>
  <c r="G30" i="1" a="1"/>
  <c r="G30" i="1"/>
  <c r="G31" i="1" a="1"/>
  <c r="G31" i="1"/>
  <c r="G32" i="1" a="1"/>
  <c r="G32" i="1"/>
  <c r="G33" i="1" a="1"/>
  <c r="G33" i="1"/>
  <c r="G34" i="1" a="1"/>
  <c r="G34" i="1"/>
  <c r="G25" i="1" a="1"/>
  <c r="G25" i="1"/>
  <c r="F26" i="1" a="1"/>
  <c r="F26" i="1"/>
  <c r="F27" i="1" a="1"/>
  <c r="F27" i="1"/>
  <c r="F28" i="1" a="1"/>
  <c r="F28" i="1"/>
  <c r="F29" i="1" a="1"/>
  <c r="F29" i="1"/>
  <c r="F30" i="1" a="1"/>
  <c r="F30" i="1"/>
  <c r="F31" i="1" a="1"/>
  <c r="F31" i="1"/>
  <c r="F32" i="1" a="1"/>
  <c r="F32" i="1"/>
  <c r="F33" i="1" a="1"/>
  <c r="F33" i="1"/>
  <c r="F34" i="1" a="1"/>
  <c r="F34" i="1"/>
  <c r="F25" i="1" a="1"/>
  <c r="F25" i="1"/>
  <c r="D26" i="1"/>
  <c r="D27" i="1"/>
  <c r="D28" i="1"/>
  <c r="D29" i="1"/>
  <c r="D30" i="1"/>
  <c r="D31" i="1"/>
  <c r="D32" i="1"/>
  <c r="D33" i="1"/>
  <c r="D34" i="1"/>
  <c r="D25" i="1"/>
  <c r="F34" i="2"/>
  <c r="F35" i="2"/>
  <c r="F36" i="2"/>
  <c r="F37" i="2"/>
  <c r="F38" i="2"/>
  <c r="F39" i="2"/>
  <c r="F40" i="2"/>
  <c r="F41" i="2"/>
  <c r="F42" i="2"/>
  <c r="F43" i="2"/>
  <c r="F19" i="2"/>
  <c r="F20" i="2"/>
  <c r="V2" i="2"/>
  <c r="F26" i="2" s="1"/>
  <c r="F29" i="2" s="1"/>
  <c r="S5" i="2"/>
  <c r="F24" i="2" s="1"/>
  <c r="F2" i="2"/>
  <c r="F3" i="2"/>
  <c r="F4" i="2"/>
  <c r="F5" i="2"/>
  <c r="F6" i="2"/>
  <c r="F7" i="2"/>
  <c r="F8" i="2"/>
  <c r="F9" i="2"/>
  <c r="F10" i="2"/>
  <c r="F11" i="2"/>
  <c r="E35" i="2"/>
  <c r="E36" i="2"/>
  <c r="E37" i="2"/>
  <c r="E38" i="2"/>
  <c r="E39" i="2"/>
  <c r="E40" i="2"/>
  <c r="E41" i="2"/>
  <c r="E42" i="2"/>
  <c r="E43" i="2"/>
  <c r="E34" i="2"/>
  <c r="D34" i="2"/>
  <c r="D35" i="2"/>
  <c r="D36" i="2"/>
  <c r="D37" i="2"/>
  <c r="D38" i="2"/>
  <c r="D39" i="2"/>
  <c r="D40" i="2"/>
  <c r="D41" i="2"/>
  <c r="D42" i="2"/>
  <c r="D43" i="2"/>
  <c r="C35" i="2"/>
  <c r="C36" i="2"/>
  <c r="C37" i="2"/>
  <c r="C38" i="2"/>
  <c r="C39" i="2"/>
  <c r="C40" i="2"/>
  <c r="C41" i="2"/>
  <c r="C42" i="2"/>
  <c r="C43" i="2"/>
  <c r="C34" i="2"/>
  <c r="E20" i="2"/>
  <c r="D20" i="2"/>
  <c r="C20" i="2"/>
  <c r="E19" i="2"/>
  <c r="D19" i="2"/>
  <c r="C19" i="2"/>
  <c r="U2" i="2"/>
  <c r="E26" i="2" s="1"/>
  <c r="E29" i="2" s="1"/>
  <c r="T2" i="2"/>
  <c r="D26" i="2" s="1"/>
  <c r="D29" i="2" s="1"/>
  <c r="C3" i="2"/>
  <c r="C4" i="2"/>
  <c r="C5" i="2"/>
  <c r="C6" i="2"/>
  <c r="C7" i="2"/>
  <c r="C8" i="2"/>
  <c r="C9" i="2"/>
  <c r="C10" i="2"/>
  <c r="C11" i="2"/>
  <c r="C2" i="2"/>
  <c r="S4" i="2"/>
  <c r="S3" i="2"/>
  <c r="S2" i="2"/>
  <c r="F13" i="2" l="1"/>
  <c r="F25" i="2"/>
  <c r="F48" i="2"/>
  <c r="F45" i="2"/>
  <c r="F46" i="2" s="1"/>
  <c r="E22" i="2"/>
  <c r="E24" i="2"/>
  <c r="E25" i="2" s="1"/>
  <c r="F22" i="2"/>
  <c r="C13" i="2"/>
  <c r="D3" i="2"/>
  <c r="E3" i="2"/>
  <c r="E4" i="2"/>
  <c r="E48" i="2" s="1"/>
  <c r="D4" i="2"/>
  <c r="D48" i="2" s="1"/>
  <c r="E5" i="2"/>
  <c r="D5" i="2"/>
  <c r="D6" i="2"/>
  <c r="E6" i="2"/>
  <c r="D7" i="2"/>
  <c r="E7" i="2"/>
  <c r="D8" i="2"/>
  <c r="E8" i="2"/>
  <c r="D9" i="2"/>
  <c r="E9" i="2"/>
  <c r="D10" i="2"/>
  <c r="E10" i="2"/>
  <c r="D11" i="2"/>
  <c r="E11" i="2"/>
  <c r="D2" i="2"/>
  <c r="E2" i="2"/>
  <c r="D24" i="2"/>
  <c r="D25" i="2" s="1"/>
  <c r="D22" i="2"/>
  <c r="C26" i="2"/>
  <c r="C29" i="2" s="1"/>
  <c r="C22" i="2"/>
  <c r="E45" i="2"/>
  <c r="E46" i="2" s="1"/>
  <c r="D45" i="2"/>
  <c r="D46" i="2" s="1"/>
  <c r="C45" i="2"/>
  <c r="C46" i="2" s="1"/>
  <c r="C48" i="2"/>
  <c r="C24" i="2"/>
  <c r="F50" i="2" l="1"/>
  <c r="F14" i="2"/>
  <c r="F30" i="2" s="1"/>
  <c r="D13" i="2"/>
  <c r="E13" i="2"/>
  <c r="C25" i="2"/>
  <c r="E50" i="2"/>
  <c r="D50" i="2"/>
  <c r="C50" i="2"/>
  <c r="C14" i="2" s="1"/>
  <c r="C30" i="2" l="1"/>
  <c r="E14" i="2"/>
  <c r="E30" i="2" s="1"/>
  <c r="D14" i="2"/>
  <c r="D30" i="2" s="1"/>
  <c r="C31" i="2" l="1"/>
  <c r="G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<sst xmlns="http://schemas.openxmlformats.org/spreadsheetml/2006/main" count="116" uniqueCount="95">
  <si>
    <r>
      <t xml:space="preserve">Hard Level  </t>
    </r>
    <r>
      <rPr>
        <sz val="9"/>
        <color rgb="FFFFC000"/>
        <rFont val="Calibri"/>
        <family val="2"/>
        <scheme val="minor"/>
      </rPr>
      <t>(⭐⭐⭐)</t>
    </r>
  </si>
  <si>
    <t>KODE SOAL</t>
  </si>
  <si>
    <t>SBEH002</t>
  </si>
  <si>
    <t>KODE JAWABAN</t>
  </si>
  <si>
    <t>Table Harga</t>
  </si>
  <si>
    <t>No</t>
  </si>
  <si>
    <t>ID Barang</t>
  </si>
  <si>
    <t>Nama Barang</t>
  </si>
  <si>
    <t>QTY 1 Min</t>
  </si>
  <si>
    <t>QTY 2 Min</t>
  </si>
  <si>
    <t>QTY 3 Min</t>
  </si>
  <si>
    <t>Harga 1</t>
  </si>
  <si>
    <t>Harga 2</t>
  </si>
  <si>
    <t>Harga 3</t>
  </si>
  <si>
    <t>Diskon 1</t>
  </si>
  <si>
    <t>Diskon 2</t>
  </si>
  <si>
    <t>Diskon 3</t>
  </si>
  <si>
    <t>ID0001</t>
  </si>
  <si>
    <t>Apel</t>
  </si>
  <si>
    <t>ID0002</t>
  </si>
  <si>
    <t>Semangka</t>
  </si>
  <si>
    <t>ID0003</t>
  </si>
  <si>
    <t>Jeruk</t>
  </si>
  <si>
    <t>ID0004</t>
  </si>
  <si>
    <t>Durian</t>
  </si>
  <si>
    <t>ID0005</t>
  </si>
  <si>
    <t>Dukuh</t>
  </si>
  <si>
    <t>ID0006</t>
  </si>
  <si>
    <t>Rambutan</t>
  </si>
  <si>
    <t>ID0007</t>
  </si>
  <si>
    <t>Manggis</t>
  </si>
  <si>
    <t>ID0008</t>
  </si>
  <si>
    <t>Mangga</t>
  </si>
  <si>
    <t>ID0009</t>
  </si>
  <si>
    <t>Jambu</t>
  </si>
  <si>
    <t>ID0010</t>
  </si>
  <si>
    <t>Wrotel</t>
  </si>
  <si>
    <t>ID0011</t>
  </si>
  <si>
    <t>Tomat</t>
  </si>
  <si>
    <t>ID0012</t>
  </si>
  <si>
    <t>Bayam</t>
  </si>
  <si>
    <t>ID0013</t>
  </si>
  <si>
    <t>Sirsak</t>
  </si>
  <si>
    <t>ID0014</t>
  </si>
  <si>
    <t>Pisang</t>
  </si>
  <si>
    <t>ID0015</t>
  </si>
  <si>
    <t>Kelapa</t>
  </si>
  <si>
    <t>Table Transaksi</t>
  </si>
  <si>
    <r>
      <t xml:space="preserve">Nama Barang (Tx) </t>
    </r>
    <r>
      <rPr>
        <b/>
        <vertAlign val="superscript"/>
        <sz val="11"/>
        <color theme="5"/>
        <rFont val="Calibri"/>
        <family val="2"/>
        <scheme val="minor"/>
      </rPr>
      <t>1</t>
    </r>
  </si>
  <si>
    <t>QTY Penjualan</t>
  </si>
  <si>
    <r>
      <t xml:space="preserve">Harga (Rp) </t>
    </r>
    <r>
      <rPr>
        <b/>
        <vertAlign val="superscript"/>
        <sz val="11"/>
        <color theme="5"/>
        <rFont val="Calibri"/>
        <family val="2"/>
        <scheme val="minor"/>
      </rPr>
      <t>2</t>
    </r>
  </si>
  <si>
    <r>
      <t xml:space="preserve">Diskon (Rp) </t>
    </r>
    <r>
      <rPr>
        <b/>
        <vertAlign val="superscript"/>
        <sz val="11"/>
        <color theme="5"/>
        <rFont val="Calibri"/>
        <family val="2"/>
        <scheme val="minor"/>
      </rPr>
      <t>3</t>
    </r>
  </si>
  <si>
    <r>
      <t xml:space="preserve">Total Harga (Rp) </t>
    </r>
    <r>
      <rPr>
        <b/>
        <vertAlign val="superscript"/>
        <sz val="11"/>
        <color theme="5"/>
        <rFont val="Calibri"/>
        <family val="2"/>
        <scheme val="minor"/>
      </rPr>
      <t>4</t>
    </r>
  </si>
  <si>
    <r>
      <t xml:space="preserve">SOAL : </t>
    </r>
    <r>
      <rPr>
        <i/>
        <sz val="11"/>
        <color rgb="FF0070C0"/>
        <rFont val="Calibri"/>
        <family val="2"/>
        <scheme val="minor"/>
      </rPr>
      <t>Lengkapi Table Transaksi</t>
    </r>
  </si>
  <si>
    <t>*</t>
  </si>
  <si>
    <t>1. Isi Nama Barang Berdasarkan ID Barang pada Table Harga</t>
  </si>
  <si>
    <t>2. Isi Harga Barang Sesuai dengan ketentuan Min QTY pada Table Harga, misalnya jika Apel Pembelian 50 maka Harga yang dipakai adalah Harga 2 (Lihat contoh table dibawah)</t>
  </si>
  <si>
    <t>3. Isi Harga Barang Diskon Sesuai dengan ketentuan Table Harga, (Ketentuan sama seperti soal 2, diskon mengikuti minimal pembelian)</t>
  </si>
  <si>
    <t>4. Isi Total Harga dari Harga dikurangi diskon dikali dengan jumlah QTY Penjualan</t>
  </si>
  <si>
    <t>1-33</t>
  </si>
  <si>
    <t>44-101</t>
  </si>
  <si>
    <t>102-&gt;</t>
  </si>
  <si>
    <t>* Selesaikan dengan menggunakan Formula atau Rumus Excel</t>
  </si>
  <si>
    <t>** Selsaikan tanpa menambahkan atau menggunakan kolom bantuan atau Table bantu.</t>
  </si>
  <si>
    <t>Sudah selesai mengerjakan?</t>
  </si>
  <si>
    <r>
      <t xml:space="preserve">Cek hasil pengerjakan dengan mengirimkan </t>
    </r>
    <r>
      <rPr>
        <b/>
        <i/>
        <sz val="11"/>
        <color rgb="FF0070C0"/>
        <rFont val="Calibri"/>
        <family val="2"/>
        <scheme val="minor"/>
      </rPr>
      <t>Kode Soal</t>
    </r>
    <r>
      <rPr>
        <i/>
        <sz val="11"/>
        <color rgb="FF0070C0"/>
        <rFont val="Calibri"/>
        <family val="2"/>
        <scheme val="minor"/>
      </rPr>
      <t xml:space="preserve"> dan </t>
    </r>
    <r>
      <rPr>
        <b/>
        <i/>
        <sz val="11"/>
        <color rgb="FF0070C0"/>
        <rFont val="Calibri"/>
        <family val="2"/>
        <scheme val="minor"/>
      </rPr>
      <t>Kode Jawaban</t>
    </r>
    <r>
      <rPr>
        <i/>
        <sz val="11"/>
        <color rgb="FF0070C0"/>
        <rFont val="Calibri"/>
        <family val="2"/>
        <scheme val="minor"/>
      </rPr>
      <t xml:space="preserve"> diatas ke alamat :  </t>
    </r>
    <r>
      <rPr>
        <b/>
        <i/>
        <u/>
        <sz val="11"/>
        <color rgb="FF0070C0"/>
        <rFont val="Calibri"/>
        <family val="2"/>
        <scheme val="minor"/>
      </rPr>
      <t>https://belajarexcel.id/xl-test/jawaban</t>
    </r>
    <r>
      <rPr>
        <i/>
        <sz val="11"/>
        <color rgb="FF0070C0"/>
        <rFont val="Calibri"/>
        <family val="2"/>
        <scheme val="minor"/>
      </rPr>
      <t xml:space="preserve">  untuk mengecek hasil benar/salah</t>
    </r>
  </si>
  <si>
    <t>XL-TEST adalah platform inovatif yang menyediakan latihan Excel interaktif dengan pemeriksaan otomatis,</t>
  </si>
  <si>
    <t>sehingga pengguna dapat langsung mengetahui jawaban yang benar maupun salah.</t>
  </si>
  <si>
    <t>Terdapat 5 Level soal :</t>
  </si>
  <si>
    <t xml:space="preserve">Easy Level  </t>
  </si>
  <si>
    <t>(⭐)</t>
  </si>
  <si>
    <t xml:space="preserve">Medium Level        </t>
  </si>
  <si>
    <t>(⭐⭐)</t>
  </si>
  <si>
    <t xml:space="preserve">Hard Level </t>
  </si>
  <si>
    <t>(⭐⭐⭐)</t>
  </si>
  <si>
    <t xml:space="preserve">Extreme Level </t>
  </si>
  <si>
    <t>(⭐⭐⭐⭐)</t>
  </si>
  <si>
    <t xml:space="preserve">Championship Level </t>
  </si>
  <si>
    <t>(⭐⭐⭐⭐⭐)</t>
  </si>
  <si>
    <t>Free Access</t>
  </si>
  <si>
    <t>https://belajarexcel.id/xl-test/</t>
  </si>
  <si>
    <t>DEF</t>
  </si>
  <si>
    <t>HB1</t>
  </si>
  <si>
    <t>**</t>
  </si>
  <si>
    <t>Value</t>
  </si>
  <si>
    <t>Value F</t>
  </si>
  <si>
    <t>rand</t>
  </si>
  <si>
    <t>Cek Manual</t>
  </si>
  <si>
    <t>Cek Formula</t>
  </si>
  <si>
    <t>cek banyak</t>
  </si>
  <si>
    <t>XX</t>
  </si>
  <si>
    <t>Cek Kurung</t>
  </si>
  <si>
    <t>Manual</t>
  </si>
  <si>
    <t>Array</t>
  </si>
  <si>
    <t>Hasil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</si>
</sst>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-[$Rp-3809]* #,##0.00_-;\-[$Rp-3809]* #,##0.00_-;_-[$Rp-3809]* &quot;-&quot;??_-;_-@_-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Aptos Narrow"/>
      <family val="2"/>
    </font>
    <font>
      <sz val="11"/>
      <name val="Calibri"/>
      <family val="2"/>
      <scheme val="minor"/>
    </font>
    <font>
      <i/>
      <sz val="11"/>
      <color rgb="FF0070C0"/>
      <name val="Calibri"/>
      <family val="2"/>
      <scheme val="minor"/>
    </font>
    <font>
      <b/>
      <i/>
      <sz val="11"/>
      <color rgb="FF0070C0"/>
      <name val="Calibri"/>
      <family val="2"/>
      <scheme val="minor"/>
    </font>
    <font>
      <b/>
      <i/>
      <u/>
      <sz val="11"/>
      <color rgb="FF0070C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0"/>
      <name val="Calibri"/>
      <family val="2"/>
      <scheme val="minor"/>
    </font>
    <font>
      <sz val="9"/>
      <color rgb="FFFFC000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6"/>
      <color rgb="FF0070C0"/>
      <name val="Calibri"/>
      <family val="2"/>
      <scheme val="minor"/>
    </font>
    <font>
      <b/>
      <vertAlign val="superscript"/>
      <sz val="11"/>
      <color theme="5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6" tint="-0.249977111117893"/>
      <name val="Calibri"/>
      <family val="2"/>
      <scheme val="minor"/>
    </font>
    <font>
      <sz val="10"/>
      <color theme="6" tint="-0.249977111117893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medium">
        <color rgb="FF0070C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medium">
        <color rgb="FF0070C0"/>
      </right>
      <top/>
      <bottom style="thin">
        <color theme="0"/>
      </bottom>
      <diagonal/>
    </border>
    <border>
      <left style="medium">
        <color rgb="FF0070C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rgb="FF0070C0"/>
      </right>
      <top style="thin">
        <color theme="0"/>
      </top>
      <bottom style="thin">
        <color theme="0"/>
      </bottom>
      <diagonal/>
    </border>
    <border>
      <left style="medium">
        <color rgb="FF0070C0"/>
      </left>
      <right style="thin">
        <color theme="0"/>
      </right>
      <top style="thin">
        <color theme="0"/>
      </top>
      <bottom style="medium">
        <color rgb="FF0070C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rgb="FF0070C0"/>
      </bottom>
      <diagonal/>
    </border>
    <border>
      <left style="thin">
        <color theme="0"/>
      </left>
      <right style="medium">
        <color rgb="FF0070C0"/>
      </right>
      <top style="thin">
        <color theme="0"/>
      </top>
      <bottom style="medium">
        <color rgb="FF0070C0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8" fillId="0" borderId="0" applyNumberForma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8" fillId="0" borderId="0" applyNumberFormat="0" applyFill="0" applyBorder="0" applyAlignment="0" applyProtection="0"/>
  </cellStyleXfs>
  <cellXfs count="57">
    <xf numFmtId="0" fontId="0" fillId="0" borderId="0" xfId="0"/>
    <xf numFmtId="0" fontId="0" fillId="0" borderId="0" xfId="0" applyAlignment="1">
      <alignment horizontal="right"/>
    </xf>
    <xf numFmtId="0" fontId="3" fillId="2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left" indent="1"/>
    </xf>
    <xf numFmtId="0" fontId="3" fillId="5" borderId="1" xfId="0" applyFont="1" applyFill="1" applyBorder="1" applyAlignment="1">
      <alignment horizontal="center" vertical="center"/>
    </xf>
    <xf numFmtId="0" fontId="0" fillId="7" borderId="1" xfId="0" quotePrefix="1" applyFill="1" applyBorder="1" applyAlignment="1">
      <alignment horizontal="center"/>
    </xf>
    <xf numFmtId="0" fontId="4" fillId="8" borderId="0" xfId="0" applyFont="1" applyFill="1" applyAlignment="1">
      <alignment horizontal="center" vertical="center"/>
    </xf>
    <xf numFmtId="0" fontId="0" fillId="3" borderId="1" xfId="0" applyFill="1" applyBorder="1"/>
    <xf numFmtId="0" fontId="0" fillId="9" borderId="1" xfId="0" applyFill="1" applyBorder="1" applyAlignment="1">
      <alignment horizontal="left" indent="1"/>
    </xf>
    <xf numFmtId="165" fontId="0" fillId="4" borderId="1" xfId="1" applyNumberFormat="1" applyFont="1" applyFill="1" applyBorder="1"/>
    <xf numFmtId="165" fontId="0" fillId="4" borderId="1" xfId="0" applyNumberFormat="1" applyFill="1" applyBorder="1"/>
    <xf numFmtId="165" fontId="0" fillId="9" borderId="1" xfId="0" applyNumberFormat="1" applyFill="1" applyBorder="1"/>
    <xf numFmtId="0" fontId="5" fillId="0" borderId="0" xfId="0" applyFont="1"/>
    <xf numFmtId="0" fontId="8" fillId="0" borderId="0" xfId="2"/>
    <xf numFmtId="17" fontId="0" fillId="7" borderId="1" xfId="0" quotePrefix="1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  <xf numFmtId="0" fontId="11" fillId="11" borderId="0" xfId="0" applyFont="1" applyFill="1" applyAlignment="1">
      <alignment vertical="center"/>
    </xf>
    <xf numFmtId="0" fontId="12" fillId="7" borderId="0" xfId="0" applyFont="1" applyFill="1"/>
    <xf numFmtId="0" fontId="0" fillId="7" borderId="0" xfId="0" applyFill="1"/>
    <xf numFmtId="9" fontId="0" fillId="12" borderId="1" xfId="3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13" borderId="2" xfId="0" applyFont="1" applyFill="1" applyBorder="1" applyAlignment="1">
      <alignment horizontal="center" vertical="center"/>
    </xf>
    <xf numFmtId="0" fontId="0" fillId="7" borderId="4" xfId="0" applyFill="1" applyBorder="1"/>
    <xf numFmtId="0" fontId="0" fillId="7" borderId="5" xfId="0" applyFill="1" applyBorder="1"/>
    <xf numFmtId="0" fontId="3" fillId="2" borderId="6" xfId="0" applyFont="1" applyFill="1" applyBorder="1" applyAlignment="1">
      <alignment horizontal="center" vertical="center"/>
    </xf>
    <xf numFmtId="0" fontId="3" fillId="13" borderId="7" xfId="0" applyFont="1" applyFill="1" applyBorder="1" applyAlignment="1">
      <alignment horizontal="center" vertical="center"/>
    </xf>
    <xf numFmtId="0" fontId="0" fillId="4" borderId="8" xfId="0" applyFill="1" applyBorder="1"/>
    <xf numFmtId="9" fontId="0" fillId="12" borderId="9" xfId="3" applyFont="1" applyFill="1" applyBorder="1" applyAlignment="1">
      <alignment horizontal="center"/>
    </xf>
    <xf numFmtId="0" fontId="0" fillId="4" borderId="10" xfId="0" applyFill="1" applyBorder="1"/>
    <xf numFmtId="0" fontId="0" fillId="4" borderId="11" xfId="0" applyFill="1" applyBorder="1" applyAlignment="1">
      <alignment horizontal="left" indent="1"/>
    </xf>
    <xf numFmtId="0" fontId="0" fillId="7" borderId="11" xfId="0" quotePrefix="1" applyFill="1" applyBorder="1" applyAlignment="1">
      <alignment horizontal="center"/>
    </xf>
    <xf numFmtId="165" fontId="0" fillId="4" borderId="11" xfId="1" applyNumberFormat="1" applyFont="1" applyFill="1" applyBorder="1"/>
    <xf numFmtId="165" fontId="0" fillId="4" borderId="11" xfId="0" applyNumberFormat="1" applyFill="1" applyBorder="1"/>
    <xf numFmtId="9" fontId="0" fillId="12" borderId="11" xfId="3" applyFont="1" applyFill="1" applyBorder="1" applyAlignment="1">
      <alignment horizontal="center"/>
    </xf>
    <xf numFmtId="9" fontId="0" fillId="12" borderId="12" xfId="3" applyFont="1" applyFill="1" applyBorder="1" applyAlignment="1">
      <alignment horizontal="center"/>
    </xf>
    <xf numFmtId="0" fontId="14" fillId="0" borderId="0" xfId="0" applyFont="1"/>
    <xf numFmtId="0" fontId="15" fillId="0" borderId="0" xfId="0" applyFont="1" applyAlignment="1">
      <alignment horizontal="right"/>
    </xf>
    <xf numFmtId="0" fontId="1" fillId="0" borderId="0" xfId="4"/>
    <xf numFmtId="0" fontId="1" fillId="0" borderId="1" xfId="4" applyBorder="1"/>
    <xf numFmtId="0" fontId="8" fillId="0" borderId="1" xfId="5" applyBorder="1"/>
    <xf numFmtId="0" fontId="16" fillId="0" borderId="1" xfId="4" applyFont="1" applyBorder="1"/>
    <xf numFmtId="0" fontId="16" fillId="0" borderId="1" xfId="4" applyFont="1" applyBorder="1" applyAlignment="1">
      <alignment horizontal="left"/>
    </xf>
    <xf numFmtId="0" fontId="0" fillId="3" borderId="1" xfId="0" applyFill="1" applyBorder="1" applyAlignment="1">
      <alignment horizontal="right" indent="1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  <xf numFmtId="0" fontId="17" fillId="0" borderId="1" xfId="4" applyFont="1" applyBorder="1" applyAlignment="1">
      <alignment horizontal="left"/>
    </xf>
    <xf numFmtId="165" fontId="0" fillId="9" borderId="1" xfId="0" applyNumberFormat="1" applyFill="1" applyBorder="1" applyAlignment="1">
      <alignment wrapText="1"/>
    </xf>
    <xf numFmtId="0" fontId="14" fillId="0" borderId="0" xfId="0" applyFont="1" applyAlignment="1">
      <alignment horizontal="center"/>
    </xf>
    <xf numFmtId="0" fontId="14" fillId="7" borderId="3" xfId="0" applyFont="1" applyFill="1" applyBorder="1" applyAlignment="1">
      <alignment horizontal="center"/>
    </xf>
    <xf numFmtId="0" fontId="14" fillId="7" borderId="4" xfId="0" applyFont="1" applyFill="1" applyBorder="1" applyAlignment="1">
      <alignment horizontal="center"/>
    </xf>
    <xf numFmtId="0" fontId="9" fillId="10" borderId="0" xfId="0" applyFont="1" applyFill="1" applyAlignment="1">
      <alignment horizontal="center"/>
    </xf>
    <xf numFmtId="0" fontId="11" fillId="11" borderId="0" xfId="0" applyFont="1" applyFill="1" applyAlignment="1">
      <alignment horizontal="center" vertical="center"/>
    </xf>
    <xf numFmtId="0" fontId="18" fillId="0" borderId="1" xfId="4" applyFont="1" applyBorder="1" applyAlignment="1">
      <alignment horizontal="left"/>
    </xf>
    <xf numFmtId="0" fontId="17" fillId="0" borderId="1" xfId="4" applyFont="1" applyBorder="1" applyAlignment="1">
      <alignment horizontal="left"/>
    </xf>
  </cellXfs>
  <cellStyles count="6">
    <cellStyle name="Comma" xfId="1" builtinId="3"/>
    <cellStyle name="Hyperlink" xfId="2" builtinId="8"/>
    <cellStyle name="Hyperlink 2" xfId="5" xr:uid="{EDFC3FE4-BF7E-4E7D-A59C-CDA4F7C88552}"/>
    <cellStyle name="Normal" xfId="0" builtinId="0"/>
    <cellStyle name="Normal 2" xfId="4" xr:uid="{F9C0E125-0686-46BF-8D2A-7576A724A95C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belajarexcel.id/xl-test/jawaban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68580</xdr:colOff>
      <xdr:row>37</xdr:row>
      <xdr:rowOff>99060</xdr:rowOff>
    </xdr:from>
    <xdr:to>
      <xdr:col>10</xdr:col>
      <xdr:colOff>716280</xdr:colOff>
      <xdr:row>38</xdr:row>
      <xdr:rowOff>175260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62904D5-BCDE-4392-89BB-F2969F942658}"/>
            </a:ext>
          </a:extLst>
        </xdr:cNvPr>
        <xdr:cNvSpPr/>
      </xdr:nvSpPr>
      <xdr:spPr>
        <a:xfrm>
          <a:off x="9563100" y="9281160"/>
          <a:ext cx="1996440" cy="327660"/>
        </a:xfrm>
        <a:prstGeom prst="round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D" sz="1100"/>
            <a:t>Cek hasil Jawaban</a:t>
          </a:r>
        </a:p>
      </xdr:txBody>
    </xdr:sp>
    <xdr:clientData/>
  </xdr:twoCellAnchor>
  <xdr:twoCellAnchor editAs="oneCell">
    <xdr:from>
      <xdr:col>13</xdr:col>
      <xdr:colOff>678181</xdr:colOff>
      <xdr:row>28</xdr:row>
      <xdr:rowOff>83820</xdr:rowOff>
    </xdr:from>
    <xdr:to>
      <xdr:col>16</xdr:col>
      <xdr:colOff>328919</xdr:colOff>
      <xdr:row>31</xdr:row>
      <xdr:rowOff>180119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34A2B11-21AE-D273-EDFC-CFD58C52B6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51381" y="7002780"/>
          <a:ext cx="2264398" cy="8506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502920</xdr:colOff>
      <xdr:row>1</xdr:row>
      <xdr:rowOff>53340</xdr:rowOff>
    </xdr:from>
    <xdr:ext cx="1554479" cy="586842"/>
    <xdr:pic>
      <xdr:nvPicPr>
        <xdr:cNvPr id="2" name="Picture 1">
          <a:extLst>
            <a:ext uri="{FF2B5EF4-FFF2-40B4-BE49-F238E27FC236}">
              <a16:creationId xmlns:a16="http://schemas.microsoft.com/office/drawing/2014/main" id="{4634D4B2-312D-4E11-8838-7408C80971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2520" y="236220"/>
          <a:ext cx="1554479" cy="586842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04b3130b3dd6cff9/VBA%20REPO/File%20BelajarExcel.id/Soal/SBEH009%20-%20BelajarExcel.id%20-%20Latihan%20Soal%20Data%20Pesanan%20Komplek.xlsx" TargetMode="External"/><Relationship Id="rId1" Type="http://schemas.openxmlformats.org/officeDocument/2006/relationships/externalLinkPath" Target="SBEH009%20-%20BelajarExcel.id%20-%20Latihan%20Soal%20Data%20Pesanan%20Komple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XL-Test"/>
      <sheetName val="DF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belajarexcel.id/xl-tes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BC086-5094-4944-8EC2-0F8D85E4BEE4}">
  <sheetPr codeName="Sheet1"/>
  <dimension ref="B1:M41"/>
  <sheetViews>
    <sheetView tabSelected="1" topLeftCell="D26" workbookViewId="0">
      <selection activeCell="G2" sqref="G2"/>
    </sheetView>
  </sheetViews>
  <sheetFormatPr defaultRowHeight="14.45"/>
  <cols>
    <col min="1" max="1" width="3.7109375" customWidth="1"/>
    <col min="2" max="2" width="4.85546875" customWidth="1"/>
    <col min="3" max="3" width="17.42578125" customWidth="1"/>
    <col min="4" max="4" width="18.28515625" customWidth="1"/>
    <col min="5" max="5" width="16.7109375" customWidth="1"/>
    <col min="6" max="6" width="20.7109375" customWidth="1"/>
    <col min="7" max="7" width="18.28515625" customWidth="1"/>
    <col min="8" max="8" width="20.28515625" customWidth="1"/>
    <col min="9" max="9" width="18.28515625" customWidth="1"/>
    <col min="10" max="10" width="19.7109375" customWidth="1"/>
    <col min="11" max="11" width="17.28515625" customWidth="1"/>
    <col min="12" max="12" width="16.42578125" customWidth="1"/>
    <col min="13" max="13" width="14.7109375" customWidth="1"/>
    <col min="14" max="14" width="11.7109375" customWidth="1"/>
    <col min="15" max="15" width="12.42578125" customWidth="1"/>
    <col min="16" max="16" width="13.85546875" customWidth="1"/>
    <col min="17" max="17" width="11.7109375" customWidth="1"/>
    <col min="18" max="18" width="15.7109375" customWidth="1"/>
  </cols>
  <sheetData>
    <row r="1" spans="2:13">
      <c r="B1" s="53" t="s">
        <v>0</v>
      </c>
      <c r="C1" s="53"/>
    </row>
    <row r="2" spans="2:13" ht="19.149999999999999" customHeight="1">
      <c r="B2" s="54" t="s">
        <v>1</v>
      </c>
      <c r="C2" s="54"/>
      <c r="D2" s="18" t="s">
        <v>2</v>
      </c>
      <c r="F2" s="17" t="s">
        <v>3</v>
      </c>
      <c r="G2" s="18" t="str">
        <f ca="1">kode_jawaban</f>
        <v>HB1|4E1-4BC1;101-2C7F41;211-2CB41;151-C8785E1</v>
      </c>
      <c r="H2" s="19"/>
      <c r="I2" s="19"/>
      <c r="J2" s="19"/>
    </row>
    <row r="3" spans="2:13" ht="21.6" customHeight="1" thickBot="1"/>
    <row r="4" spans="2:13">
      <c r="B4" s="51" t="s">
        <v>4</v>
      </c>
      <c r="C4" s="52"/>
      <c r="D4" s="52"/>
      <c r="E4" s="25"/>
      <c r="F4" s="25"/>
      <c r="G4" s="25"/>
      <c r="H4" s="25"/>
      <c r="I4" s="25"/>
      <c r="J4" s="25"/>
      <c r="K4" s="25"/>
      <c r="L4" s="25"/>
      <c r="M4" s="26"/>
    </row>
    <row r="5" spans="2:13" ht="28.15" customHeight="1">
      <c r="B5" s="27" t="s">
        <v>5</v>
      </c>
      <c r="C5" s="21" t="s">
        <v>6</v>
      </c>
      <c r="D5" s="21" t="s">
        <v>7</v>
      </c>
      <c r="E5" s="22" t="s">
        <v>8</v>
      </c>
      <c r="F5" s="22" t="s">
        <v>9</v>
      </c>
      <c r="G5" s="22" t="s">
        <v>10</v>
      </c>
      <c r="H5" s="23" t="s">
        <v>11</v>
      </c>
      <c r="I5" s="23" t="s">
        <v>12</v>
      </c>
      <c r="J5" s="23" t="s">
        <v>13</v>
      </c>
      <c r="K5" s="24" t="s">
        <v>14</v>
      </c>
      <c r="L5" s="24" t="s">
        <v>15</v>
      </c>
      <c r="M5" s="28" t="s">
        <v>16</v>
      </c>
    </row>
    <row r="6" spans="2:13" ht="19.899999999999999" customHeight="1">
      <c r="B6" s="29">
        <v>1</v>
      </c>
      <c r="C6" s="3" t="s">
        <v>17</v>
      </c>
      <c r="D6" s="3" t="s">
        <v>18</v>
      </c>
      <c r="E6" s="5">
        <v>1</v>
      </c>
      <c r="F6" s="5">
        <v>44</v>
      </c>
      <c r="G6" s="5">
        <v>102</v>
      </c>
      <c r="H6" s="9">
        <v>24068</v>
      </c>
      <c r="I6" s="10">
        <v>20589</v>
      </c>
      <c r="J6" s="10">
        <v>17314</v>
      </c>
      <c r="K6" s="20">
        <v>0.05</v>
      </c>
      <c r="L6" s="20">
        <v>7.0000000000000007E-2</v>
      </c>
      <c r="M6" s="30">
        <v>0.1</v>
      </c>
    </row>
    <row r="7" spans="2:13" ht="19.899999999999999" customHeight="1">
      <c r="B7" s="29">
        <v>2</v>
      </c>
      <c r="C7" s="3" t="s">
        <v>19</v>
      </c>
      <c r="D7" s="3" t="s">
        <v>20</v>
      </c>
      <c r="E7" s="5">
        <v>1</v>
      </c>
      <c r="F7" s="5">
        <v>59</v>
      </c>
      <c r="G7" s="5">
        <v>106</v>
      </c>
      <c r="H7" s="9">
        <v>19466</v>
      </c>
      <c r="I7" s="10">
        <v>16295</v>
      </c>
      <c r="J7" s="10">
        <v>13065</v>
      </c>
      <c r="K7" s="20">
        <v>0.05</v>
      </c>
      <c r="L7" s="20">
        <v>7.0000000000000007E-2</v>
      </c>
      <c r="M7" s="30">
        <v>9.0000000000000011E-2</v>
      </c>
    </row>
    <row r="8" spans="2:13" ht="19.899999999999999" customHeight="1">
      <c r="B8" s="29">
        <v>3</v>
      </c>
      <c r="C8" s="3" t="s">
        <v>21</v>
      </c>
      <c r="D8" s="3" t="s">
        <v>22</v>
      </c>
      <c r="E8" s="5">
        <v>1</v>
      </c>
      <c r="F8" s="5">
        <v>33</v>
      </c>
      <c r="G8" s="5">
        <v>101</v>
      </c>
      <c r="H8" s="9">
        <v>21192</v>
      </c>
      <c r="I8" s="10">
        <v>18099</v>
      </c>
      <c r="J8" s="10">
        <v>15352</v>
      </c>
      <c r="K8" s="20">
        <v>0.03</v>
      </c>
      <c r="L8" s="20">
        <v>0.04</v>
      </c>
      <c r="M8" s="30">
        <v>0.06</v>
      </c>
    </row>
    <row r="9" spans="2:13" ht="19.899999999999999" customHeight="1">
      <c r="B9" s="29">
        <v>4</v>
      </c>
      <c r="C9" s="3" t="s">
        <v>23</v>
      </c>
      <c r="D9" s="3" t="s">
        <v>24</v>
      </c>
      <c r="E9" s="5">
        <v>1</v>
      </c>
      <c r="F9" s="5">
        <v>67</v>
      </c>
      <c r="G9" s="5">
        <v>117</v>
      </c>
      <c r="H9" s="9">
        <v>20782</v>
      </c>
      <c r="I9" s="10">
        <v>17056</v>
      </c>
      <c r="J9" s="10">
        <v>13800</v>
      </c>
      <c r="K9" s="20">
        <v>0.04</v>
      </c>
      <c r="L9" s="20">
        <v>0.05</v>
      </c>
      <c r="M9" s="30">
        <v>7.0000000000000007E-2</v>
      </c>
    </row>
    <row r="10" spans="2:13" ht="19.899999999999999" customHeight="1">
      <c r="B10" s="29">
        <v>5</v>
      </c>
      <c r="C10" s="3" t="s">
        <v>25</v>
      </c>
      <c r="D10" s="3" t="s">
        <v>26</v>
      </c>
      <c r="E10" s="5">
        <v>1</v>
      </c>
      <c r="F10" s="5">
        <v>53</v>
      </c>
      <c r="G10" s="5">
        <v>106</v>
      </c>
      <c r="H10" s="9">
        <v>19306</v>
      </c>
      <c r="I10" s="10">
        <v>16343</v>
      </c>
      <c r="J10" s="10">
        <v>13449</v>
      </c>
      <c r="K10" s="20">
        <v>0.04</v>
      </c>
      <c r="L10" s="20">
        <v>0.05</v>
      </c>
      <c r="M10" s="30">
        <v>6.0000000000000005E-2</v>
      </c>
    </row>
    <row r="11" spans="2:13" ht="19.899999999999999" customHeight="1">
      <c r="B11" s="29">
        <v>6</v>
      </c>
      <c r="C11" s="3" t="s">
        <v>27</v>
      </c>
      <c r="D11" s="3" t="s">
        <v>28</v>
      </c>
      <c r="E11" s="5">
        <v>1</v>
      </c>
      <c r="F11" s="5">
        <v>60</v>
      </c>
      <c r="G11" s="5">
        <v>119</v>
      </c>
      <c r="H11" s="9">
        <v>23521</v>
      </c>
      <c r="I11" s="10">
        <v>20987</v>
      </c>
      <c r="J11" s="10">
        <v>17815</v>
      </c>
      <c r="K11" s="20">
        <v>0.03</v>
      </c>
      <c r="L11" s="20">
        <v>0.05</v>
      </c>
      <c r="M11" s="30">
        <v>7.0000000000000007E-2</v>
      </c>
    </row>
    <row r="12" spans="2:13" ht="19.899999999999999" customHeight="1">
      <c r="B12" s="29">
        <v>7</v>
      </c>
      <c r="C12" s="3" t="s">
        <v>29</v>
      </c>
      <c r="D12" s="3" t="s">
        <v>30</v>
      </c>
      <c r="E12" s="5">
        <v>1</v>
      </c>
      <c r="F12" s="5">
        <v>69</v>
      </c>
      <c r="G12" s="5">
        <v>107</v>
      </c>
      <c r="H12" s="9">
        <v>24154</v>
      </c>
      <c r="I12" s="10">
        <v>20212</v>
      </c>
      <c r="J12" s="10">
        <v>17408</v>
      </c>
      <c r="K12" s="20">
        <v>0.04</v>
      </c>
      <c r="L12" s="20">
        <v>0.05</v>
      </c>
      <c r="M12" s="30">
        <v>7.0000000000000007E-2</v>
      </c>
    </row>
    <row r="13" spans="2:13" ht="19.899999999999999" customHeight="1">
      <c r="B13" s="29">
        <v>8</v>
      </c>
      <c r="C13" s="3" t="s">
        <v>31</v>
      </c>
      <c r="D13" s="3" t="s">
        <v>32</v>
      </c>
      <c r="E13" s="5">
        <v>1</v>
      </c>
      <c r="F13" s="5">
        <v>58</v>
      </c>
      <c r="G13" s="5">
        <v>114</v>
      </c>
      <c r="H13" s="9">
        <v>23220</v>
      </c>
      <c r="I13" s="10">
        <v>19271</v>
      </c>
      <c r="J13" s="10">
        <v>16645</v>
      </c>
      <c r="K13" s="20">
        <v>0.06</v>
      </c>
      <c r="L13" s="20">
        <v>0.08</v>
      </c>
      <c r="M13" s="30">
        <v>0.09</v>
      </c>
    </row>
    <row r="14" spans="2:13" ht="19.899999999999999" customHeight="1">
      <c r="B14" s="29">
        <v>9</v>
      </c>
      <c r="C14" s="3" t="s">
        <v>33</v>
      </c>
      <c r="D14" s="3" t="s">
        <v>34</v>
      </c>
      <c r="E14" s="5">
        <v>1</v>
      </c>
      <c r="F14" s="5">
        <v>74</v>
      </c>
      <c r="G14" s="5">
        <v>121</v>
      </c>
      <c r="H14" s="9">
        <v>17457</v>
      </c>
      <c r="I14" s="10">
        <v>14797</v>
      </c>
      <c r="J14" s="10">
        <v>11716</v>
      </c>
      <c r="K14" s="20">
        <v>0.04</v>
      </c>
      <c r="L14" s="20">
        <v>0.06</v>
      </c>
      <c r="M14" s="30">
        <v>0.09</v>
      </c>
    </row>
    <row r="15" spans="2:13" ht="19.899999999999999" customHeight="1">
      <c r="B15" s="29">
        <v>10</v>
      </c>
      <c r="C15" s="3" t="s">
        <v>35</v>
      </c>
      <c r="D15" s="3" t="s">
        <v>36</v>
      </c>
      <c r="E15" s="5">
        <v>1</v>
      </c>
      <c r="F15" s="5">
        <v>68</v>
      </c>
      <c r="G15" s="5">
        <v>103</v>
      </c>
      <c r="H15" s="9">
        <v>18573</v>
      </c>
      <c r="I15" s="10">
        <v>15649</v>
      </c>
      <c r="J15" s="10">
        <v>12574</v>
      </c>
      <c r="K15" s="20">
        <v>0.06</v>
      </c>
      <c r="L15" s="20">
        <v>0.08</v>
      </c>
      <c r="M15" s="30">
        <v>0.1</v>
      </c>
    </row>
    <row r="16" spans="2:13" ht="19.899999999999999" customHeight="1">
      <c r="B16" s="29">
        <v>11</v>
      </c>
      <c r="C16" s="3" t="s">
        <v>37</v>
      </c>
      <c r="D16" s="3" t="s">
        <v>38</v>
      </c>
      <c r="E16" s="5">
        <v>1</v>
      </c>
      <c r="F16" s="5">
        <v>59</v>
      </c>
      <c r="G16" s="5">
        <v>106</v>
      </c>
      <c r="H16" s="9">
        <v>24540</v>
      </c>
      <c r="I16" s="10">
        <v>20769</v>
      </c>
      <c r="J16" s="10">
        <v>17951</v>
      </c>
      <c r="K16" s="20">
        <v>0.06</v>
      </c>
      <c r="L16" s="20">
        <v>0.08</v>
      </c>
      <c r="M16" s="30">
        <v>0.09</v>
      </c>
    </row>
    <row r="17" spans="2:13" ht="19.899999999999999" customHeight="1">
      <c r="B17" s="29">
        <v>12</v>
      </c>
      <c r="C17" s="3" t="s">
        <v>39</v>
      </c>
      <c r="D17" s="3" t="s">
        <v>40</v>
      </c>
      <c r="E17" s="5">
        <v>1</v>
      </c>
      <c r="F17" s="5">
        <v>65</v>
      </c>
      <c r="G17" s="5">
        <v>109</v>
      </c>
      <c r="H17" s="9">
        <v>20176</v>
      </c>
      <c r="I17" s="10">
        <v>17003</v>
      </c>
      <c r="J17" s="10">
        <v>14386</v>
      </c>
      <c r="K17" s="20">
        <v>0.06</v>
      </c>
      <c r="L17" s="20">
        <v>6.9999999999999993E-2</v>
      </c>
      <c r="M17" s="30">
        <v>7.9999999999999988E-2</v>
      </c>
    </row>
    <row r="18" spans="2:13" ht="19.899999999999999" customHeight="1">
      <c r="B18" s="29">
        <v>13</v>
      </c>
      <c r="C18" s="3" t="s">
        <v>41</v>
      </c>
      <c r="D18" s="3" t="s">
        <v>42</v>
      </c>
      <c r="E18" s="5">
        <v>1</v>
      </c>
      <c r="F18" s="5">
        <v>62</v>
      </c>
      <c r="G18" s="5">
        <v>121</v>
      </c>
      <c r="H18" s="9">
        <v>20356</v>
      </c>
      <c r="I18" s="10">
        <v>17748</v>
      </c>
      <c r="J18" s="10">
        <v>14829</v>
      </c>
      <c r="K18" s="20">
        <v>0.06</v>
      </c>
      <c r="L18" s="20">
        <v>6.9999999999999993E-2</v>
      </c>
      <c r="M18" s="30">
        <v>7.9999999999999988E-2</v>
      </c>
    </row>
    <row r="19" spans="2:13" ht="19.899999999999999" customHeight="1">
      <c r="B19" s="29">
        <v>14</v>
      </c>
      <c r="C19" s="3" t="s">
        <v>43</v>
      </c>
      <c r="D19" s="3" t="s">
        <v>44</v>
      </c>
      <c r="E19" s="5">
        <v>1</v>
      </c>
      <c r="F19" s="5">
        <v>50</v>
      </c>
      <c r="G19" s="5">
        <v>100</v>
      </c>
      <c r="H19" s="9">
        <v>22946</v>
      </c>
      <c r="I19" s="10">
        <v>19837</v>
      </c>
      <c r="J19" s="10">
        <v>16198</v>
      </c>
      <c r="K19" s="20">
        <v>0.05</v>
      </c>
      <c r="L19" s="20">
        <v>6.0000000000000005E-2</v>
      </c>
      <c r="M19" s="30">
        <v>0.09</v>
      </c>
    </row>
    <row r="20" spans="2:13" ht="19.899999999999999" customHeight="1" thickBot="1">
      <c r="B20" s="31">
        <v>15</v>
      </c>
      <c r="C20" s="32" t="s">
        <v>45</v>
      </c>
      <c r="D20" s="32" t="s">
        <v>46</v>
      </c>
      <c r="E20" s="33">
        <v>1</v>
      </c>
      <c r="F20" s="33">
        <v>79</v>
      </c>
      <c r="G20" s="33">
        <v>114</v>
      </c>
      <c r="H20" s="34">
        <v>18476</v>
      </c>
      <c r="I20" s="35">
        <v>15197</v>
      </c>
      <c r="J20" s="35">
        <v>12590</v>
      </c>
      <c r="K20" s="36">
        <v>0.03</v>
      </c>
      <c r="L20" s="36">
        <v>0.05</v>
      </c>
      <c r="M20" s="37">
        <v>0.08</v>
      </c>
    </row>
    <row r="23" spans="2:13">
      <c r="B23" s="50" t="s">
        <v>47</v>
      </c>
      <c r="C23" s="50"/>
      <c r="F23" s="1"/>
    </row>
    <row r="24" spans="2:13" ht="27.6" customHeight="1">
      <c r="B24" s="6" t="s">
        <v>5</v>
      </c>
      <c r="C24" s="6" t="s">
        <v>6</v>
      </c>
      <c r="D24" s="6" t="s">
        <v>48</v>
      </c>
      <c r="E24" s="6" t="s">
        <v>49</v>
      </c>
      <c r="F24" s="6" t="s">
        <v>50</v>
      </c>
      <c r="G24" s="6" t="s">
        <v>51</v>
      </c>
      <c r="H24" s="6" t="s">
        <v>52</v>
      </c>
      <c r="J24" s="38" t="s">
        <v>53</v>
      </c>
    </row>
    <row r="25" spans="2:13" ht="19.899999999999999" customHeight="1">
      <c r="B25" s="7">
        <v>1</v>
      </c>
      <c r="C25" s="7" t="s">
        <v>27</v>
      </c>
      <c r="D25" s="8" t="str">
        <f>VLOOKUP(C25,$C$6:$D$20,2,FALSE)</f>
        <v>Rambutan</v>
      </c>
      <c r="E25" s="45">
        <v>20</v>
      </c>
      <c r="F25" s="49" cm="1">
        <f t="array" ref="F25">VLOOKUP(C25,$C$6:$J$20,MATCH(E25,VLOOKUP(C25,$C$6:$G$20,{3,4,5},0),1)+5,0)</f>
        <v>23521</v>
      </c>
      <c r="G25" s="11" cm="1">
        <f t="array" ref="G25">VLOOKUP(C25,$C$6:$M$20,MATCH(E25,VLOOKUP(C25,$C$6:$G$20,{3,4,5},0),1)+8,0)*F25</f>
        <v>705.63</v>
      </c>
      <c r="H25" s="11">
        <f>(F25-G25)*E25</f>
        <v>456307.39999999997</v>
      </c>
      <c r="I25" s="39" t="s">
        <v>54</v>
      </c>
      <c r="J25" t="s">
        <v>55</v>
      </c>
    </row>
    <row r="26" spans="2:13" ht="19.899999999999999" customHeight="1">
      <c r="B26" s="7">
        <v>2</v>
      </c>
      <c r="C26" s="7" t="s">
        <v>25</v>
      </c>
      <c r="D26" s="8" t="str">
        <f t="shared" ref="D26:D34" si="0">VLOOKUP(C26,$C$6:$D$20,2,FALSE)</f>
        <v>Dukuh</v>
      </c>
      <c r="E26" s="45">
        <v>149</v>
      </c>
      <c r="F26" s="49" cm="1">
        <f t="array" ref="F26">VLOOKUP(C26,$C$6:$J$20,MATCH(E26,VLOOKUP(C26,$C$6:$G$20,{3,4,5},0),1)+5,0)</f>
        <v>13449</v>
      </c>
      <c r="G26" s="11" cm="1">
        <f t="array" ref="G26">VLOOKUP(C26,$C$6:$M$20,MATCH(E26,VLOOKUP(C26,$C$6:$G$20,{3,4,5},0),1)+8,0)*F26</f>
        <v>806.94</v>
      </c>
      <c r="H26" s="11">
        <f t="shared" ref="H26:H34" si="1">(F26-G26)*E26</f>
        <v>1883666.94</v>
      </c>
      <c r="I26" s="39" t="s">
        <v>54</v>
      </c>
      <c r="J26" t="s">
        <v>56</v>
      </c>
    </row>
    <row r="27" spans="2:13" ht="19.899999999999999" customHeight="1">
      <c r="B27" s="7">
        <v>3</v>
      </c>
      <c r="C27" s="7" t="s">
        <v>41</v>
      </c>
      <c r="D27" s="8" t="str">
        <f t="shared" si="0"/>
        <v>Sirsak</v>
      </c>
      <c r="E27" s="45">
        <v>60</v>
      </c>
      <c r="F27" s="49" cm="1">
        <f t="array" ref="F27">VLOOKUP(C27,$C$6:$J$20,MATCH(E27,VLOOKUP(C27,$C$6:$G$20,{3,4,5},0),1)+5,0)</f>
        <v>20356</v>
      </c>
      <c r="G27" s="11" cm="1">
        <f t="array" ref="G27">VLOOKUP(C27,$C$6:$M$20,MATCH(E27,VLOOKUP(C27,$C$6:$G$20,{3,4,5},0),1)+8,0)*F27</f>
        <v>1221.3599999999999</v>
      </c>
      <c r="H27" s="11">
        <f t="shared" si="1"/>
        <v>1148078.3999999999</v>
      </c>
      <c r="I27" s="39" t="s">
        <v>54</v>
      </c>
      <c r="J27" t="s">
        <v>57</v>
      </c>
    </row>
    <row r="28" spans="2:13" ht="19.899999999999999" customHeight="1">
      <c r="B28" s="7">
        <v>4</v>
      </c>
      <c r="C28" s="7" t="s">
        <v>33</v>
      </c>
      <c r="D28" s="8" t="str">
        <f t="shared" si="0"/>
        <v>Jambu</v>
      </c>
      <c r="E28" s="45">
        <v>81</v>
      </c>
      <c r="F28" s="49" cm="1">
        <f t="array" ref="F28">VLOOKUP(C28,$C$6:$J$20,MATCH(E28,VLOOKUP(C28,$C$6:$G$20,{3,4,5},0),1)+5,0)</f>
        <v>14797</v>
      </c>
      <c r="G28" s="11" cm="1">
        <f t="array" ref="G28">VLOOKUP(C28,$C$6:$M$20,MATCH(E28,VLOOKUP(C28,$C$6:$G$20,{3,4,5},0),1)+8,0)*F28</f>
        <v>887.81999999999994</v>
      </c>
      <c r="H28" s="11">
        <f t="shared" si="1"/>
        <v>1126643.58</v>
      </c>
      <c r="I28" s="39" t="s">
        <v>54</v>
      </c>
      <c r="J28" t="s">
        <v>58</v>
      </c>
    </row>
    <row r="29" spans="2:13" ht="19.899999999999999" customHeight="1">
      <c r="B29" s="7">
        <v>5</v>
      </c>
      <c r="C29" s="7" t="s">
        <v>37</v>
      </c>
      <c r="D29" s="8" t="str">
        <f t="shared" si="0"/>
        <v>Tomat</v>
      </c>
      <c r="E29" s="45">
        <v>42</v>
      </c>
      <c r="F29" s="49" cm="1">
        <f t="array" ref="F29">VLOOKUP(C29,$C$6:$J$20,MATCH(E29,VLOOKUP(C29,$C$6:$G$20,{3,4,5},0),1)+5,0)</f>
        <v>24540</v>
      </c>
      <c r="G29" s="11" cm="1">
        <f t="array" ref="G29">VLOOKUP(C29,$C$6:$M$20,MATCH(E29,VLOOKUP(C29,$C$6:$G$20,{3,4,5},0),1)+8,0)*F29</f>
        <v>1472.3999999999999</v>
      </c>
      <c r="H29" s="11">
        <f t="shared" si="1"/>
        <v>968839.2</v>
      </c>
    </row>
    <row r="30" spans="2:13" ht="19.899999999999999" customHeight="1">
      <c r="B30" s="7">
        <v>6</v>
      </c>
      <c r="C30" s="7" t="s">
        <v>43</v>
      </c>
      <c r="D30" s="8" t="str">
        <f t="shared" si="0"/>
        <v>Pisang</v>
      </c>
      <c r="E30" s="45">
        <v>120</v>
      </c>
      <c r="F30" s="49" cm="1">
        <f t="array" ref="F30">VLOOKUP(C30,$C$6:$J$20,MATCH(E30,VLOOKUP(C30,$C$6:$G$20,{3,4,5},0),1)+5,0)</f>
        <v>16198</v>
      </c>
      <c r="G30" s="11" cm="1">
        <f t="array" ref="G30">VLOOKUP(C30,$C$6:$M$20,MATCH(E30,VLOOKUP(C30,$C$6:$G$20,{3,4,5},0),1)+8,0)*F30</f>
        <v>1457.82</v>
      </c>
      <c r="H30" s="11">
        <f t="shared" si="1"/>
        <v>1768821.6</v>
      </c>
      <c r="J30" s="2" t="s">
        <v>7</v>
      </c>
      <c r="K30" s="4" t="s">
        <v>8</v>
      </c>
      <c r="L30" s="4" t="s">
        <v>9</v>
      </c>
      <c r="M30" s="4" t="s">
        <v>10</v>
      </c>
    </row>
    <row r="31" spans="2:13" ht="19.899999999999999" customHeight="1">
      <c r="B31" s="7">
        <v>7</v>
      </c>
      <c r="C31" s="7" t="s">
        <v>39</v>
      </c>
      <c r="D31" s="8" t="str">
        <f t="shared" si="0"/>
        <v>Bayam</v>
      </c>
      <c r="E31" s="45">
        <v>71</v>
      </c>
      <c r="F31" s="49" cm="1">
        <f t="array" ref="F31">VLOOKUP(C31,$C$6:$J$20,MATCH(E31,VLOOKUP(C31,$C$6:$G$20,{3,4,5},0),1)+5,0)</f>
        <v>17003</v>
      </c>
      <c r="G31" s="11" cm="1">
        <f t="array" ref="G31">VLOOKUP(C31,$C$6:$M$20,MATCH(E31,VLOOKUP(C31,$C$6:$G$20,{3,4,5},0),1)+8,0)*F31</f>
        <v>1190.2099999999998</v>
      </c>
      <c r="H31" s="11">
        <f t="shared" si="1"/>
        <v>1122708.0900000001</v>
      </c>
      <c r="J31" s="3" t="s">
        <v>18</v>
      </c>
      <c r="K31" s="14" t="s">
        <v>59</v>
      </c>
      <c r="L31" s="5" t="s">
        <v>60</v>
      </c>
      <c r="M31" s="5" t="s">
        <v>61</v>
      </c>
    </row>
    <row r="32" spans="2:13" ht="19.899999999999999" customHeight="1">
      <c r="B32" s="7">
        <v>8</v>
      </c>
      <c r="C32" s="7" t="s">
        <v>33</v>
      </c>
      <c r="D32" s="8" t="str">
        <f t="shared" si="0"/>
        <v>Jambu</v>
      </c>
      <c r="E32" s="45">
        <v>130</v>
      </c>
      <c r="F32" s="49" cm="1">
        <f t="array" ref="F32">VLOOKUP(C32,$C$6:$J$20,MATCH(E32,VLOOKUP(C32,$C$6:$G$20,{3,4,5},0),1)+5,0)</f>
        <v>11716</v>
      </c>
      <c r="G32" s="11" cm="1">
        <f t="array" ref="G32">VLOOKUP(C32,$C$6:$M$20,MATCH(E32,VLOOKUP(C32,$C$6:$G$20,{3,4,5},0),1)+8,0)*F32</f>
        <v>1054.44</v>
      </c>
      <c r="H32" s="11">
        <f t="shared" si="1"/>
        <v>1386002.8</v>
      </c>
    </row>
    <row r="33" spans="2:10" ht="19.899999999999999" customHeight="1">
      <c r="B33" s="7">
        <v>9</v>
      </c>
      <c r="C33" s="7" t="s">
        <v>31</v>
      </c>
      <c r="D33" s="8" t="str">
        <f t="shared" si="0"/>
        <v>Mangga</v>
      </c>
      <c r="E33" s="45">
        <v>50</v>
      </c>
      <c r="F33" s="49" cm="1">
        <f t="array" ref="F33">VLOOKUP(C33,$C$6:$J$20,MATCH(E33,VLOOKUP(C33,$C$6:$G$20,{3,4,5},0),1)+5,0)</f>
        <v>23220</v>
      </c>
      <c r="G33" s="11" cm="1">
        <f t="array" ref="G33">VLOOKUP(C33,$C$6:$M$20,MATCH(E33,VLOOKUP(C33,$C$6:$G$20,{3,4,5},0),1)+8,0)*F33</f>
        <v>1393.2</v>
      </c>
      <c r="H33" s="11">
        <f t="shared" si="1"/>
        <v>1091340</v>
      </c>
      <c r="J33" s="47" t="s">
        <v>62</v>
      </c>
    </row>
    <row r="34" spans="2:10" ht="19.899999999999999" customHeight="1">
      <c r="B34" s="7">
        <v>10</v>
      </c>
      <c r="C34" s="7" t="s">
        <v>29</v>
      </c>
      <c r="D34" s="8" t="str">
        <f t="shared" si="0"/>
        <v>Manggis</v>
      </c>
      <c r="E34" s="45">
        <v>135</v>
      </c>
      <c r="F34" s="49" cm="1">
        <f t="array" ref="F34">VLOOKUP(C34,$C$6:$J$20,MATCH(E34,VLOOKUP(C34,$C$6:$G$20,{3,4,5},0),1)+5,0)</f>
        <v>17408</v>
      </c>
      <c r="G34" s="11" cm="1">
        <f t="array" ref="G34">VLOOKUP(C34,$C$6:$M$20,MATCH(E34,VLOOKUP(C34,$C$6:$G$20,{3,4,5},0),1)+8,0)*F34</f>
        <v>1218.5600000000002</v>
      </c>
      <c r="H34" s="11">
        <f t="shared" si="1"/>
        <v>2185574.3999999999</v>
      </c>
      <c r="J34" s="46" t="s">
        <v>63</v>
      </c>
    </row>
    <row r="35" spans="2:10" ht="19.899999999999999" customHeight="1">
      <c r="J35" s="12"/>
    </row>
    <row r="36" spans="2:10" ht="19.899999999999999" customHeight="1">
      <c r="J36" s="12" t="s">
        <v>64</v>
      </c>
    </row>
    <row r="37" spans="2:10" ht="19.899999999999999" customHeight="1">
      <c r="J37" s="12" t="s">
        <v>65</v>
      </c>
    </row>
    <row r="38" spans="2:10" ht="19.899999999999999" customHeight="1"/>
    <row r="39" spans="2:10" ht="19.899999999999999" customHeight="1">
      <c r="J39" s="13"/>
    </row>
    <row r="40" spans="2:10" ht="19.899999999999999" customHeight="1"/>
    <row r="41" spans="2:10" ht="19.899999999999999" customHeight="1"/>
  </sheetData>
  <mergeCells count="4">
    <mergeCell ref="B23:C23"/>
    <mergeCell ref="B4:D4"/>
    <mergeCell ref="B1:C1"/>
    <mergeCell ref="B2:C2"/>
  </mergeCells>
  <phoneticPr fontId="2" type="noConversion"/>
  <pageMargins left="0.7" right="0.7" top="0.75" bottom="0.75" header="0.3" footer="0.3"/>
  <ignoredErrors>
    <ignoredError sqref="K31" twoDigitTextYear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7CEF4-70F5-4D57-9FC3-0BF05A05179E}">
  <sheetPr codeName="Sheet3"/>
  <dimension ref="A1:J25"/>
  <sheetViews>
    <sheetView showGridLines="0" workbookViewId="0">
      <selection activeCell="H29" sqref="H29"/>
    </sheetView>
  </sheetViews>
  <sheetFormatPr defaultColWidth="8.85546875" defaultRowHeight="14.45"/>
  <cols>
    <col min="1" max="3" width="8.85546875" style="40"/>
    <col min="4" max="4" width="10.42578125" style="40" customWidth="1"/>
    <col min="5" max="5" width="9.28515625" style="40" customWidth="1"/>
    <col min="6" max="7" width="8.85546875" style="40"/>
    <col min="8" max="8" width="26.42578125" style="40" customWidth="1"/>
    <col min="9" max="16384" width="8.85546875" style="40"/>
  </cols>
  <sheetData>
    <row r="1" spans="1:10">
      <c r="A1" s="41"/>
      <c r="B1" s="41"/>
      <c r="C1" s="41"/>
      <c r="D1" s="41"/>
      <c r="E1" s="41"/>
      <c r="F1" s="41"/>
      <c r="G1" s="41"/>
      <c r="H1" s="41"/>
      <c r="I1" s="41"/>
      <c r="J1" s="41"/>
    </row>
    <row r="2" spans="1:10">
      <c r="A2" s="41"/>
      <c r="B2" s="41"/>
      <c r="C2" s="41"/>
      <c r="D2" s="41"/>
      <c r="E2" s="41"/>
      <c r="F2" s="41"/>
      <c r="G2" s="41"/>
      <c r="H2" s="41"/>
      <c r="I2" s="41"/>
      <c r="J2" s="41"/>
    </row>
    <row r="3" spans="1:10">
      <c r="A3" s="41"/>
      <c r="B3" s="41"/>
      <c r="C3" s="41"/>
      <c r="D3" s="41"/>
      <c r="E3" s="41"/>
      <c r="F3" s="41"/>
      <c r="G3" s="41"/>
      <c r="H3" s="41"/>
      <c r="I3" s="41"/>
      <c r="J3" s="41"/>
    </row>
    <row r="4" spans="1:10">
      <c r="A4" s="41"/>
      <c r="B4" s="41"/>
      <c r="C4" s="41"/>
      <c r="D4" s="41"/>
      <c r="E4" s="41"/>
      <c r="F4" s="41"/>
      <c r="G4" s="41"/>
      <c r="H4" s="41"/>
      <c r="I4" s="41"/>
      <c r="J4" s="41"/>
    </row>
    <row r="5" spans="1:10">
      <c r="A5" s="41"/>
      <c r="B5" s="41"/>
      <c r="C5" s="41"/>
      <c r="D5" s="41"/>
      <c r="E5" s="41"/>
      <c r="F5" s="41"/>
      <c r="G5" s="41"/>
      <c r="H5" s="41"/>
      <c r="I5" s="41"/>
      <c r="J5" s="41"/>
    </row>
    <row r="6" spans="1:10">
      <c r="A6" s="41"/>
      <c r="B6" s="41"/>
      <c r="C6" s="41" t="s">
        <v>66</v>
      </c>
      <c r="D6" s="41"/>
      <c r="E6" s="41"/>
      <c r="F6" s="41"/>
      <c r="G6" s="41"/>
      <c r="H6" s="41"/>
      <c r="I6" s="41"/>
      <c r="J6" s="41"/>
    </row>
    <row r="7" spans="1:10">
      <c r="A7" s="41"/>
      <c r="B7" s="41"/>
      <c r="C7" s="41" t="s">
        <v>67</v>
      </c>
      <c r="D7" s="41"/>
      <c r="E7" s="41"/>
      <c r="F7" s="41"/>
      <c r="G7" s="41"/>
      <c r="H7" s="41"/>
      <c r="I7" s="41"/>
      <c r="J7" s="41"/>
    </row>
    <row r="8" spans="1:10">
      <c r="A8" s="41"/>
      <c r="B8" s="41"/>
      <c r="C8" s="41"/>
      <c r="D8" s="41"/>
      <c r="E8" s="41"/>
      <c r="F8" s="41"/>
      <c r="G8" s="41"/>
      <c r="H8" s="41"/>
      <c r="I8" s="41"/>
      <c r="J8" s="41"/>
    </row>
    <row r="9" spans="1:10">
      <c r="A9" s="41"/>
      <c r="B9" s="41"/>
      <c r="C9" s="41"/>
      <c r="D9" s="41"/>
      <c r="E9" s="41"/>
      <c r="F9" s="41"/>
      <c r="G9" s="41"/>
      <c r="H9" s="41"/>
      <c r="I9" s="41"/>
      <c r="J9" s="41"/>
    </row>
    <row r="10" spans="1:10">
      <c r="A10" s="41"/>
      <c r="B10" s="41"/>
      <c r="C10" s="41" t="s">
        <v>68</v>
      </c>
      <c r="D10" s="41"/>
      <c r="E10" s="41"/>
      <c r="F10" s="41"/>
      <c r="G10" s="41"/>
      <c r="H10" s="41"/>
      <c r="I10" s="41"/>
      <c r="J10" s="41"/>
    </row>
    <row r="11" spans="1:10">
      <c r="A11" s="41"/>
      <c r="B11" s="41"/>
      <c r="C11" s="41"/>
      <c r="D11" s="41"/>
      <c r="E11" s="41"/>
      <c r="F11" s="41"/>
      <c r="G11" s="41"/>
      <c r="H11" s="41"/>
      <c r="I11" s="41"/>
      <c r="J11" s="41"/>
    </row>
    <row r="12" spans="1:10">
      <c r="A12" s="41"/>
      <c r="B12" s="41"/>
      <c r="C12" s="41"/>
      <c r="D12" s="55" t="s">
        <v>69</v>
      </c>
      <c r="E12" s="55"/>
      <c r="F12" s="56" t="s">
        <v>70</v>
      </c>
      <c r="G12" s="56"/>
      <c r="H12" s="41"/>
      <c r="I12" s="41"/>
      <c r="J12" s="41"/>
    </row>
    <row r="13" spans="1:10">
      <c r="A13" s="41"/>
      <c r="B13" s="41"/>
      <c r="C13" s="41"/>
      <c r="D13" s="55" t="s">
        <v>71</v>
      </c>
      <c r="E13" s="55"/>
      <c r="F13" s="48" t="s">
        <v>72</v>
      </c>
      <c r="G13" s="44"/>
      <c r="H13" s="41"/>
      <c r="I13" s="41"/>
      <c r="J13" s="41"/>
    </row>
    <row r="14" spans="1:10">
      <c r="A14" s="41"/>
      <c r="B14" s="41"/>
      <c r="C14" s="41"/>
      <c r="D14" s="55" t="s">
        <v>73</v>
      </c>
      <c r="E14" s="55"/>
      <c r="F14" s="48" t="s">
        <v>74</v>
      </c>
      <c r="G14" s="43"/>
      <c r="H14" s="41"/>
      <c r="I14" s="41"/>
      <c r="J14" s="41"/>
    </row>
    <row r="15" spans="1:10">
      <c r="A15" s="41"/>
      <c r="B15" s="41"/>
      <c r="C15" s="41"/>
      <c r="D15" s="55" t="s">
        <v>75</v>
      </c>
      <c r="E15" s="55"/>
      <c r="F15" s="48" t="s">
        <v>76</v>
      </c>
      <c r="G15" s="43"/>
      <c r="H15" s="41"/>
      <c r="I15" s="41"/>
      <c r="J15" s="41"/>
    </row>
    <row r="16" spans="1:10">
      <c r="A16" s="41"/>
      <c r="B16" s="41"/>
      <c r="C16" s="41"/>
      <c r="D16" s="55" t="s">
        <v>77</v>
      </c>
      <c r="E16" s="55"/>
      <c r="F16" s="48" t="s">
        <v>78</v>
      </c>
      <c r="G16" s="43"/>
      <c r="H16" s="41"/>
      <c r="I16" s="41"/>
      <c r="J16" s="41"/>
    </row>
    <row r="17" spans="1:10">
      <c r="A17" s="41"/>
      <c r="B17" s="41"/>
      <c r="C17" s="41"/>
      <c r="D17" s="41"/>
      <c r="E17" s="41"/>
      <c r="F17" s="41"/>
      <c r="G17" s="41"/>
      <c r="H17" s="41"/>
      <c r="I17" s="41"/>
      <c r="J17" s="41"/>
    </row>
    <row r="18" spans="1:10">
      <c r="A18" s="41"/>
      <c r="B18" s="41"/>
      <c r="C18" s="41"/>
      <c r="D18" s="41"/>
      <c r="E18" s="41"/>
      <c r="F18" s="41"/>
      <c r="G18" s="41"/>
      <c r="H18" s="41"/>
      <c r="I18" s="41"/>
      <c r="J18" s="41"/>
    </row>
    <row r="19" spans="1:10">
      <c r="A19" s="41"/>
      <c r="B19" s="41"/>
      <c r="C19" s="41" t="s">
        <v>79</v>
      </c>
      <c r="D19" s="41"/>
      <c r="E19" s="41"/>
      <c r="F19" s="41"/>
      <c r="G19" s="41"/>
      <c r="H19" s="41"/>
      <c r="I19" s="41"/>
      <c r="J19" s="41"/>
    </row>
    <row r="20" spans="1:10">
      <c r="A20" s="41"/>
      <c r="B20" s="41"/>
      <c r="C20" s="42" t="s">
        <v>80</v>
      </c>
      <c r="D20" s="41"/>
      <c r="E20" s="41"/>
      <c r="F20" s="41"/>
      <c r="G20" s="41"/>
      <c r="H20" s="41"/>
      <c r="I20" s="41"/>
      <c r="J20" s="41"/>
    </row>
    <row r="21" spans="1:10">
      <c r="A21" s="41"/>
      <c r="B21" s="41"/>
      <c r="C21" s="41"/>
      <c r="D21" s="41"/>
      <c r="E21" s="41"/>
      <c r="F21" s="41"/>
      <c r="G21" s="41"/>
      <c r="H21" s="41"/>
      <c r="I21" s="41"/>
      <c r="J21" s="41"/>
    </row>
    <row r="22" spans="1:10">
      <c r="A22" s="41"/>
      <c r="B22" s="41"/>
      <c r="C22" s="41"/>
      <c r="D22" s="41"/>
      <c r="E22" s="41"/>
      <c r="F22" s="41"/>
      <c r="G22" s="41"/>
      <c r="H22" s="41"/>
      <c r="I22" s="41"/>
      <c r="J22" s="41"/>
    </row>
    <row r="23" spans="1:10">
      <c r="A23" s="41"/>
      <c r="B23" s="41"/>
      <c r="C23" s="41"/>
      <c r="D23" s="41"/>
      <c r="E23" s="41"/>
      <c r="F23" s="41"/>
      <c r="G23" s="41"/>
      <c r="H23" s="41"/>
      <c r="I23" s="41"/>
      <c r="J23" s="41"/>
    </row>
    <row r="24" spans="1:10">
      <c r="A24" s="41"/>
      <c r="B24" s="41"/>
      <c r="C24" s="41"/>
      <c r="D24" s="41"/>
      <c r="E24" s="41"/>
      <c r="F24" s="41"/>
      <c r="G24" s="41"/>
      <c r="H24" s="41"/>
      <c r="I24" s="41"/>
      <c r="J24" s="41"/>
    </row>
    <row r="25" spans="1:10">
      <c r="A25" s="41"/>
      <c r="B25" s="41"/>
      <c r="C25" s="41"/>
      <c r="D25" s="41"/>
      <c r="E25" s="41"/>
      <c r="F25" s="41"/>
      <c r="G25" s="41"/>
      <c r="H25" s="41"/>
      <c r="I25" s="41"/>
      <c r="J25" s="41"/>
    </row>
  </sheetData>
  <mergeCells count="6">
    <mergeCell ref="D16:E16"/>
    <mergeCell ref="D12:E12"/>
    <mergeCell ref="F12:G12"/>
    <mergeCell ref="D13:E13"/>
    <mergeCell ref="D14:E14"/>
    <mergeCell ref="D15:E15"/>
  </mergeCells>
  <hyperlinks>
    <hyperlink ref="C20" r:id="rId1" xr:uid="{27E89171-AA68-4110-A5D1-8D8331D46F1A}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004FE-A03B-454E-BF24-8CD09CEC8017}">
  <sheetPr codeName="Sheet2"/>
  <dimension ref="A1:V50"/>
  <sheetViews>
    <sheetView topLeftCell="A19" workbookViewId="0">
      <selection activeCell="I25" sqref="I25"/>
    </sheetView>
  </sheetViews>
  <sheetFormatPr defaultRowHeight="14.45"/>
  <cols>
    <col min="2" max="2" width="10.42578125" customWidth="1"/>
    <col min="3" max="3" width="11.28515625" customWidth="1"/>
    <col min="4" max="4" width="13.28515625" customWidth="1"/>
    <col min="5" max="5" width="16" customWidth="1"/>
    <col min="6" max="6" width="15.42578125" customWidth="1"/>
    <col min="7" max="7" width="15.140625" customWidth="1"/>
    <col min="8" max="8" width="9.42578125" customWidth="1"/>
    <col min="10" max="10" width="16.7109375" customWidth="1"/>
    <col min="14" max="14" width="19.7109375" customWidth="1"/>
    <col min="19" max="19" width="47.7109375" customWidth="1"/>
    <col min="20" max="20" width="21.7109375" customWidth="1"/>
    <col min="21" max="21" width="16.42578125" customWidth="1"/>
  </cols>
  <sheetData>
    <row r="1" spans="1:22">
      <c r="C1" s="15">
        <v>1</v>
      </c>
      <c r="D1" s="15">
        <v>2</v>
      </c>
      <c r="E1" s="15">
        <v>3</v>
      </c>
      <c r="F1" s="15">
        <v>4</v>
      </c>
      <c r="G1" s="15"/>
      <c r="H1" s="15"/>
      <c r="J1" s="15"/>
    </row>
    <row r="2" spans="1:22">
      <c r="A2" t="s">
        <v>81</v>
      </c>
      <c r="B2">
        <v>1</v>
      </c>
      <c r="C2" t="str">
        <f>'XL-Test'!D25</f>
        <v>Rambutan</v>
      </c>
      <c r="D2">
        <f>'XL-Test'!F25</f>
        <v>23521</v>
      </c>
      <c r="E2">
        <f>'XL-Test'!G25</f>
        <v>705.63</v>
      </c>
      <c r="F2">
        <f>'XL-Test'!H25</f>
        <v>456307.39999999997</v>
      </c>
      <c r="S2" t="str">
        <f ca="1">_xlfn.FORMULATEXT('XL-Test'!D25)</f>
        <v>=VLOOKUP(C25;$C$6:$D$20;2;FALSE)</v>
      </c>
      <c r="T2" t="str">
        <f ca="1">_xlfn.FORMULATEXT('XL-Test'!F25)</f>
        <v>=VLOOKUP(C25;$C$6:$J$20;MATCH(E25;VLOOKUP(C25;$C$6:$G$20;{3\4\5};0);1)+5;0)</v>
      </c>
      <c r="U2" t="str">
        <f ca="1">_xlfn.FORMULATEXT('XL-Test'!G25)</f>
        <v>=VLOOKUP(C25;$C$6:$M$20;MATCH(E25;VLOOKUP(C25;$C$6:$G$20;{3\4\5};0);1)+8;0)*F25</v>
      </c>
      <c r="V2" t="str">
        <f ca="1">_xlfn.FORMULATEXT('XL-Test'!H25)</f>
        <v>=(F25-G25)*E25</v>
      </c>
    </row>
    <row r="3" spans="1:22">
      <c r="A3" t="s">
        <v>82</v>
      </c>
      <c r="B3">
        <v>2</v>
      </c>
      <c r="C3" t="str">
        <f>'XL-Test'!D26</f>
        <v>Dukuh</v>
      </c>
      <c r="D3">
        <f>'XL-Test'!F26</f>
        <v>13449</v>
      </c>
      <c r="E3">
        <f>'XL-Test'!G26</f>
        <v>806.94</v>
      </c>
      <c r="F3">
        <f>'XL-Test'!H26</f>
        <v>1883666.94</v>
      </c>
      <c r="S3" t="str">
        <f ca="1">_xlfn.FORMULATEXT('XL-Test'!F25)</f>
        <v>=VLOOKUP(C25;$C$6:$J$20;MATCH(E25;VLOOKUP(C25;$C$6:$G$20;{3\4\5};0);1)+5;0)</v>
      </c>
    </row>
    <row r="4" spans="1:22">
      <c r="B4">
        <v>3</v>
      </c>
      <c r="C4" t="str">
        <f>'XL-Test'!D27</f>
        <v>Sirsak</v>
      </c>
      <c r="D4">
        <f>'XL-Test'!F27</f>
        <v>20356</v>
      </c>
      <c r="E4">
        <f>'XL-Test'!G27</f>
        <v>1221.3599999999999</v>
      </c>
      <c r="F4">
        <f>'XL-Test'!H27</f>
        <v>1148078.3999999999</v>
      </c>
      <c r="S4" t="str">
        <f ca="1">_xlfn.FORMULATEXT('XL-Test'!G25)</f>
        <v>=VLOOKUP(C25;$C$6:$M$20;MATCH(E25;VLOOKUP(C25;$C$6:$G$20;{3\4\5};0);1)+8;0)*F25</v>
      </c>
    </row>
    <row r="5" spans="1:22">
      <c r="B5">
        <v>4</v>
      </c>
      <c r="C5" t="str">
        <f>'XL-Test'!D28</f>
        <v>Jambu</v>
      </c>
      <c r="D5">
        <f>'XL-Test'!F28</f>
        <v>14797</v>
      </c>
      <c r="E5">
        <f>'XL-Test'!G28</f>
        <v>887.81999999999994</v>
      </c>
      <c r="F5">
        <f>'XL-Test'!H28</f>
        <v>1126643.58</v>
      </c>
      <c r="S5" t="str">
        <f ca="1">_xlfn.FORMULATEXT('XL-Test'!H25)</f>
        <v>=(F25-G25)*E25</v>
      </c>
    </row>
    <row r="6" spans="1:22">
      <c r="B6">
        <v>5</v>
      </c>
      <c r="C6" t="str">
        <f>'XL-Test'!D29</f>
        <v>Tomat</v>
      </c>
      <c r="D6">
        <f>'XL-Test'!F29</f>
        <v>24540</v>
      </c>
      <c r="E6">
        <f>'XL-Test'!G29</f>
        <v>1472.3999999999999</v>
      </c>
      <c r="F6">
        <f>'XL-Test'!H29</f>
        <v>968839.2</v>
      </c>
    </row>
    <row r="7" spans="1:22">
      <c r="B7">
        <v>6</v>
      </c>
      <c r="C7" t="str">
        <f>'XL-Test'!D30</f>
        <v>Pisang</v>
      </c>
      <c r="D7">
        <f>'XL-Test'!F30</f>
        <v>16198</v>
      </c>
      <c r="E7">
        <f>'XL-Test'!G30</f>
        <v>1457.82</v>
      </c>
      <c r="F7">
        <f>'XL-Test'!H30</f>
        <v>1768821.6</v>
      </c>
      <c r="S7" s="16"/>
    </row>
    <row r="8" spans="1:22">
      <c r="B8">
        <v>7</v>
      </c>
      <c r="C8" t="str">
        <f>'XL-Test'!D31</f>
        <v>Bayam</v>
      </c>
      <c r="D8">
        <f>'XL-Test'!F31</f>
        <v>17003</v>
      </c>
      <c r="E8">
        <f>'XL-Test'!G31</f>
        <v>1190.2099999999998</v>
      </c>
      <c r="F8">
        <f>'XL-Test'!H31</f>
        <v>1122708.0900000001</v>
      </c>
    </row>
    <row r="9" spans="1:22">
      <c r="B9">
        <v>8</v>
      </c>
      <c r="C9" t="str">
        <f>'XL-Test'!D32</f>
        <v>Jambu</v>
      </c>
      <c r="D9">
        <f>'XL-Test'!F32</f>
        <v>11716</v>
      </c>
      <c r="E9">
        <f>'XL-Test'!G32</f>
        <v>1054.44</v>
      </c>
      <c r="F9">
        <f>'XL-Test'!H32</f>
        <v>1386002.8</v>
      </c>
    </row>
    <row r="10" spans="1:22">
      <c r="B10">
        <v>9</v>
      </c>
      <c r="C10" t="str">
        <f>'XL-Test'!D33</f>
        <v>Mangga</v>
      </c>
      <c r="D10">
        <f>'XL-Test'!F33</f>
        <v>23220</v>
      </c>
      <c r="E10">
        <f>'XL-Test'!G33</f>
        <v>1393.2</v>
      </c>
      <c r="F10">
        <f>'XL-Test'!H33</f>
        <v>1091340</v>
      </c>
    </row>
    <row r="11" spans="1:22">
      <c r="B11">
        <v>10</v>
      </c>
      <c r="C11" t="str">
        <f>'XL-Test'!D34</f>
        <v>Manggis</v>
      </c>
      <c r="D11">
        <f>'XL-Test'!F34</f>
        <v>17408</v>
      </c>
      <c r="E11">
        <f>'XL-Test'!G34</f>
        <v>1218.5600000000002</v>
      </c>
      <c r="F11">
        <f>'XL-Test'!H34</f>
        <v>2185574.3999999999</v>
      </c>
    </row>
    <row r="13" spans="1:22">
      <c r="C13">
        <f>CODE(LEFT(C2))+CODE(LEFT(C3))+CODE(LEFT(C4))+CODE(LEFT(C5))+CODE(LEFT(C6))+CODE(LEFT(C7))+CODE(LEFT(C8))+CODE(LEFT(C9))+CODE(LEFT(C10))+CODE(LEFT(C11))+CODE(RIGHT(C2))+CODE(RIGHT(C5))+CODE(RIGHT(C7))+CODE(RIGHT(C9))</f>
        <v>1212</v>
      </c>
      <c r="D13">
        <f>SUM(D2:D11)+LEFT(D3,2)+LEFT(D7,2)+LEFT(D10,2)</f>
        <v>182260</v>
      </c>
      <c r="E13">
        <f>SUM(E2:E11)+LEFT(E4,2)+LEFT(E8,2)+LEFT(E10,2)</f>
        <v>11444.38</v>
      </c>
      <c r="F13">
        <f>SUM(F2:F11)+LEFT(F4,2)+LEFT(F8,2)+LEFT(F10,2)</f>
        <v>13138014.410000002</v>
      </c>
    </row>
    <row r="14" spans="1:22">
      <c r="A14" t="s">
        <v>83</v>
      </c>
      <c r="B14" t="s">
        <v>84</v>
      </c>
      <c r="C14" t="str">
        <f ca="1">IFERROR(DEC2HEX(IF(OR(C2=0,C2=""),C17,C13)),"EEE")&amp;AND(C22,C50)+0</f>
        <v>4BC1</v>
      </c>
      <c r="D14" t="str">
        <f ca="1">IFERROR(DEC2HEX(IF(OR(D2=0,D2=""),D17,D13)),"EEE")&amp;AND(D22,D50)+0</f>
        <v>2C7F41</v>
      </c>
      <c r="E14" t="str">
        <f ca="1">IFERROR(DEC2HEX(IF(OR(E2=0,E2=""),E17,E13)),"EEE")&amp;AND(E22,E50)+0</f>
        <v>2CB41</v>
      </c>
      <c r="F14" t="str">
        <f ca="1">IFERROR(DEC2HEX(IF(OR(F2=0,F2=""),F17,F13)),"EEE")&amp;AND(F22,F50)+0</f>
        <v>C8785E1</v>
      </c>
    </row>
    <row r="15" spans="1:22">
      <c r="B15" t="s">
        <v>85</v>
      </c>
    </row>
    <row r="17" spans="1:6">
      <c r="B17" t="s">
        <v>86</v>
      </c>
      <c r="C17">
        <v>20131</v>
      </c>
      <c r="D17">
        <v>4229</v>
      </c>
      <c r="E17">
        <v>8695</v>
      </c>
      <c r="F17">
        <v>87912</v>
      </c>
    </row>
    <row r="19" spans="1:6">
      <c r="B19" t="b">
        <v>1</v>
      </c>
      <c r="C19" t="str">
        <f>LEFT(DEC2HEX(C17),2)</f>
        <v>4E</v>
      </c>
      <c r="D19" t="str">
        <f t="shared" ref="D19:E19" si="0">LEFT(DEC2HEX(D17),2)</f>
        <v>10</v>
      </c>
      <c r="E19" t="str">
        <f t="shared" si="0"/>
        <v>21</v>
      </c>
      <c r="F19" t="str">
        <f t="shared" ref="F19" si="1">LEFT(DEC2HEX(F17),2)</f>
        <v>15</v>
      </c>
    </row>
    <row r="20" spans="1:6">
      <c r="B20" t="b">
        <v>0</v>
      </c>
      <c r="C20" t="str">
        <f>RIGHT(DEC2HEX(C17),2)</f>
        <v>A3</v>
      </c>
      <c r="D20" t="str">
        <f>RIGHT(DEC2HEX(D17),2)</f>
        <v>85</v>
      </c>
      <c r="E20" t="str">
        <f>RIGHT(DEC2HEX(E17),2)</f>
        <v>F7</v>
      </c>
      <c r="F20" t="str">
        <f>RIGHT(DEC2HEX(F17),2)</f>
        <v>68</v>
      </c>
    </row>
    <row r="22" spans="1:6">
      <c r="B22" t="s">
        <v>87</v>
      </c>
      <c r="C22" t="b">
        <f ca="1">AND(ISNUMBER(FIND("C",S2)),ISNUMBER(FIND("=",S2)))</f>
        <v>1</v>
      </c>
      <c r="D22" t="b">
        <f ca="1">AND(ISNUMBER(FIND("C",S3)),ISNUMBER(FIND("=",S3)))</f>
        <v>1</v>
      </c>
      <c r="E22" t="b">
        <f ca="1">AND(ISNUMBER(FIND("C",S4)),ISNUMBER(FIND("=",S4)))</f>
        <v>1</v>
      </c>
      <c r="F22" t="b">
        <f ca="1">AND(ISNUMBER(FIND("E",S5)),ISNUMBER(FIND("=",S5)))</f>
        <v>1</v>
      </c>
    </row>
    <row r="24" spans="1:6">
      <c r="B24" t="s">
        <v>88</v>
      </c>
      <c r="C24" t="b">
        <f ca="1">ISNUMBER(FIND("LOOKUP",S2))</f>
        <v>1</v>
      </c>
      <c r="D24" t="b">
        <f ca="1">OR(AND(ISNUMBER(FIND("MIN",S3)),ISNUMBER(FIND("IF",S3))),AND(ISNUMBER(FIND("VLOOKUP",S3)),ISNUMBER(FIND("MATCH",S3))),AND(ISNUMBER(FIND("INDEX",S3)),ISNUMBER(FIND("MATCH",S3))))</f>
        <v>1</v>
      </c>
      <c r="E24" t="b">
        <f ca="1">OR(AND(ISNUMBER(FIND("MAX",S4)),ISNUMBER(FIND("IF",S4))),AND(ISNUMBER(FIND("VLOOKUP",S4)),ISNUMBER(FIND("MATCH",S4))),AND(ISNUMBER(FIND("INDEX",S4)),ISNUMBER(FIND("MATCH",S4))))</f>
        <v>1</v>
      </c>
      <c r="F24" t="b">
        <f ca="1">OR(ISNUMBER(FIND("*",S5)),ISNUMBER(FIND("PRODUCT",S5)))</f>
        <v>1</v>
      </c>
    </row>
    <row r="25" spans="1:6">
      <c r="A25" t="s">
        <v>83</v>
      </c>
      <c r="C25" t="str">
        <f ca="1">IF(C24,C19,C20)&amp;(C29+0)</f>
        <v>4E1</v>
      </c>
      <c r="D25" t="str">
        <f t="shared" ref="D25:F25" ca="1" si="2">IF(D24,D19,D20)&amp;(D29+0)</f>
        <v>101</v>
      </c>
      <c r="E25" t="str">
        <f t="shared" ca="1" si="2"/>
        <v>211</v>
      </c>
      <c r="F25" t="str">
        <f t="shared" ca="1" si="2"/>
        <v>151</v>
      </c>
    </row>
    <row r="26" spans="1:6">
      <c r="B26" t="s">
        <v>89</v>
      </c>
      <c r="C26">
        <f ca="1">IFERROR(LEN(S2)-LEN(SUBSTITUTE(S2,"(","")),99)</f>
        <v>1</v>
      </c>
      <c r="D26">
        <f t="shared" ref="D26:F26" ca="1" si="3">IFERROR(LEN(T2)-LEN(SUBSTITUTE(T2,"(","")),99)</f>
        <v>3</v>
      </c>
      <c r="E26">
        <f t="shared" ca="1" si="3"/>
        <v>3</v>
      </c>
      <c r="F26">
        <f t="shared" ca="1" si="3"/>
        <v>1</v>
      </c>
    </row>
    <row r="27" spans="1:6">
      <c r="C27">
        <v>1</v>
      </c>
      <c r="D27">
        <v>4</v>
      </c>
      <c r="E27">
        <v>4</v>
      </c>
      <c r="F27">
        <v>1</v>
      </c>
    </row>
    <row r="28" spans="1:6">
      <c r="A28" t="s">
        <v>90</v>
      </c>
    </row>
    <row r="29" spans="1:6">
      <c r="B29" t="s">
        <v>91</v>
      </c>
      <c r="C29" t="b">
        <f ca="1">C26&lt;=C27</f>
        <v>1</v>
      </c>
      <c r="D29" t="b">
        <f ca="1">D26&lt;=D27</f>
        <v>1</v>
      </c>
      <c r="E29" t="b">
        <f t="shared" ref="E29:F29" ca="1" si="4">E26&lt;=E27</f>
        <v>1</v>
      </c>
      <c r="F29" t="b">
        <f t="shared" ca="1" si="4"/>
        <v>1</v>
      </c>
    </row>
    <row r="30" spans="1:6">
      <c r="C30" t="str">
        <f ca="1">C25&amp;"-"&amp;C14&amp;";"</f>
        <v>4E1-4BC1;</v>
      </c>
      <c r="D30" t="str">
        <f t="shared" ref="D30:F30" ca="1" si="5">D25&amp;"-"&amp;D14&amp;";"</f>
        <v>101-2C7F41;</v>
      </c>
      <c r="E30" t="str">
        <f t="shared" ca="1" si="5"/>
        <v>211-2CB41;</v>
      </c>
      <c r="F30" t="str">
        <f ca="1">F25&amp;"-"&amp;F14</f>
        <v>151-C8785E1</v>
      </c>
    </row>
    <row r="31" spans="1:6">
      <c r="C31" t="str">
        <f ca="1">A3&amp;"|"&amp;C30&amp;D30&amp;E30&amp;F30</f>
        <v>HB1|4E1-4BC1;101-2C7F41;211-2CB41;151-C8785E1</v>
      </c>
    </row>
    <row r="34" spans="2:6">
      <c r="B34">
        <v>1</v>
      </c>
      <c r="C34">
        <f ca="1">IFERROR(LEN(_xlfn.FORMULATEXT('XL-Test'!D25)),0)</f>
        <v>32</v>
      </c>
      <c r="D34">
        <f ca="1">IFERROR(LEN(_xlfn.FORMULATEXT('XL-Test'!F25)),0)</f>
        <v>75</v>
      </c>
      <c r="E34">
        <f ca="1">IFERROR(LEN(_xlfn.FORMULATEXT('XL-Test'!G25)),0)</f>
        <v>79</v>
      </c>
      <c r="F34">
        <f ca="1">IFERROR(LEN(_xlfn.FORMULATEXT('XL-Test'!H25)),0)</f>
        <v>14</v>
      </c>
    </row>
    <row r="35" spans="2:6">
      <c r="B35">
        <v>2</v>
      </c>
      <c r="C35">
        <f ca="1">IFERROR(LEN(_xlfn.FORMULATEXT('XL-Test'!D26)),0)</f>
        <v>32</v>
      </c>
      <c r="D35">
        <f ca="1">IFERROR(LEN(_xlfn.FORMULATEXT('XL-Test'!F26)),0)</f>
        <v>75</v>
      </c>
      <c r="E35">
        <f ca="1">IFERROR(LEN(_xlfn.FORMULATEXT('XL-Test'!G26)),0)</f>
        <v>79</v>
      </c>
      <c r="F35">
        <f ca="1">IFERROR(LEN(_xlfn.FORMULATEXT('XL-Test'!H26)),0)</f>
        <v>14</v>
      </c>
    </row>
    <row r="36" spans="2:6">
      <c r="B36">
        <v>3</v>
      </c>
      <c r="C36">
        <f ca="1">IFERROR(LEN(_xlfn.FORMULATEXT('XL-Test'!D27)),0)</f>
        <v>32</v>
      </c>
      <c r="D36">
        <f ca="1">IFERROR(LEN(_xlfn.FORMULATEXT('XL-Test'!F27)),0)</f>
        <v>75</v>
      </c>
      <c r="E36">
        <f ca="1">IFERROR(LEN(_xlfn.FORMULATEXT('XL-Test'!G27)),0)</f>
        <v>79</v>
      </c>
      <c r="F36">
        <f ca="1">IFERROR(LEN(_xlfn.FORMULATEXT('XL-Test'!H27)),0)</f>
        <v>14</v>
      </c>
    </row>
    <row r="37" spans="2:6">
      <c r="B37">
        <v>4</v>
      </c>
      <c r="C37">
        <f ca="1">IFERROR(LEN(_xlfn.FORMULATEXT('XL-Test'!D28)),0)</f>
        <v>32</v>
      </c>
      <c r="D37">
        <f ca="1">IFERROR(LEN(_xlfn.FORMULATEXT('XL-Test'!F28)),0)</f>
        <v>75</v>
      </c>
      <c r="E37">
        <f ca="1">IFERROR(LEN(_xlfn.FORMULATEXT('XL-Test'!G28)),0)</f>
        <v>79</v>
      </c>
      <c r="F37">
        <f ca="1">IFERROR(LEN(_xlfn.FORMULATEXT('XL-Test'!H28)),0)</f>
        <v>14</v>
      </c>
    </row>
    <row r="38" spans="2:6">
      <c r="B38">
        <v>5</v>
      </c>
      <c r="C38">
        <f ca="1">IFERROR(LEN(_xlfn.FORMULATEXT('XL-Test'!D29)),0)</f>
        <v>32</v>
      </c>
      <c r="D38">
        <f ca="1">IFERROR(LEN(_xlfn.FORMULATEXT('XL-Test'!F29)),0)</f>
        <v>75</v>
      </c>
      <c r="E38">
        <f ca="1">IFERROR(LEN(_xlfn.FORMULATEXT('XL-Test'!G29)),0)</f>
        <v>79</v>
      </c>
      <c r="F38">
        <f ca="1">IFERROR(LEN(_xlfn.FORMULATEXT('XL-Test'!H29)),0)</f>
        <v>14</v>
      </c>
    </row>
    <row r="39" spans="2:6">
      <c r="B39">
        <v>6</v>
      </c>
      <c r="C39">
        <f ca="1">IFERROR(LEN(_xlfn.FORMULATEXT('XL-Test'!D30)),0)</f>
        <v>32</v>
      </c>
      <c r="D39">
        <f ca="1">IFERROR(LEN(_xlfn.FORMULATEXT('XL-Test'!F30)),0)</f>
        <v>75</v>
      </c>
      <c r="E39">
        <f ca="1">IFERROR(LEN(_xlfn.FORMULATEXT('XL-Test'!G30)),0)</f>
        <v>79</v>
      </c>
      <c r="F39">
        <f ca="1">IFERROR(LEN(_xlfn.FORMULATEXT('XL-Test'!H30)),0)</f>
        <v>14</v>
      </c>
    </row>
    <row r="40" spans="2:6">
      <c r="B40">
        <v>7</v>
      </c>
      <c r="C40">
        <f ca="1">IFERROR(LEN(_xlfn.FORMULATEXT('XL-Test'!D31)),0)</f>
        <v>32</v>
      </c>
      <c r="D40">
        <f ca="1">IFERROR(LEN(_xlfn.FORMULATEXT('XL-Test'!F31)),0)</f>
        <v>75</v>
      </c>
      <c r="E40">
        <f ca="1">IFERROR(LEN(_xlfn.FORMULATEXT('XL-Test'!G31)),0)</f>
        <v>79</v>
      </c>
      <c r="F40">
        <f ca="1">IFERROR(LEN(_xlfn.FORMULATEXT('XL-Test'!H31)),0)</f>
        <v>14</v>
      </c>
    </row>
    <row r="41" spans="2:6">
      <c r="B41">
        <v>8</v>
      </c>
      <c r="C41">
        <f ca="1">IFERROR(LEN(_xlfn.FORMULATEXT('XL-Test'!D32)),0)</f>
        <v>32</v>
      </c>
      <c r="D41">
        <f ca="1">IFERROR(LEN(_xlfn.FORMULATEXT('XL-Test'!F32)),0)</f>
        <v>75</v>
      </c>
      <c r="E41">
        <f ca="1">IFERROR(LEN(_xlfn.FORMULATEXT('XL-Test'!G32)),0)</f>
        <v>79</v>
      </c>
      <c r="F41">
        <f ca="1">IFERROR(LEN(_xlfn.FORMULATEXT('XL-Test'!H32)),0)</f>
        <v>14</v>
      </c>
    </row>
    <row r="42" spans="2:6">
      <c r="B42">
        <v>9</v>
      </c>
      <c r="C42">
        <f ca="1">IFERROR(LEN(_xlfn.FORMULATEXT('XL-Test'!D33)),0)</f>
        <v>32</v>
      </c>
      <c r="D42">
        <f ca="1">IFERROR(LEN(_xlfn.FORMULATEXT('XL-Test'!F33)),0)</f>
        <v>75</v>
      </c>
      <c r="E42">
        <f ca="1">IFERROR(LEN(_xlfn.FORMULATEXT('XL-Test'!G33)),0)</f>
        <v>79</v>
      </c>
      <c r="F42">
        <f ca="1">IFERROR(LEN(_xlfn.FORMULATEXT('XL-Test'!H33)),0)</f>
        <v>14</v>
      </c>
    </row>
    <row r="43" spans="2:6">
      <c r="B43">
        <v>10</v>
      </c>
      <c r="C43">
        <f ca="1">IFERROR(LEN(_xlfn.FORMULATEXT('XL-Test'!D34)),0)</f>
        <v>32</v>
      </c>
      <c r="D43">
        <f ca="1">IFERROR(LEN(_xlfn.FORMULATEXT('XL-Test'!F34)),0)</f>
        <v>75</v>
      </c>
      <c r="E43">
        <f ca="1">IFERROR(LEN(_xlfn.FORMULATEXT('XL-Test'!G34)),0)</f>
        <v>79</v>
      </c>
      <c r="F43">
        <f ca="1">IFERROR(LEN(_xlfn.FORMULATEXT('XL-Test'!H34)),0)</f>
        <v>14</v>
      </c>
    </row>
    <row r="45" spans="2:6">
      <c r="C45">
        <f ca="1">AVERAGE(C34:C43)</f>
        <v>32</v>
      </c>
      <c r="D45">
        <f ca="1">AVERAGE(D34:D43)</f>
        <v>75</v>
      </c>
      <c r="E45">
        <f ca="1">AVERAGE(E34:E43)</f>
        <v>79</v>
      </c>
      <c r="F45">
        <f ca="1">AVERAGE(F34:F43)</f>
        <v>14</v>
      </c>
    </row>
    <row r="46" spans="2:6">
      <c r="B46" t="s">
        <v>92</v>
      </c>
      <c r="C46" t="b">
        <f ca="1">C45=C34</f>
        <v>1</v>
      </c>
      <c r="D46" t="b">
        <f ca="1">D45=D34</f>
        <v>1</v>
      </c>
      <c r="E46" t="b">
        <f ca="1">E45=E34</f>
        <v>1</v>
      </c>
      <c r="F46" t="b">
        <f ca="1">F45=F34</f>
        <v>1</v>
      </c>
    </row>
    <row r="48" spans="2:6">
      <c r="B48" t="s">
        <v>93</v>
      </c>
      <c r="C48" t="b">
        <f ca="1">AND(C34&gt;0,C36=0,C4&gt;0)</f>
        <v>0</v>
      </c>
      <c r="D48" t="b">
        <f ca="1">AND(D34&gt;0,D36=0,D4&gt;0)</f>
        <v>0</v>
      </c>
      <c r="E48" t="b">
        <f ca="1">AND(E34&gt;0,E36=0,E4&gt;0)</f>
        <v>0</v>
      </c>
      <c r="F48" t="b">
        <f ca="1">AND(F34&gt;0,F36=0,F4&gt;0)</f>
        <v>0</v>
      </c>
    </row>
    <row r="50" spans="2:6">
      <c r="B50" t="s">
        <v>94</v>
      </c>
      <c r="C50" t="b">
        <f ca="1">OR(C46,C48)</f>
        <v>1</v>
      </c>
      <c r="D50" t="b">
        <f ca="1">OR(D46,D48)</f>
        <v>1</v>
      </c>
      <c r="E50" t="b">
        <f ca="1">OR(E46,E48)</f>
        <v>1</v>
      </c>
      <c r="F50" t="b">
        <f ca="1">OR(F46,F48)</f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Siti Rukoyah Al Munazalah</cp:lastModifiedBy>
  <cp:revision/>
  <dcterms:created xsi:type="dcterms:W3CDTF">2021-11-03T16:28:15Z</dcterms:created>
  <dcterms:modified xsi:type="dcterms:W3CDTF">2026-06-12T18:51:00Z</dcterms:modified>
  <cp:category/>
  <cp:contentStatus/>
</cp:coreProperties>
</file>