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219" documentId="8_{46580CD2-DDD7-4765-B7F0-BC6F6343753E}" xr6:coauthVersionLast="47" xr6:coauthVersionMax="47" xr10:uidLastSave="{773F20D3-0AD2-4455-B97E-5DB37BCEA977}"/>
  <workbookProtection workbookAlgorithmName="SHA-512" workbookHashValue="eReZC3ch5+1R7n7q2QwCl3ukuilz3UqoHUpyadSaGYAyt5N3Uana2BB6z51QOpf4iAbUwhH4NZjBVHlzOV8SQA==" workbookSaltValue="gt0/YiuX04tXdZaXb+NFAQ==" workbookSpinCount="100000" lockStructure="1"/>
  <bookViews>
    <workbookView xWindow="28692" yWindow="-108" windowWidth="29016" windowHeight="15696" xr2:uid="{9F4BA3ED-5E77-4465-A92E-7B8C29F2A507}"/>
  </bookViews>
  <sheets>
    <sheet name="XL-TEST" sheetId="1" r:id="rId1"/>
    <sheet name="DF" sheetId="2" state="veryHidden" r:id="rId2"/>
  </sheets>
  <definedNames>
    <definedName name="kunci_jawaban">DF!$C$33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 a="1"/>
  <c r="O12" i="1"/>
  <c r="O13" i="1" a="1"/>
  <c r="O13" i="1"/>
  <c r="O14" i="1" a="1"/>
  <c r="O14" i="1"/>
  <c r="O15" i="1" a="1"/>
  <c r="O15" i="1"/>
  <c r="O16" i="1" a="1"/>
  <c r="O16" i="1"/>
  <c r="O17" i="1" a="1"/>
  <c r="O17" i="1"/>
  <c r="O18" i="1" a="1"/>
  <c r="O18" i="1"/>
  <c r="O19" i="1" a="1"/>
  <c r="O19" i="1"/>
  <c r="O20" i="1" a="1"/>
  <c r="O20" i="1"/>
  <c r="O21" i="1" a="1"/>
  <c r="O21" i="1"/>
  <c r="O22" i="1" a="1"/>
  <c r="O22" i="1"/>
  <c r="O23" i="1" a="1"/>
  <c r="O23" i="1"/>
  <c r="O24" i="1" a="1"/>
  <c r="O24" i="1"/>
  <c r="O25" i="1" a="1"/>
  <c r="O25" i="1"/>
  <c r="O11" i="1" a="1"/>
  <c r="O11" i="1"/>
  <c r="S12" i="1" a="1"/>
  <c r="S12" i="1"/>
  <c r="S13" i="1" a="1"/>
  <c r="S13" i="1"/>
  <c r="S14" i="1" a="1"/>
  <c r="S14" i="1"/>
  <c r="S15" i="1" a="1"/>
  <c r="S15" i="1"/>
  <c r="S16" i="1" a="1"/>
  <c r="S16" i="1"/>
  <c r="S17" i="1" a="1"/>
  <c r="S17" i="1"/>
  <c r="S18" i="1" a="1"/>
  <c r="S18" i="1"/>
  <c r="S19" i="1" a="1"/>
  <c r="S19" i="1"/>
  <c r="S20" i="1" a="1"/>
  <c r="S20" i="1"/>
  <c r="S21" i="1" a="1"/>
  <c r="S21" i="1"/>
  <c r="S22" i="1" a="1"/>
  <c r="S22" i="1"/>
  <c r="S23" i="1" a="1"/>
  <c r="S23" i="1"/>
  <c r="S24" i="1" a="1"/>
  <c r="S24" i="1"/>
  <c r="S25" i="1" a="1"/>
  <c r="S25" i="1"/>
  <c r="S11" i="1" a="1"/>
  <c r="S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11" i="1"/>
  <c r="T12" i="1" a="1"/>
  <c r="T12" i="1"/>
  <c r="T13" i="1" a="1"/>
  <c r="T13" i="1"/>
  <c r="T14" i="1" a="1"/>
  <c r="T14" i="1"/>
  <c r="T15" i="1" a="1"/>
  <c r="T15" i="1"/>
  <c r="T16" i="1" a="1"/>
  <c r="T16" i="1"/>
  <c r="T17" i="1" a="1"/>
  <c r="T17" i="1"/>
  <c r="T18" i="1" a="1"/>
  <c r="T18" i="1"/>
  <c r="T19" i="1" a="1"/>
  <c r="T19" i="1"/>
  <c r="T20" i="1" a="1"/>
  <c r="T20" i="1"/>
  <c r="T21" i="1" a="1"/>
  <c r="T21" i="1"/>
  <c r="T22" i="1" a="1"/>
  <c r="T22" i="1"/>
  <c r="T23" i="1" a="1"/>
  <c r="T23" i="1"/>
  <c r="T24" i="1" a="1"/>
  <c r="T24" i="1"/>
  <c r="T25" i="1" a="1"/>
  <c r="T25" i="1"/>
  <c r="T11" i="1" a="1"/>
  <c r="T11" i="1"/>
  <c r="R25" i="1" a="1"/>
  <c r="R25" i="1"/>
  <c r="R12" i="1" a="1"/>
  <c r="R12" i="1"/>
  <c r="R13" i="1" a="1"/>
  <c r="R13" i="1"/>
  <c r="R14" i="1" a="1"/>
  <c r="R14" i="1"/>
  <c r="R15" i="1" a="1"/>
  <c r="R15" i="1"/>
  <c r="R16" i="1" a="1"/>
  <c r="R16" i="1"/>
  <c r="R17" i="1" a="1"/>
  <c r="R17" i="1"/>
  <c r="R18" i="1" a="1"/>
  <c r="R18" i="1"/>
  <c r="R19" i="1" a="1"/>
  <c r="R19" i="1"/>
  <c r="R20" i="1" a="1"/>
  <c r="R20" i="1"/>
  <c r="R21" i="1" a="1"/>
  <c r="R21" i="1"/>
  <c r="R22" i="1" a="1"/>
  <c r="R22" i="1"/>
  <c r="R23" i="1" a="1"/>
  <c r="R23" i="1"/>
  <c r="R24" i="1" a="1"/>
  <c r="R24" i="1"/>
  <c r="R11" i="1" a="1"/>
  <c r="R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11" i="1" a="1"/>
  <c r="I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11" i="1" a="1"/>
  <c r="H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11" i="1"/>
  <c r="I7" i="2"/>
  <c r="H7" i="2"/>
  <c r="M2" i="2"/>
  <c r="M3" i="2"/>
  <c r="M4" i="2"/>
  <c r="M5" i="2"/>
  <c r="M6" i="2"/>
  <c r="K2" i="2"/>
  <c r="L2" i="2"/>
  <c r="K3" i="2"/>
  <c r="L3" i="2"/>
  <c r="K4" i="2"/>
  <c r="L4" i="2"/>
  <c r="K5" i="2"/>
  <c r="L5" i="2"/>
  <c r="K6" i="2"/>
  <c r="L6" i="2"/>
  <c r="D2" i="2"/>
  <c r="E2" i="2"/>
  <c r="F2" i="2"/>
  <c r="G2" i="2"/>
  <c r="H2" i="2"/>
  <c r="I2" i="2"/>
  <c r="J2" i="2"/>
  <c r="D3" i="2"/>
  <c r="E3" i="2"/>
  <c r="F3" i="2"/>
  <c r="G3" i="2"/>
  <c r="H3" i="2"/>
  <c r="I3" i="2"/>
  <c r="J3" i="2"/>
  <c r="D4" i="2"/>
  <c r="E4" i="2"/>
  <c r="F4" i="2"/>
  <c r="G4" i="2"/>
  <c r="H4" i="2"/>
  <c r="I4" i="2"/>
  <c r="J4" i="2"/>
  <c r="D5" i="2"/>
  <c r="E5" i="2"/>
  <c r="F5" i="2"/>
  <c r="G5" i="2"/>
  <c r="H5" i="2"/>
  <c r="I5" i="2"/>
  <c r="J5" i="2"/>
  <c r="D6" i="2"/>
  <c r="E6" i="2"/>
  <c r="F6" i="2"/>
  <c r="G6" i="2"/>
  <c r="H6" i="2"/>
  <c r="I6" i="2"/>
  <c r="J6" i="2"/>
  <c r="C6" i="2"/>
  <c r="C5" i="2"/>
  <c r="C3" i="2"/>
  <c r="C4" i="2"/>
  <c r="C2" i="2"/>
  <c r="C11" i="2" s="1"/>
  <c r="X1" i="2"/>
  <c r="Y1" i="2"/>
  <c r="Z1" i="2"/>
  <c r="AA1" i="2"/>
  <c r="AB1" i="2"/>
  <c r="AC1" i="2"/>
  <c r="AD1" i="2"/>
  <c r="AE1" i="2"/>
  <c r="AF1" i="2"/>
  <c r="AG1" i="2"/>
  <c r="AH1" i="2"/>
  <c r="W10" i="2"/>
  <c r="W11" i="2"/>
  <c r="W12" i="2"/>
  <c r="W8" i="2"/>
  <c r="W9" i="2"/>
  <c r="W2" i="2"/>
  <c r="W3" i="2"/>
  <c r="W4" i="2"/>
  <c r="W5" i="2"/>
  <c r="W6" i="2"/>
  <c r="W7" i="2"/>
  <c r="W1" i="2"/>
  <c r="N3" i="2"/>
  <c r="N4" i="2"/>
  <c r="N5" i="2"/>
  <c r="N6" i="2"/>
  <c r="M11" i="2" l="1"/>
  <c r="L11" i="2"/>
  <c r="D11" i="2"/>
  <c r="J11" i="2"/>
  <c r="F11" i="2"/>
  <c r="H8" i="2"/>
  <c r="H11" i="2" s="1"/>
  <c r="K11" i="2"/>
  <c r="E11" i="2"/>
  <c r="G11" i="2"/>
  <c r="I8" i="2"/>
  <c r="I11" i="2" s="1"/>
  <c r="N7" i="2"/>
  <c r="N2" i="2"/>
  <c r="C27" i="2"/>
  <c r="C29" i="2" s="1"/>
  <c r="D23" i="2"/>
  <c r="D25" i="2" s="1"/>
  <c r="D27" i="2"/>
  <c r="D29" i="2" s="1"/>
  <c r="E23" i="2"/>
  <c r="E25" i="2" s="1"/>
  <c r="E27" i="2"/>
  <c r="E29" i="2" s="1"/>
  <c r="F23" i="2"/>
  <c r="F25" i="2" s="1"/>
  <c r="F27" i="2"/>
  <c r="F29" i="2" s="1"/>
  <c r="G23" i="2"/>
  <c r="G25" i="2" s="1"/>
  <c r="G27" i="2"/>
  <c r="G29" i="2" s="1"/>
  <c r="H23" i="2"/>
  <c r="H25" i="2" s="1"/>
  <c r="H27" i="2"/>
  <c r="H29" i="2" s="1"/>
  <c r="I23" i="2"/>
  <c r="I25" i="2" s="1"/>
  <c r="I27" i="2"/>
  <c r="I29" i="2" s="1"/>
  <c r="J23" i="2"/>
  <c r="J25" i="2" s="1"/>
  <c r="J27" i="2"/>
  <c r="J29" i="2" s="1"/>
  <c r="K23" i="2"/>
  <c r="K25" i="2" s="1"/>
  <c r="K27" i="2"/>
  <c r="K29" i="2" s="1"/>
  <c r="L23" i="2"/>
  <c r="L25" i="2" s="1"/>
  <c r="L27" i="2"/>
  <c r="L29" i="2" s="1"/>
  <c r="M23" i="2"/>
  <c r="M25" i="2" s="1"/>
  <c r="M27" i="2"/>
  <c r="M29" i="2" s="1"/>
  <c r="N23" i="2"/>
  <c r="N25" i="2" s="1"/>
  <c r="N27" i="2"/>
  <c r="N29" i="2" s="1"/>
  <c r="C23" i="2"/>
  <c r="C25" i="2" s="1"/>
  <c r="D22" i="2"/>
  <c r="D12" i="2" s="1"/>
  <c r="E22" i="2"/>
  <c r="E12" i="2" s="1"/>
  <c r="F22" i="2"/>
  <c r="F12" i="2" s="1"/>
  <c r="G22" i="2"/>
  <c r="G12" i="2" s="1"/>
  <c r="H22" i="2"/>
  <c r="H12" i="2" s="1"/>
  <c r="I22" i="2"/>
  <c r="I12" i="2" s="1"/>
  <c r="J22" i="2"/>
  <c r="J12" i="2" s="1"/>
  <c r="K22" i="2"/>
  <c r="K12" i="2" s="1"/>
  <c r="L22" i="2"/>
  <c r="L12" i="2" s="1"/>
  <c r="M22" i="2"/>
  <c r="M12" i="2" s="1"/>
  <c r="N22" i="2"/>
  <c r="C22" i="2"/>
  <c r="C12" i="2" s="1"/>
  <c r="N8" i="2" l="1"/>
  <c r="N11" i="2" s="1"/>
  <c r="N12" i="2" s="1"/>
  <c r="C31" i="2"/>
  <c r="C14" i="2"/>
  <c r="C15" i="2"/>
  <c r="D31" i="2"/>
  <c r="E31" i="2"/>
  <c r="G31" i="2"/>
  <c r="J31" i="2"/>
  <c r="K31" i="2"/>
  <c r="F31" i="2"/>
  <c r="H31" i="2"/>
  <c r="I31" i="2"/>
  <c r="M31" i="2"/>
  <c r="N31" i="2"/>
  <c r="L31" i="2"/>
  <c r="C18" i="2" l="1"/>
  <c r="C20" i="2" s="1"/>
  <c r="D14" i="2"/>
  <c r="D15" i="2"/>
  <c r="E14" i="2"/>
  <c r="E15" i="2"/>
  <c r="G14" i="2"/>
  <c r="G15" i="2"/>
  <c r="J14" i="2"/>
  <c r="J15" i="2"/>
  <c r="K14" i="2"/>
  <c r="K15" i="2"/>
  <c r="F14" i="2"/>
  <c r="F15" i="2"/>
  <c r="H14" i="2"/>
  <c r="H15" i="2"/>
  <c r="I14" i="2"/>
  <c r="I15" i="2"/>
  <c r="M14" i="2"/>
  <c r="M15" i="2"/>
  <c r="N14" i="2"/>
  <c r="N15" i="2"/>
  <c r="L14" i="2"/>
  <c r="L15" i="2"/>
  <c r="K18" i="2" l="1"/>
  <c r="K20" i="2" s="1"/>
  <c r="N18" i="2"/>
  <c r="N20" i="2" s="1"/>
  <c r="L18" i="2"/>
  <c r="L20" i="2" s="1"/>
  <c r="M18" i="2"/>
  <c r="M20" i="2" s="1"/>
  <c r="E18" i="2"/>
  <c r="E20" i="2" s="1"/>
  <c r="G18" i="2"/>
  <c r="G20" i="2" s="1"/>
  <c r="I18" i="2"/>
  <c r="I20" i="2" s="1"/>
  <c r="J18" i="2"/>
  <c r="J20" i="2" s="1"/>
  <c r="F18" i="2"/>
  <c r="F20" i="2" s="1"/>
  <c r="D18" i="2"/>
  <c r="D20" i="2" s="1"/>
  <c r="H18" i="2"/>
  <c r="H20" i="2" s="1"/>
  <c r="C33" i="2" l="1"/>
  <c r="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<sst xmlns="http://schemas.openxmlformats.org/spreadsheetml/2006/main" count="126" uniqueCount="107">
  <si>
    <r>
      <t xml:space="preserve">Hard Level  </t>
    </r>
    <r>
      <rPr>
        <sz val="9"/>
        <color rgb="FFFFC000"/>
        <rFont val="Aptos Narrow"/>
        <family val="2"/>
        <scheme val="minor"/>
      </rPr>
      <t>(⭐⭐⭐)</t>
    </r>
  </si>
  <si>
    <t>KODE SOAL</t>
  </si>
  <si>
    <t>SBEH007</t>
  </si>
  <si>
    <t>KODE JAWABAN</t>
  </si>
  <si>
    <r>
      <t xml:space="preserve">Selesai mengerjakan? Kirimkan Kode Jawaban diatas ke alamat :  </t>
    </r>
    <r>
      <rPr>
        <b/>
        <sz val="11"/>
        <color rgb="FF0070C0"/>
        <rFont val="Aptos Narrow"/>
        <family val="2"/>
        <scheme val="minor"/>
      </rPr>
      <t>https://belajarexcel.id/xl-test/</t>
    </r>
    <r>
      <rPr>
        <sz val="11"/>
        <color theme="1"/>
        <rFont val="Aptos Narrow"/>
        <family val="2"/>
        <scheme val="minor"/>
      </rPr>
      <t xml:space="preserve">  untuk mengecek hasil jawaban</t>
    </r>
  </si>
  <si>
    <t>Hari ini</t>
  </si>
  <si>
    <t>(1) IF</t>
  </si>
  <si>
    <t>(2) CHOOSE</t>
  </si>
  <si>
    <t>(3) CHOOSE</t>
  </si>
  <si>
    <t>(4) SWITCH</t>
  </si>
  <si>
    <t>(5) SWITCH</t>
  </si>
  <si>
    <t>(6)IF</t>
  </si>
  <si>
    <t>(7)IF</t>
  </si>
  <si>
    <t>(8) IF</t>
  </si>
  <si>
    <t>(9) SWITCH</t>
  </si>
  <si>
    <t>(10) SWITCH</t>
  </si>
  <si>
    <t>(11) IFS</t>
  </si>
  <si>
    <t>(12) IFS</t>
  </si>
  <si>
    <t>No</t>
  </si>
  <si>
    <t>Kode Pelanggan</t>
  </si>
  <si>
    <t>Kode Produk</t>
  </si>
  <si>
    <t>Nama Pelanggan</t>
  </si>
  <si>
    <t>Asal Gudang</t>
  </si>
  <si>
    <t>Asal Produksi</t>
  </si>
  <si>
    <t>Jenis Produk</t>
  </si>
  <si>
    <t>Warna Produk</t>
  </si>
  <si>
    <t>Biaya Tambahan</t>
  </si>
  <si>
    <t>Bonus</t>
  </si>
  <si>
    <t>Penjualan 1</t>
  </si>
  <si>
    <t>Penjualan 2</t>
  </si>
  <si>
    <t>Kategori</t>
  </si>
  <si>
    <t>Tanggal Mulai Promo</t>
  </si>
  <si>
    <t>Tanggal Berakhir Promo</t>
  </si>
  <si>
    <t>Status Promo</t>
  </si>
  <si>
    <t>Grade</t>
  </si>
  <si>
    <t>Ongkos Kirim</t>
  </si>
  <si>
    <t>P-002</t>
  </si>
  <si>
    <t>TS-BLK-A2</t>
  </si>
  <si>
    <t>P-001</t>
  </si>
  <si>
    <t>KM-WHT-C1</t>
  </si>
  <si>
    <t>P-003</t>
  </si>
  <si>
    <t>TS-RED-B1</t>
  </si>
  <si>
    <t>JP-BLK-C3</t>
  </si>
  <si>
    <t>JP-RED-D1</t>
  </si>
  <si>
    <t>HB-BLK-B3</t>
  </si>
  <si>
    <t>SW-WHT-C1</t>
  </si>
  <si>
    <t>HB-RED-A3</t>
  </si>
  <si>
    <t>TS-BLK-D1</t>
  </si>
  <si>
    <t>JP-WHT-A2</t>
  </si>
  <si>
    <t>HB-BLK-A3</t>
  </si>
  <si>
    <t>TS-WHT-B3</t>
  </si>
  <si>
    <t>HB-RED-B1</t>
  </si>
  <si>
    <t>SW-RED-A2</t>
  </si>
  <si>
    <t>Tidak menggunakan kolom bantu.</t>
  </si>
  <si>
    <t>*</t>
  </si>
  <si>
    <t>Isi Kolom-kolom kosong diatas menggunakan Fungsi logika yang ditentukan oleh soal:</t>
  </si>
  <si>
    <t>**</t>
  </si>
  <si>
    <r>
      <t xml:space="preserve">Pada soal ini akan menggunakan fungsi </t>
    </r>
    <r>
      <rPr>
        <b/>
        <sz val="11"/>
        <color rgb="FF0070C0"/>
        <rFont val="Aptos Narrow"/>
        <family val="2"/>
        <scheme val="minor"/>
      </rPr>
      <t>IF,IFS,SWITCH</t>
    </r>
    <r>
      <rPr>
        <sz val="11"/>
        <color theme="1"/>
        <rFont val="Aptos Narrow"/>
        <family val="2"/>
        <scheme val="minor"/>
      </rPr>
      <t xml:space="preserve"> dan </t>
    </r>
    <r>
      <rPr>
        <b/>
        <sz val="11"/>
        <color rgb="FF0070C0"/>
        <rFont val="Aptos Narrow"/>
        <family val="2"/>
        <scheme val="minor"/>
      </rPr>
      <t>CHOOSE</t>
    </r>
    <r>
      <rPr>
        <sz val="11"/>
        <color theme="1"/>
        <rFont val="Aptos Narrow"/>
        <family val="2"/>
        <scheme val="minor"/>
      </rPr>
      <t xml:space="preserve"> dimana Versi Excel minimal yang dibutuhkan adalah versi </t>
    </r>
    <r>
      <rPr>
        <b/>
        <u/>
        <sz val="11"/>
        <color rgb="FF0070C0"/>
        <rFont val="Aptos Narrow"/>
        <family val="2"/>
        <scheme val="minor"/>
      </rPr>
      <t>Excel 2019</t>
    </r>
  </si>
  <si>
    <t>Soal</t>
  </si>
  <si>
    <r>
      <t xml:space="preserve">Isi kolom </t>
    </r>
    <r>
      <rPr>
        <b/>
        <sz val="11"/>
        <color theme="1"/>
        <rFont val="Aptos Narrow"/>
        <family val="2"/>
        <scheme val="minor"/>
      </rPr>
      <t>Nama Pelangan</t>
    </r>
    <r>
      <rPr>
        <sz val="11"/>
        <color theme="1"/>
        <rFont val="Aptos Narrow"/>
        <family val="2"/>
        <scheme val="minor"/>
      </rPr>
      <t xml:space="preserve"> berdasarkan </t>
    </r>
    <r>
      <rPr>
        <b/>
        <sz val="11"/>
        <color theme="1"/>
        <rFont val="Aptos Narrow"/>
        <family val="2"/>
        <scheme val="minor"/>
      </rPr>
      <t>Kode Pelanggan</t>
    </r>
    <r>
      <rPr>
        <sz val="11"/>
        <color theme="1"/>
        <rFont val="Aptos Narrow"/>
        <family val="2"/>
        <scheme val="minor"/>
      </rPr>
      <t xml:space="preserve"> Menggunakan Fungsi </t>
    </r>
    <r>
      <rPr>
        <b/>
        <sz val="11"/>
        <color rgb="FF0070C0"/>
        <rFont val="Aptos Narrow"/>
        <family val="2"/>
        <scheme val="minor"/>
      </rPr>
      <t>IF</t>
    </r>
    <r>
      <rPr>
        <sz val="11"/>
        <color theme="1"/>
        <rFont val="Aptos Narrow"/>
        <family val="2"/>
        <scheme val="minor"/>
      </rPr>
      <t xml:space="preserve"> </t>
    </r>
  </si>
  <si>
    <r>
      <t>Isi Kolom</t>
    </r>
    <r>
      <rPr>
        <b/>
        <sz val="11"/>
        <color theme="1"/>
        <rFont val="Aptos Narrow"/>
        <family val="2"/>
        <scheme val="minor"/>
      </rPr>
      <t xml:space="preserve"> Kategori</t>
    </r>
    <r>
      <rPr>
        <sz val="11"/>
        <color theme="1"/>
        <rFont val="Aptos Narrow"/>
        <family val="2"/>
        <scheme val="minor"/>
      </rPr>
      <t xml:space="preserve"> berdasarkan </t>
    </r>
    <r>
      <rPr>
        <b/>
        <sz val="11"/>
        <color theme="1"/>
        <rFont val="Aptos Narrow"/>
        <family val="2"/>
        <scheme val="minor"/>
      </rPr>
      <t>Penjualan 1</t>
    </r>
    <r>
      <rPr>
        <sz val="11"/>
        <color theme="1"/>
        <rFont val="Aptos Narrow"/>
        <family val="2"/>
        <scheme val="minor"/>
      </rPr>
      <t xml:space="preserve"> dan </t>
    </r>
    <r>
      <rPr>
        <b/>
        <sz val="11"/>
        <color theme="1"/>
        <rFont val="Aptos Narrow"/>
        <family val="2"/>
        <scheme val="minor"/>
      </rPr>
      <t xml:space="preserve">Penjualan 2 </t>
    </r>
    <r>
      <rPr>
        <sz val="11"/>
        <color theme="1"/>
        <rFont val="Aptos Narrow"/>
        <family val="2"/>
        <scheme val="minor"/>
      </rPr>
      <t xml:space="preserve">mengunakan Fungsi </t>
    </r>
    <r>
      <rPr>
        <b/>
        <sz val="11"/>
        <color rgb="FF0070C0"/>
        <rFont val="Aptos Narrow"/>
        <family val="2"/>
        <scheme val="minor"/>
      </rPr>
      <t>SWITCH</t>
    </r>
  </si>
  <si>
    <t xml:space="preserve">          =&gt; Jika P-001 maka "Toko Cemerlang", Jika P-002 maka "Toko Bagus", Jika P-003 maka "Toko Sinar"</t>
  </si>
  <si>
    <t xml:space="preserve">          =&gt; Jika Penjuala 1 dan Penjualan 2 lebih besar sama dengan 80 maka "Laku"</t>
  </si>
  <si>
    <t xml:space="preserve">          =&gt; Jika Penjuala 1 lebih besar sama dengan 80 dan Penjualan 2 lebih kecil dari 80 maka "Turun"</t>
  </si>
  <si>
    <r>
      <t>Isi Kolom</t>
    </r>
    <r>
      <rPr>
        <b/>
        <sz val="11"/>
        <color theme="1"/>
        <rFont val="Aptos Narrow"/>
        <family val="2"/>
        <scheme val="minor"/>
      </rPr>
      <t xml:space="preserve"> Asal Gudang</t>
    </r>
    <r>
      <rPr>
        <sz val="11"/>
        <color theme="1"/>
        <rFont val="Aptos Narrow"/>
        <family val="2"/>
        <scheme val="minor"/>
      </rPr>
      <t xml:space="preserve"> berdasarkan </t>
    </r>
    <r>
      <rPr>
        <b/>
        <sz val="11"/>
        <color theme="1"/>
        <rFont val="Aptos Narrow"/>
        <family val="2"/>
        <scheme val="minor"/>
      </rPr>
      <t>Kode Produk</t>
    </r>
    <r>
      <rPr>
        <sz val="11"/>
        <color theme="1"/>
        <rFont val="Aptos Narrow"/>
        <family val="2"/>
        <scheme val="minor"/>
      </rPr>
      <t xml:space="preserve"> karakter terakhir mengunakan Fungsi </t>
    </r>
    <r>
      <rPr>
        <b/>
        <sz val="11"/>
        <color rgb="FF0070C0"/>
        <rFont val="Aptos Narrow"/>
        <family val="2"/>
        <scheme val="minor"/>
      </rPr>
      <t>CHOOSE</t>
    </r>
  </si>
  <si>
    <t xml:space="preserve">          =&gt; Jika Penjuala 1 lebih kecil dari 80 dan Penjualan 2 lebih besar sama dengan 80 maka "Naik"</t>
  </si>
  <si>
    <t xml:space="preserve">          =&gt; Jika 1 maka "Gudang Jakarta", Jika 2 maka "Gudang Bandung" dan Jika 3 maka "Gudang Bogor"</t>
  </si>
  <si>
    <t xml:space="preserve">          =&gt; Jika Penjuala 1 dan Penjualan 2 lebih kecil dari 80 maka "Kurang Laku"</t>
  </si>
  <si>
    <r>
      <t xml:space="preserve">Copyright </t>
    </r>
    <r>
      <rPr>
        <sz val="9"/>
        <color theme="1"/>
        <rFont val="Calibri"/>
        <family val="2"/>
      </rPr>
      <t>© 2025 | BelajarExcel.id</t>
    </r>
  </si>
  <si>
    <r>
      <t>Isi Kolom</t>
    </r>
    <r>
      <rPr>
        <b/>
        <sz val="11"/>
        <color theme="1"/>
        <rFont val="Aptos Narrow"/>
        <family val="2"/>
        <scheme val="minor"/>
      </rPr>
      <t xml:space="preserve"> Asal Produksi</t>
    </r>
    <r>
      <rPr>
        <sz val="11"/>
        <color theme="1"/>
        <rFont val="Aptos Narrow"/>
        <family val="2"/>
        <scheme val="minor"/>
      </rPr>
      <t xml:space="preserve"> berdasarkan </t>
    </r>
    <r>
      <rPr>
        <b/>
        <sz val="11"/>
        <color theme="1"/>
        <rFont val="Aptos Narrow"/>
        <family val="2"/>
        <scheme val="minor"/>
      </rPr>
      <t>Kode Produk</t>
    </r>
    <r>
      <rPr>
        <sz val="11"/>
        <color theme="1"/>
        <rFont val="Aptos Narrow"/>
        <family val="2"/>
        <scheme val="minor"/>
      </rPr>
      <t xml:space="preserve"> karakter ke 8 mengunakan Fungsi </t>
    </r>
    <r>
      <rPr>
        <b/>
        <sz val="11"/>
        <color rgb="FF0070C0"/>
        <rFont val="Aptos Narrow"/>
        <family val="2"/>
        <scheme val="minor"/>
      </rPr>
      <t>CHOOSE</t>
    </r>
  </si>
  <si>
    <r>
      <t>Isi Kolom</t>
    </r>
    <r>
      <rPr>
        <b/>
        <sz val="11"/>
        <color theme="1"/>
        <rFont val="Aptos Narrow"/>
        <family val="2"/>
        <scheme val="minor"/>
      </rPr>
      <t xml:space="preserve"> Status Promo</t>
    </r>
    <r>
      <rPr>
        <sz val="11"/>
        <color theme="1"/>
        <rFont val="Aptos Narrow"/>
        <family val="2"/>
        <scheme val="minor"/>
      </rPr>
      <t xml:space="preserve"> berdasarkan </t>
    </r>
    <r>
      <rPr>
        <b/>
        <sz val="11"/>
        <color theme="1"/>
        <rFont val="Aptos Narrow"/>
        <family val="2"/>
        <scheme val="minor"/>
      </rPr>
      <t xml:space="preserve">Tanggal </t>
    </r>
    <r>
      <rPr>
        <sz val="11"/>
        <color theme="1"/>
        <rFont val="Aptos Narrow"/>
        <family val="2"/>
        <scheme val="minor"/>
      </rPr>
      <t xml:space="preserve">mengunakan Fungsi </t>
    </r>
    <r>
      <rPr>
        <b/>
        <sz val="11"/>
        <color rgb="FF0070C0"/>
        <rFont val="Aptos Narrow"/>
        <family val="2"/>
        <scheme val="minor"/>
      </rPr>
      <t>SWITCH</t>
    </r>
  </si>
  <si>
    <t xml:space="preserve">          =&gt; Jika A maka "Tasikmalaya", Jika B maka "Bandung" , Jika C maka "Garut", jika D maka "Sukabumi"</t>
  </si>
  <si>
    <t xml:space="preserve">          =&gt; Jika Tanggal Hari ini (D5) Lebih kecil dari Tanggal Mulai Promo , maka "Belum Mulai"</t>
  </si>
  <si>
    <t xml:space="preserve">          =&gt; Jika Tanggal Hari ini (D5) Sama atau Berada diantara Tanggal Mulai Promo dan Tanggal Berakhir Promo , maka "Sedang Berlangsung"</t>
  </si>
  <si>
    <r>
      <t>Isi Kolom</t>
    </r>
    <r>
      <rPr>
        <b/>
        <sz val="11"/>
        <color theme="1"/>
        <rFont val="Aptos Narrow"/>
        <family val="2"/>
        <scheme val="minor"/>
      </rPr>
      <t xml:space="preserve"> Jenis Produk</t>
    </r>
    <r>
      <rPr>
        <sz val="11"/>
        <color theme="1"/>
        <rFont val="Aptos Narrow"/>
        <family val="2"/>
        <scheme val="minor"/>
      </rPr>
      <t xml:space="preserve"> berdasarkan </t>
    </r>
    <r>
      <rPr>
        <b/>
        <sz val="11"/>
        <color theme="1"/>
        <rFont val="Aptos Narrow"/>
        <family val="2"/>
        <scheme val="minor"/>
      </rPr>
      <t>Kode Produk</t>
    </r>
    <r>
      <rPr>
        <sz val="11"/>
        <color theme="1"/>
        <rFont val="Aptos Narrow"/>
        <family val="2"/>
        <scheme val="minor"/>
      </rPr>
      <t xml:space="preserve"> karakter ke 1 dan ke 2 mengunakan Fungsi </t>
    </r>
    <r>
      <rPr>
        <b/>
        <sz val="11"/>
        <color rgb="FF0070C0"/>
        <rFont val="Aptos Narrow"/>
        <family val="2"/>
        <scheme val="minor"/>
      </rPr>
      <t>SWITCH</t>
    </r>
  </si>
  <si>
    <t xml:space="preserve">          =&gt; Jika Tanggal Hari ini (D5) Lebih besar dari Tanggal Berakhir Promo , maka "Promo Selesai"</t>
  </si>
  <si>
    <t xml:space="preserve">          =&gt; Jika TS maka "T-Shirt", Jika JP maka "Jaket Pria" , Jika HB maka "Hoodie Basic", jika KM maka "Kemeja", jika SW maka "Sweater"</t>
  </si>
  <si>
    <r>
      <t>Isi Kolom</t>
    </r>
    <r>
      <rPr>
        <b/>
        <sz val="11"/>
        <color theme="1"/>
        <rFont val="Aptos Narrow"/>
        <family val="2"/>
        <scheme val="minor"/>
      </rPr>
      <t xml:space="preserve"> Grade</t>
    </r>
    <r>
      <rPr>
        <sz val="11"/>
        <color theme="1"/>
        <rFont val="Aptos Narrow"/>
        <family val="2"/>
        <scheme val="minor"/>
      </rPr>
      <t xml:space="preserve"> berdasarkan </t>
    </r>
    <r>
      <rPr>
        <b/>
        <sz val="11"/>
        <color theme="1"/>
        <rFont val="Aptos Narrow"/>
        <family val="2"/>
        <scheme val="minor"/>
      </rPr>
      <t xml:space="preserve">Penjualan 2 </t>
    </r>
    <r>
      <rPr>
        <sz val="11"/>
        <color theme="1"/>
        <rFont val="Aptos Narrow"/>
        <family val="2"/>
        <scheme val="minor"/>
      </rPr>
      <t xml:space="preserve">mengunakan Fungsi </t>
    </r>
    <r>
      <rPr>
        <b/>
        <sz val="11"/>
        <color rgb="FF0070C0"/>
        <rFont val="Aptos Narrow"/>
        <family val="2"/>
        <scheme val="minor"/>
      </rPr>
      <t>IFS</t>
    </r>
  </si>
  <si>
    <r>
      <t>Isi Kolom</t>
    </r>
    <r>
      <rPr>
        <b/>
        <sz val="11"/>
        <color theme="1"/>
        <rFont val="Aptos Narrow"/>
        <family val="2"/>
        <scheme val="minor"/>
      </rPr>
      <t xml:space="preserve"> Warna Produk</t>
    </r>
    <r>
      <rPr>
        <sz val="11"/>
        <color theme="1"/>
        <rFont val="Aptos Narrow"/>
        <family val="2"/>
        <scheme val="minor"/>
      </rPr>
      <t xml:space="preserve"> berdasarkan </t>
    </r>
    <r>
      <rPr>
        <b/>
        <sz val="11"/>
        <color theme="1"/>
        <rFont val="Aptos Narrow"/>
        <family val="2"/>
        <scheme val="minor"/>
      </rPr>
      <t>Kode Produk</t>
    </r>
    <r>
      <rPr>
        <sz val="11"/>
        <color theme="1"/>
        <rFont val="Aptos Narrow"/>
        <family val="2"/>
        <scheme val="minor"/>
      </rPr>
      <t xml:space="preserve"> karakter ke 4 sampai 6 mengunakan Fungsi </t>
    </r>
    <r>
      <rPr>
        <b/>
        <sz val="11"/>
        <color rgb="FF0070C0"/>
        <rFont val="Aptos Narrow"/>
        <family val="2"/>
        <scheme val="minor"/>
      </rPr>
      <t>SWITCH</t>
    </r>
  </si>
  <si>
    <t xml:space="preserve">          =&gt; Jika nilai Penjualan 2 barada pada nilai 80  dan 100 Maka "A" </t>
  </si>
  <si>
    <t xml:space="preserve">          =&gt;  Jika WHT maka "White" , Jika BLK maka "Black", jika RED maka "Red"</t>
  </si>
  <si>
    <t xml:space="preserve">          =&gt; Jika nilai Penjualan 2 barada pada nilai 60  dan 79 Maka "B" </t>
  </si>
  <si>
    <t xml:space="preserve">          =&gt; Jika nilai Penjualan 2 barada pada nilai 40  dan 59 Maka "C" </t>
  </si>
  <si>
    <r>
      <t>Isi Kolom</t>
    </r>
    <r>
      <rPr>
        <b/>
        <sz val="11"/>
        <color theme="1"/>
        <rFont val="Aptos Narrow"/>
        <family val="2"/>
        <scheme val="minor"/>
      </rPr>
      <t xml:space="preserve"> Biaya Tambahan</t>
    </r>
    <r>
      <rPr>
        <sz val="11"/>
        <color theme="1"/>
        <rFont val="Aptos Narrow"/>
        <family val="2"/>
        <scheme val="minor"/>
      </rPr>
      <t xml:space="preserve"> berdasarkan </t>
    </r>
    <r>
      <rPr>
        <b/>
        <sz val="11"/>
        <color theme="1"/>
        <rFont val="Aptos Narrow"/>
        <family val="2"/>
        <scheme val="minor"/>
      </rPr>
      <t>Asal Produksi</t>
    </r>
    <r>
      <rPr>
        <sz val="11"/>
        <color theme="1"/>
        <rFont val="Aptos Narrow"/>
        <family val="2"/>
        <scheme val="minor"/>
      </rPr>
      <t xml:space="preserve"> mengunakan Fungsi </t>
    </r>
    <r>
      <rPr>
        <b/>
        <sz val="11"/>
        <color rgb="FF0070C0"/>
        <rFont val="Aptos Narrow"/>
        <family val="2"/>
        <scheme val="minor"/>
      </rPr>
      <t>IF</t>
    </r>
  </si>
  <si>
    <t xml:space="preserve">          =&gt; Jika nilai Penjualan 2 barada pada nilai 0  dan 39 Maka "D" </t>
  </si>
  <si>
    <t xml:space="preserve">          =&gt; Jika Asal Produksi dari "Tasikmalaya" atau "Garut" , Biaya tambahan sebesar 10.000 , Selain "Tasikmalaya" dan "Garut" biaya tambahan 5.000</t>
  </si>
  <si>
    <r>
      <t>Isi Kolom</t>
    </r>
    <r>
      <rPr>
        <b/>
        <sz val="11"/>
        <color theme="1"/>
        <rFont val="Aptos Narrow"/>
        <family val="2"/>
        <scheme val="minor"/>
      </rPr>
      <t xml:space="preserve"> Ongkos Kirim</t>
    </r>
    <r>
      <rPr>
        <sz val="11"/>
        <color theme="1"/>
        <rFont val="Aptos Narrow"/>
        <family val="2"/>
        <scheme val="minor"/>
      </rPr>
      <t xml:space="preserve"> berdasarkan Jenis </t>
    </r>
    <r>
      <rPr>
        <b/>
        <sz val="11"/>
        <color theme="1"/>
        <rFont val="Aptos Narrow"/>
        <family val="2"/>
        <scheme val="minor"/>
      </rPr>
      <t xml:space="preserve">Produk </t>
    </r>
    <r>
      <rPr>
        <sz val="11"/>
        <color theme="1"/>
        <rFont val="Aptos Narrow"/>
        <family val="2"/>
        <scheme val="minor"/>
      </rPr>
      <t xml:space="preserve">mengunakan Fungsi </t>
    </r>
    <r>
      <rPr>
        <b/>
        <sz val="11"/>
        <color rgb="FF0070C0"/>
        <rFont val="Aptos Narrow"/>
        <family val="2"/>
        <scheme val="minor"/>
      </rPr>
      <t>IFS</t>
    </r>
  </si>
  <si>
    <r>
      <t>Isi Kolom</t>
    </r>
    <r>
      <rPr>
        <b/>
        <sz val="11"/>
        <color theme="1"/>
        <rFont val="Aptos Narrow"/>
        <family val="2"/>
        <scheme val="minor"/>
      </rPr>
      <t xml:space="preserve"> Bonus</t>
    </r>
    <r>
      <rPr>
        <sz val="11"/>
        <color theme="1"/>
        <rFont val="Aptos Narrow"/>
        <family val="2"/>
        <scheme val="minor"/>
      </rPr>
      <t xml:space="preserve"> berdasarkan </t>
    </r>
    <r>
      <rPr>
        <b/>
        <sz val="11"/>
        <color theme="1"/>
        <rFont val="Aptos Narrow"/>
        <family val="2"/>
        <scheme val="minor"/>
      </rPr>
      <t>Asal Gudang</t>
    </r>
    <r>
      <rPr>
        <sz val="11"/>
        <color theme="1"/>
        <rFont val="Aptos Narrow"/>
        <family val="2"/>
        <scheme val="minor"/>
      </rPr>
      <t xml:space="preserve"> dan </t>
    </r>
    <r>
      <rPr>
        <b/>
        <sz val="11"/>
        <color theme="1"/>
        <rFont val="Aptos Narrow"/>
        <family val="2"/>
        <scheme val="minor"/>
      </rPr>
      <t xml:space="preserve">Asal Produksi </t>
    </r>
    <r>
      <rPr>
        <sz val="11"/>
        <color theme="1"/>
        <rFont val="Aptos Narrow"/>
        <family val="2"/>
        <scheme val="minor"/>
      </rPr>
      <t xml:space="preserve">mengunakan Fungsi </t>
    </r>
    <r>
      <rPr>
        <b/>
        <sz val="11"/>
        <color rgb="FF0070C0"/>
        <rFont val="Aptos Narrow"/>
        <family val="2"/>
        <scheme val="minor"/>
      </rPr>
      <t>IF</t>
    </r>
  </si>
  <si>
    <t xml:space="preserve">          =&gt; Jika Jenis Produk "T-Shirt" Maka ongkos kirim 5.000</t>
  </si>
  <si>
    <t xml:space="preserve">          =&gt; Jika Asal Produksi dari "Bandung" atau "Sukabumi"  dan Asal Gudang "Gudang Jakarta", maka bonus sebesar 50.000 , Selain itu tidak mendapatkan bonus</t>
  </si>
  <si>
    <t xml:space="preserve">          =&gt; Jika Jenis Produk "Kemeja" Maka ongkos kirim 10.000</t>
  </si>
  <si>
    <t xml:space="preserve">          =&gt; Selain itu maka ongkos kirim 20.000</t>
  </si>
  <si>
    <r>
      <t>Isi Kolom</t>
    </r>
    <r>
      <rPr>
        <b/>
        <sz val="11"/>
        <color theme="1"/>
        <rFont val="Aptos Narrow"/>
        <family val="2"/>
        <scheme val="minor"/>
      </rPr>
      <t xml:space="preserve"> Kategori</t>
    </r>
    <r>
      <rPr>
        <sz val="11"/>
        <color theme="1"/>
        <rFont val="Aptos Narrow"/>
        <family val="2"/>
        <scheme val="minor"/>
      </rPr>
      <t xml:space="preserve"> berdasarkan </t>
    </r>
    <r>
      <rPr>
        <b/>
        <sz val="11"/>
        <color theme="1"/>
        <rFont val="Aptos Narrow"/>
        <family val="2"/>
        <scheme val="minor"/>
      </rPr>
      <t>Penjualan 1</t>
    </r>
    <r>
      <rPr>
        <sz val="11"/>
        <color theme="1"/>
        <rFont val="Aptos Narrow"/>
        <family val="2"/>
        <scheme val="minor"/>
      </rPr>
      <t xml:space="preserve"> dan </t>
    </r>
    <r>
      <rPr>
        <b/>
        <sz val="11"/>
        <color theme="1"/>
        <rFont val="Aptos Narrow"/>
        <family val="2"/>
        <scheme val="minor"/>
      </rPr>
      <t xml:space="preserve">Penjualan 2 </t>
    </r>
    <r>
      <rPr>
        <sz val="11"/>
        <color theme="1"/>
        <rFont val="Aptos Narrow"/>
        <family val="2"/>
        <scheme val="minor"/>
      </rPr>
      <t xml:space="preserve">mengunakan Fungsi </t>
    </r>
    <r>
      <rPr>
        <b/>
        <sz val="11"/>
        <color rgb="FF0070C0"/>
        <rFont val="Aptos Narrow"/>
        <family val="2"/>
        <scheme val="minor"/>
      </rPr>
      <t>IF</t>
    </r>
  </si>
  <si>
    <t>Cek Nilai otomatis</t>
  </si>
  <si>
    <t>DF</t>
  </si>
  <si>
    <t>HG2</t>
  </si>
  <si>
    <t>Sum 1</t>
  </si>
  <si>
    <t>Sum 2</t>
  </si>
  <si>
    <t>Rand</t>
  </si>
  <si>
    <t>Value Final</t>
  </si>
  <si>
    <t>Cek Rumus</t>
  </si>
  <si>
    <t>Gabung IF</t>
  </si>
  <si>
    <t>Rumus Wajib</t>
  </si>
  <si>
    <t>Jumlah Fungsi</t>
  </si>
  <si>
    <t>Masuk</t>
  </si>
  <si>
    <t>Fungsi</t>
  </si>
  <si>
    <t>Param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</si>
</sst>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[$Rp-3809]* #,##0.00_-;\-[$Rp-3809]* #,##0.00_-;_-[$Rp-3809]* &quot;-&quot;??_-;_-@_-"/>
    <numFmt numFmtId="166" formatCode="d\-mmm\-yyyy"/>
    <numFmt numFmtId="167" formatCode="_(* #,##0_);_(* \(#,##0\);_(* &quot;-&quot;??_);_(@_)"/>
    <numFmt numFmtId="168" formatCode="_-[$Rp-3809]* #,##0_-;\-[$Rp-3809]* #,##0_-;_-[$Rp-3809]* &quot;-&quot;??_-;_-@_-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rgb="FF7030A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sz val="9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4" borderId="1" xfId="1" applyNumberFormat="1" applyFont="1" applyFill="1" applyBorder="1"/>
    <xf numFmtId="166" fontId="3" fillId="3" borderId="1" xfId="0" applyNumberFormat="1" applyFont="1" applyFill="1" applyBorder="1" applyAlignment="1">
      <alignment horizontal="right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indent="2"/>
    </xf>
    <xf numFmtId="0" fontId="0" fillId="4" borderId="1" xfId="0" applyFill="1" applyBorder="1" applyAlignment="1">
      <alignment horizontal="left" inden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right"/>
    </xf>
    <xf numFmtId="167" fontId="0" fillId="4" borderId="1" xfId="1" applyNumberFormat="1" applyFont="1" applyFill="1" applyBorder="1" applyAlignment="1">
      <alignment horizontal="left" indent="1"/>
    </xf>
    <xf numFmtId="0" fontId="13" fillId="0" borderId="0" xfId="0" applyFont="1"/>
    <xf numFmtId="0" fontId="2" fillId="0" borderId="0" xfId="0" applyFont="1" applyAlignment="1">
      <alignment horizontal="right"/>
    </xf>
    <xf numFmtId="0" fontId="14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0" fontId="0" fillId="6" borderId="0" xfId="0" applyFill="1"/>
    <xf numFmtId="0" fontId="12" fillId="7" borderId="0" xfId="0" applyFont="1" applyFill="1" applyAlignment="1">
      <alignment horizontal="left" vertical="center"/>
    </xf>
    <xf numFmtId="0" fontId="0" fillId="7" borderId="0" xfId="0" applyFill="1"/>
    <xf numFmtId="0" fontId="7" fillId="0" borderId="0" xfId="0" applyFont="1" applyAlignment="1">
      <alignment horizontal="center"/>
    </xf>
    <xf numFmtId="0" fontId="10" fillId="8" borderId="0" xfId="0" applyFont="1" applyFill="1"/>
    <xf numFmtId="0" fontId="0" fillId="8" borderId="0" xfId="0" applyFill="1"/>
    <xf numFmtId="0" fontId="10" fillId="8" borderId="0" xfId="0" applyFont="1" applyFill="1" applyAlignment="1">
      <alignment vertical="center"/>
    </xf>
    <xf numFmtId="0" fontId="20" fillId="5" borderId="0" xfId="0" applyFont="1" applyFill="1" applyAlignment="1">
      <alignment vertical="center"/>
    </xf>
    <xf numFmtId="165" fontId="0" fillId="4" borderId="1" xfId="1" applyNumberFormat="1" applyFont="1" applyFill="1" applyBorder="1" applyAlignment="1">
      <alignment wrapText="1"/>
    </xf>
    <xf numFmtId="165" fontId="0" fillId="4" borderId="3" xfId="1" applyNumberFormat="1" applyFont="1" applyFill="1" applyBorder="1"/>
    <xf numFmtId="0" fontId="0" fillId="2" borderId="5" xfId="0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right" wrapText="1"/>
    </xf>
    <xf numFmtId="165" fontId="0" fillId="4" borderId="7" xfId="1" applyNumberFormat="1" applyFont="1" applyFill="1" applyBorder="1"/>
    <xf numFmtId="168" fontId="0" fillId="4" borderId="4" xfId="1" applyNumberFormat="1" applyFont="1" applyFill="1" applyBorder="1" applyAlignment="1">
      <alignment wrapText="1"/>
    </xf>
    <xf numFmtId="0" fontId="9" fillId="5" borderId="0" xfId="0" applyFont="1" applyFill="1" applyAlignment="1">
      <alignment horizontal="center"/>
    </xf>
    <xf numFmtId="0" fontId="17" fillId="5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/>
    </xf>
    <xf numFmtId="0" fontId="18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belajarexcel.id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belajarexcel.id/xl-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1028700</xdr:colOff>
      <xdr:row>27</xdr:row>
      <xdr:rowOff>7621</xdr:rowOff>
    </xdr:from>
    <xdr:to>
      <xdr:col>13</xdr:col>
      <xdr:colOff>279164</xdr:colOff>
      <xdr:row>31</xdr:row>
      <xdr:rowOff>1</xdr:rowOff>
    </xdr:to>
    <xdr:pic>
      <xdr:nvPicPr>
        <xdr:cNvPr id="2" name="Picture 1" descr="A black background with white text&#10;&#10;AI-generated content may be incorrect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1DE19A-5558-4F89-AE02-F61F22DCD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6740" y="6256021"/>
          <a:ext cx="2077484" cy="73914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31</xdr:row>
      <xdr:rowOff>99060</xdr:rowOff>
    </xdr:from>
    <xdr:to>
      <xdr:col>2</xdr:col>
      <xdr:colOff>495300</xdr:colOff>
      <xdr:row>34</xdr:row>
      <xdr:rowOff>166747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C5225A-EFC4-4863-BAA7-4D28C32B5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094220"/>
          <a:ext cx="1554480" cy="616327"/>
        </a:xfrm>
        <a:prstGeom prst="rect">
          <a:avLst/>
        </a:prstGeom>
      </xdr:spPr>
    </xdr:pic>
    <xdr:clientData/>
  </xdr:twoCellAnchor>
  <xdr:twoCellAnchor>
    <xdr:from>
      <xdr:col>11</xdr:col>
      <xdr:colOff>205740</xdr:colOff>
      <xdr:row>3</xdr:row>
      <xdr:rowOff>144780</xdr:rowOff>
    </xdr:from>
    <xdr:to>
      <xdr:col>12</xdr:col>
      <xdr:colOff>647700</xdr:colOff>
      <xdr:row>5</xdr:row>
      <xdr:rowOff>45720</xdr:rowOff>
    </xdr:to>
    <xdr:sp macro="" textlink="">
      <xdr:nvSpPr>
        <xdr:cNvPr id="4" name="Rectangle: Rounded Corner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5DABFC-6555-453A-A80F-836FABA00789}"/>
            </a:ext>
          </a:extLst>
        </xdr:cNvPr>
        <xdr:cNvSpPr/>
      </xdr:nvSpPr>
      <xdr:spPr>
        <a:xfrm flipH="1">
          <a:off x="12298680" y="624840"/>
          <a:ext cx="1325880" cy="2667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Kirim Jawaban</a:t>
          </a:r>
        </a:p>
      </xdr:txBody>
    </xdr:sp>
    <xdr:clientData/>
  </xdr:twoCellAnchor>
  <xdr:twoCellAnchor editAs="oneCell">
    <xdr:from>
      <xdr:col>0</xdr:col>
      <xdr:colOff>167639</xdr:colOff>
      <xdr:row>36</xdr:row>
      <xdr:rowOff>106681</xdr:rowOff>
    </xdr:from>
    <xdr:to>
      <xdr:col>2</xdr:col>
      <xdr:colOff>429120</xdr:colOff>
      <xdr:row>39</xdr:row>
      <xdr:rowOff>68580</xdr:rowOff>
    </xdr:to>
    <xdr:pic>
      <xdr:nvPicPr>
        <xdr:cNvPr id="5" name="Picture 4" descr="A black background with white text&#10;&#10;AI-generated content may be incorrect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C0BB40-93E9-AACC-7073-AF746CD0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39" y="8016241"/>
          <a:ext cx="1434961" cy="510539"/>
        </a:xfrm>
        <a:prstGeom prst="rect">
          <a:avLst/>
        </a:prstGeom>
      </xdr:spPr>
    </xdr:pic>
    <xdr:clientData/>
  </xdr:twoCellAnchor>
  <xdr:twoCellAnchor>
    <xdr:from>
      <xdr:col>7</xdr:col>
      <xdr:colOff>129540</xdr:colOff>
      <xdr:row>65</xdr:row>
      <xdr:rowOff>53340</xdr:rowOff>
    </xdr:from>
    <xdr:to>
      <xdr:col>8</xdr:col>
      <xdr:colOff>594360</xdr:colOff>
      <xdr:row>66</xdr:row>
      <xdr:rowOff>137160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8E5B6A-518C-42CE-A10E-CD9F5D143DCB}"/>
            </a:ext>
          </a:extLst>
        </xdr:cNvPr>
        <xdr:cNvSpPr/>
      </xdr:nvSpPr>
      <xdr:spPr>
        <a:xfrm flipH="1">
          <a:off x="7833360" y="13449300"/>
          <a:ext cx="1630680" cy="2667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Kirim Jawaban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CA5A-EC57-440E-A55F-241DE27EA12C}">
  <sheetPr codeName="Sheet1"/>
  <dimension ref="B2:T65"/>
  <sheetViews>
    <sheetView tabSelected="1" topLeftCell="E1" zoomScaleNormal="100" workbookViewId="0">
      <selection activeCell="H3" sqref="H3"/>
    </sheetView>
  </sheetViews>
  <sheetFormatPr defaultColWidth="21.85546875" defaultRowHeight="14.45"/>
  <cols>
    <col min="1" max="1" width="9.28515625" customWidth="1"/>
    <col min="2" max="2" width="7.85546875" customWidth="1"/>
    <col min="3" max="3" width="18.42578125" customWidth="1"/>
    <col min="4" max="4" width="21.7109375" customWidth="1"/>
    <col min="5" max="5" width="16.85546875" customWidth="1"/>
    <col min="6" max="6" width="21.42578125" customWidth="1"/>
    <col min="7" max="7" width="16.7109375" customWidth="1"/>
    <col min="8" max="8" width="17" customWidth="1"/>
    <col min="9" max="9" width="13.5703125" customWidth="1"/>
    <col min="10" max="10" width="17.28515625" customWidth="1"/>
    <col min="11" max="11" width="16.140625" customWidth="1"/>
    <col min="12" max="12" width="12.85546875" customWidth="1"/>
    <col min="13" max="13" width="12.28515625" customWidth="1"/>
    <col min="14" max="14" width="13.7109375" customWidth="1"/>
    <col min="15" max="15" width="16.28515625" customWidth="1"/>
    <col min="16" max="17" width="16.7109375" customWidth="1"/>
    <col min="18" max="18" width="18.7109375" bestFit="1" customWidth="1"/>
    <col min="19" max="19" width="17.5703125" customWidth="1"/>
    <col min="20" max="20" width="16.140625" customWidth="1"/>
  </cols>
  <sheetData>
    <row r="2" spans="2:20" ht="14.45" customHeight="1">
      <c r="B2" s="38" t="s">
        <v>0</v>
      </c>
      <c r="C2" s="38"/>
    </row>
    <row r="3" spans="2:20" ht="23.45">
      <c r="B3" s="36" t="s">
        <v>1</v>
      </c>
      <c r="C3" s="36"/>
      <c r="D3" s="25" t="s">
        <v>2</v>
      </c>
      <c r="F3" s="36" t="s">
        <v>3</v>
      </c>
      <c r="G3" s="36"/>
      <c r="H3" s="23" t="str">
        <f ca="1">kunci_jawaban</f>
        <v>HG2|B91-3471;D01-3531;921-3F61;AC1-45E1;B41-4041;5F1-60E1;CB1-1ACB1;3F1-46A1;B91-46A1;221-40E1;AC1-2921;F01-ABE1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</row>
    <row r="4" spans="2:20">
      <c r="B4" s="39"/>
      <c r="C4" s="39"/>
    </row>
    <row r="5" spans="2:20">
      <c r="F5" t="s">
        <v>4</v>
      </c>
    </row>
    <row r="8" spans="2:20" ht="20.45" customHeight="1">
      <c r="B8" s="9"/>
      <c r="C8" s="10" t="s">
        <v>5</v>
      </c>
      <c r="D8" s="11">
        <v>45896</v>
      </c>
    </row>
    <row r="9" spans="2:20">
      <c r="E9" s="12" t="s">
        <v>6</v>
      </c>
      <c r="F9" s="12" t="s">
        <v>7</v>
      </c>
      <c r="G9" s="12" t="s">
        <v>8</v>
      </c>
      <c r="H9" s="12" t="s">
        <v>9</v>
      </c>
      <c r="I9" s="12" t="s">
        <v>10</v>
      </c>
      <c r="J9" s="12" t="s">
        <v>11</v>
      </c>
      <c r="K9" s="12" t="s">
        <v>12</v>
      </c>
      <c r="L9" s="12"/>
      <c r="M9" s="12"/>
      <c r="N9" s="12" t="s">
        <v>13</v>
      </c>
      <c r="O9" s="12" t="s">
        <v>14</v>
      </c>
      <c r="P9" s="12"/>
      <c r="Q9" s="12"/>
      <c r="R9" s="12" t="s">
        <v>15</v>
      </c>
      <c r="S9" s="12" t="s">
        <v>16</v>
      </c>
      <c r="T9" s="12" t="s">
        <v>17</v>
      </c>
    </row>
    <row r="10" spans="2:20" ht="43.15" customHeight="1">
      <c r="B10" s="1" t="s">
        <v>18</v>
      </c>
      <c r="C10" s="6" t="s">
        <v>19</v>
      </c>
      <c r="D10" s="6" t="s">
        <v>20</v>
      </c>
      <c r="E10" s="1" t="s">
        <v>21</v>
      </c>
      <c r="F10" s="6" t="s">
        <v>22</v>
      </c>
      <c r="G10" s="6" t="s">
        <v>23</v>
      </c>
      <c r="H10" s="1" t="s">
        <v>24</v>
      </c>
      <c r="I10" s="1" t="s">
        <v>25</v>
      </c>
      <c r="J10" s="1" t="s">
        <v>26</v>
      </c>
      <c r="K10" s="1" t="s">
        <v>27</v>
      </c>
      <c r="L10" s="1" t="s">
        <v>28</v>
      </c>
      <c r="M10" s="1" t="s">
        <v>29</v>
      </c>
      <c r="N10" s="2" t="s">
        <v>30</v>
      </c>
      <c r="O10" s="2" t="s">
        <v>30</v>
      </c>
      <c r="P10" s="6" t="s">
        <v>31</v>
      </c>
      <c r="Q10" s="6" t="s">
        <v>32</v>
      </c>
      <c r="R10" s="31" t="s">
        <v>33</v>
      </c>
      <c r="S10" s="29" t="s">
        <v>34</v>
      </c>
      <c r="T10" s="32" t="s">
        <v>35</v>
      </c>
    </row>
    <row r="11" spans="2:20" ht="19.899999999999999" customHeight="1">
      <c r="B11" s="3">
        <v>1</v>
      </c>
      <c r="C11" s="3" t="s">
        <v>36</v>
      </c>
      <c r="D11" s="7" t="s">
        <v>37</v>
      </c>
      <c r="E11" s="8" t="str">
        <f>IF(C11="P-001","Toko Cemerlang",IF(C11="P-002","Toko Bagus","Toko Sinar"))</f>
        <v>Toko Bagus</v>
      </c>
      <c r="F11" s="8" t="str">
        <f>CHOOSE(RIGHT(D11,1),"Gudang Jakarta","Gudang Bandung","Gudang Bogor")</f>
        <v>Gudang Bandung</v>
      </c>
      <c r="G11" s="8" t="str">
        <f>CHOOSE(CODE(MID(D11,8,1))-64,"Tasikmalaya","Bandung","Garut","Sukabumi")</f>
        <v>Tasikmalaya</v>
      </c>
      <c r="H11" s="8" t="str" cm="1">
        <f t="array" ref="H11">_xlfn.SWITCH(LEFT(D11,2),"TS","T-Shirt","JP","Jaket Pria","HB","Hoodie Basic","KM","Kemeja","SW","Sweater")</f>
        <v>T-Shirt</v>
      </c>
      <c r="I11" s="8" t="str" cm="1">
        <f t="array" ref="I11">_xlfn.SWITCH(MID(D11,4,3),"WHT","White","BLK","Black","RED","Red")</f>
        <v>Black</v>
      </c>
      <c r="J11" s="13">
        <f>IF(OR(G11="Tasikmalaya",G11="Garut"),10000,5000)</f>
        <v>10000</v>
      </c>
      <c r="K11" s="13">
        <f>IF(AND(OR(G11="Bandung",G11="Sukabumi"),F11="Gudang Jakarta"),50000,0)</f>
        <v>0</v>
      </c>
      <c r="L11" s="3">
        <v>74</v>
      </c>
      <c r="M11" s="3">
        <v>90</v>
      </c>
      <c r="N11" s="4" t="str">
        <f>IF(AND(L11&gt;80,M11&gt;80),"Laku",IF(AND(L11&gt;=80,M11&lt;80),"Turun",IF(AND(L11&lt;80,M11&gt;=80),"Naik","Kurang Laku")))</f>
        <v>Naik</v>
      </c>
      <c r="O11" s="27" t="str" cm="1">
        <f t="array" ref="O11">_xlfn.SWITCH(TRUE, L11&lt;80, IF(M11&gt;=80, "Naik", "Kurang Laku"), M11&gt;=80, "Laku", "Turun")</f>
        <v>Naik</v>
      </c>
      <c r="P11" s="5">
        <v>45868</v>
      </c>
      <c r="Q11" s="5">
        <v>45968</v>
      </c>
      <c r="R11" s="28" t="str" cm="1">
        <f t="array" ref="R11">_xlfn.SWITCH(TRUE,$D$8&lt;P11,"Belum Mulai",AND($D$8&gt;=P11,$D$8&lt;=Q11),"Sedang Berlangsung",$D$8&gt;Q11,"Promo Selesai")</f>
        <v>Sedang Berlangsung</v>
      </c>
      <c r="S11" s="30" t="str" cm="1">
        <f t="array" ref="S11">_xlfn.IFS(M11&gt;=80,"A",M11&gt;=60,"B",M11&gt;=40,"C",TRUE,"D")</f>
        <v>A</v>
      </c>
      <c r="T11" s="35" cm="1">
        <f t="array" ref="T11">_xlfn.IFS(H11="T-Shirt",5000,H11="Kemeja",10000,TRUE,20000)</f>
        <v>5000</v>
      </c>
    </row>
    <row r="12" spans="2:20" ht="19.899999999999999" customHeight="1">
      <c r="B12" s="3">
        <v>2</v>
      </c>
      <c r="C12" s="3" t="s">
        <v>38</v>
      </c>
      <c r="D12" s="7" t="s">
        <v>39</v>
      </c>
      <c r="E12" s="8" t="str">
        <f t="shared" ref="E12:E25" si="0">IF(C12="P-001","Toko Cemerlang",IF(C12="P-002","Toko Bagus","Toko Sinar"))</f>
        <v>Toko Cemerlang</v>
      </c>
      <c r="F12" s="8" t="str">
        <f t="shared" ref="F12:F25" si="1">CHOOSE(RIGHT(D12,1),"Gudang Jakarta","Gudang Bandung","Gudang Bogor")</f>
        <v>Gudang Jakarta</v>
      </c>
      <c r="G12" s="8" t="str">
        <f t="shared" ref="G12:G25" si="2">CHOOSE(CODE(MID(D12,8,1))-64,"Tasikmalaya","Bandung","Garut","Sukabumi")</f>
        <v>Garut</v>
      </c>
      <c r="H12" s="8" t="str" cm="1">
        <f t="array" ref="H12">_xlfn.SWITCH(LEFT(D12,2),"TS","T-Shirt","JP","Jaket Pria","HB","Hoodie Basic","KM","Kemeja","SW","Sweater")</f>
        <v>Kemeja</v>
      </c>
      <c r="I12" s="8" t="str" cm="1">
        <f t="array" ref="I12">_xlfn.SWITCH(MID(D12,4,3),"WHT","White","BLK","Black","RED","Red")</f>
        <v>White</v>
      </c>
      <c r="J12" s="13">
        <f t="shared" ref="J12:J25" si="3">IF(OR(G12="Tasikmalaya",G12="Garut"),10000,5000)</f>
        <v>10000</v>
      </c>
      <c r="K12" s="13">
        <f t="shared" ref="K12:K25" si="4">IF(AND(OR(G12="Bandung",G12="Sukabumi"),F12="Gudang Jakarta"),50000,0)</f>
        <v>0</v>
      </c>
      <c r="L12" s="3">
        <v>94</v>
      </c>
      <c r="M12" s="3">
        <v>84</v>
      </c>
      <c r="N12" s="4" t="str">
        <f t="shared" ref="N12:N25" si="5">IF(AND(L12&gt;80,M12&gt;80),"Laku",IF(AND(L12&gt;=80,M12&lt;80),"Turun",IF(AND(L12&lt;80,M12&gt;=80),"Naik","Kurang Laku")))</f>
        <v>Laku</v>
      </c>
      <c r="O12" s="27" t="str" cm="1">
        <f t="array" ref="O12">_xlfn.SWITCH(TRUE, L12&lt;80, IF(M12&gt;=80, "Naik", "Kurang Laku"), M12&gt;=80, "Laku", "Turun")</f>
        <v>Laku</v>
      </c>
      <c r="P12" s="5">
        <v>45782</v>
      </c>
      <c r="Q12" s="5">
        <v>45836</v>
      </c>
      <c r="R12" s="28" t="str" cm="1">
        <f t="array" ref="R12">_xlfn.SWITCH(TRUE,$D$8&lt;P12,"Belum Mulai",AND($D$8&gt;=P12,$D$8&lt;=Q12),"Sedang Berlangsung",$D$8&gt;Q12,"Promo Selesai")</f>
        <v>Promo Selesai</v>
      </c>
      <c r="S12" s="30" t="str" cm="1">
        <f t="array" ref="S12">_xlfn.IFS(M12&gt;=80,"A",M12&gt;=60,"B",M12&gt;=40,"C",TRUE,"D")</f>
        <v>A</v>
      </c>
      <c r="T12" s="35" cm="1">
        <f t="array" ref="T12">_xlfn.IFS(H12="T-Shirt",5000,H12="Kemeja",10000,TRUE,20000)</f>
        <v>10000</v>
      </c>
    </row>
    <row r="13" spans="2:20" ht="19.899999999999999" customHeight="1">
      <c r="B13" s="3">
        <v>3</v>
      </c>
      <c r="C13" s="3" t="s">
        <v>40</v>
      </c>
      <c r="D13" s="7" t="s">
        <v>41</v>
      </c>
      <c r="E13" s="8" t="str">
        <f t="shared" si="0"/>
        <v>Toko Sinar</v>
      </c>
      <c r="F13" s="8" t="str">
        <f t="shared" si="1"/>
        <v>Gudang Jakarta</v>
      </c>
      <c r="G13" s="8" t="str">
        <f t="shared" si="2"/>
        <v>Bandung</v>
      </c>
      <c r="H13" s="8" t="str" cm="1">
        <f t="array" ref="H13">_xlfn.SWITCH(LEFT(D13,2),"TS","T-Shirt","JP","Jaket Pria","HB","Hoodie Basic","KM","Kemeja","SW","Sweater")</f>
        <v>T-Shirt</v>
      </c>
      <c r="I13" s="8" t="str" cm="1">
        <f t="array" ref="I13">_xlfn.SWITCH(MID(D13,4,3),"WHT","White","BLK","Black","RED","Red")</f>
        <v>Red</v>
      </c>
      <c r="J13" s="13">
        <f t="shared" si="3"/>
        <v>5000</v>
      </c>
      <c r="K13" s="13">
        <f t="shared" si="4"/>
        <v>50000</v>
      </c>
      <c r="L13" s="3">
        <v>48</v>
      </c>
      <c r="M13" s="3">
        <v>67</v>
      </c>
      <c r="N13" s="4" t="str">
        <f t="shared" si="5"/>
        <v>Kurang Laku</v>
      </c>
      <c r="O13" s="27" t="str" cm="1">
        <f t="array" ref="O13">_xlfn.SWITCH(TRUE, L13&lt;80, IF(M13&gt;=80, "Naik", "Kurang Laku"), M13&gt;=80, "Laku", "Turun")</f>
        <v>Kurang Laku</v>
      </c>
      <c r="P13" s="5">
        <v>45934</v>
      </c>
      <c r="Q13" s="5">
        <v>46028</v>
      </c>
      <c r="R13" s="28" t="str" cm="1">
        <f t="array" ref="R13">_xlfn.SWITCH(TRUE,$D$8&lt;P13,"Belum Mulai",AND($D$8&gt;=P13,$D$8&lt;=Q13),"Sedang Berlangsung",$D$8&gt;Q13,"Promo Selesai")</f>
        <v>Belum Mulai</v>
      </c>
      <c r="S13" s="30" t="str" cm="1">
        <f t="array" ref="S13">_xlfn.IFS(M13&gt;=80,"A",M13&gt;=60,"B",M13&gt;=40,"C",TRUE,"D")</f>
        <v>B</v>
      </c>
      <c r="T13" s="35" cm="1">
        <f t="array" ref="T13">_xlfn.IFS(H13="T-Shirt",5000,H13="Kemeja",10000,TRUE,20000)</f>
        <v>5000</v>
      </c>
    </row>
    <row r="14" spans="2:20" ht="19.899999999999999" customHeight="1">
      <c r="B14" s="3">
        <v>4</v>
      </c>
      <c r="C14" s="3" t="s">
        <v>36</v>
      </c>
      <c r="D14" s="7" t="s">
        <v>42</v>
      </c>
      <c r="E14" s="8" t="str">
        <f t="shared" si="0"/>
        <v>Toko Bagus</v>
      </c>
      <c r="F14" s="8" t="str">
        <f t="shared" si="1"/>
        <v>Gudang Bogor</v>
      </c>
      <c r="G14" s="8" t="str">
        <f t="shared" si="2"/>
        <v>Garut</v>
      </c>
      <c r="H14" s="8" t="str" cm="1">
        <f t="array" ref="H14">_xlfn.SWITCH(LEFT(D14,2),"TS","T-Shirt","JP","Jaket Pria","HB","Hoodie Basic","KM","Kemeja","SW","Sweater")</f>
        <v>Jaket Pria</v>
      </c>
      <c r="I14" s="8" t="str" cm="1">
        <f t="array" ref="I14">_xlfn.SWITCH(MID(D14,4,3),"WHT","White","BLK","Black","RED","Red")</f>
        <v>Black</v>
      </c>
      <c r="J14" s="13">
        <f t="shared" si="3"/>
        <v>10000</v>
      </c>
      <c r="K14" s="13">
        <f t="shared" si="4"/>
        <v>0</v>
      </c>
      <c r="L14" s="3">
        <v>52</v>
      </c>
      <c r="M14" s="3">
        <v>51</v>
      </c>
      <c r="N14" s="4" t="str">
        <f t="shared" si="5"/>
        <v>Kurang Laku</v>
      </c>
      <c r="O14" s="27" t="str" cm="1">
        <f t="array" ref="O14">_xlfn.SWITCH(TRUE, L14&lt;80, IF(M14&gt;=80, "Naik", "Kurang Laku"), M14&gt;=80, "Laku", "Turun")</f>
        <v>Kurang Laku</v>
      </c>
      <c r="P14" s="5">
        <v>45897</v>
      </c>
      <c r="Q14" s="5">
        <v>46008</v>
      </c>
      <c r="R14" s="28" t="str" cm="1">
        <f t="array" ref="R14">_xlfn.SWITCH(TRUE,$D$8&lt;P14,"Belum Mulai",AND($D$8&gt;=P14,$D$8&lt;=Q14),"Sedang Berlangsung",$D$8&gt;Q14,"Promo Selesai")</f>
        <v>Belum Mulai</v>
      </c>
      <c r="S14" s="30" t="str" cm="1">
        <f t="array" ref="S14">_xlfn.IFS(M14&gt;=80,"A",M14&gt;=60,"B",M14&gt;=40,"C",TRUE,"D")</f>
        <v>C</v>
      </c>
      <c r="T14" s="35" cm="1">
        <f t="array" ref="T14">_xlfn.IFS(H14="T-Shirt",5000,H14="Kemeja",10000,TRUE,20000)</f>
        <v>20000</v>
      </c>
    </row>
    <row r="15" spans="2:20" ht="19.899999999999999" customHeight="1">
      <c r="B15" s="3">
        <v>5</v>
      </c>
      <c r="C15" s="3" t="s">
        <v>38</v>
      </c>
      <c r="D15" s="7" t="s">
        <v>39</v>
      </c>
      <c r="E15" s="8" t="str">
        <f t="shared" si="0"/>
        <v>Toko Cemerlang</v>
      </c>
      <c r="F15" s="8" t="str">
        <f t="shared" si="1"/>
        <v>Gudang Jakarta</v>
      </c>
      <c r="G15" s="8" t="str">
        <f t="shared" si="2"/>
        <v>Garut</v>
      </c>
      <c r="H15" s="8" t="str" cm="1">
        <f t="array" ref="H15">_xlfn.SWITCH(LEFT(D15,2),"TS","T-Shirt","JP","Jaket Pria","HB","Hoodie Basic","KM","Kemeja","SW","Sweater")</f>
        <v>Kemeja</v>
      </c>
      <c r="I15" s="8" t="str" cm="1">
        <f t="array" ref="I15">_xlfn.SWITCH(MID(D15,4,3),"WHT","White","BLK","Black","RED","Red")</f>
        <v>White</v>
      </c>
      <c r="J15" s="13">
        <f t="shared" si="3"/>
        <v>10000</v>
      </c>
      <c r="K15" s="13">
        <f t="shared" si="4"/>
        <v>0</v>
      </c>
      <c r="L15" s="3">
        <v>65</v>
      </c>
      <c r="M15" s="3">
        <v>80</v>
      </c>
      <c r="N15" s="4" t="str">
        <f t="shared" si="5"/>
        <v>Naik</v>
      </c>
      <c r="O15" s="27" t="str" cm="1">
        <f t="array" ref="O15">_xlfn.SWITCH(TRUE, L15&lt;80, IF(M15&gt;=80, "Naik", "Kurang Laku"), M15&gt;=80, "Laku", "Turun")</f>
        <v>Naik</v>
      </c>
      <c r="P15" s="5">
        <v>45845</v>
      </c>
      <c r="Q15" s="5">
        <v>45907</v>
      </c>
      <c r="R15" s="28" t="str" cm="1">
        <f t="array" ref="R15">_xlfn.SWITCH(TRUE,$D$8&lt;P15,"Belum Mulai",AND($D$8&gt;=P15,$D$8&lt;=Q15),"Sedang Berlangsung",$D$8&gt;Q15,"Promo Selesai")</f>
        <v>Sedang Berlangsung</v>
      </c>
      <c r="S15" s="30" t="str" cm="1">
        <f t="array" ref="S15">_xlfn.IFS(M15&gt;=80,"A",M15&gt;=60,"B",M15&gt;=40,"C",TRUE,"D")</f>
        <v>A</v>
      </c>
      <c r="T15" s="35" cm="1">
        <f t="array" ref="T15">_xlfn.IFS(H15="T-Shirt",5000,H15="Kemeja",10000,TRUE,20000)</f>
        <v>10000</v>
      </c>
    </row>
    <row r="16" spans="2:20" ht="19.899999999999999" customHeight="1">
      <c r="B16" s="3">
        <v>6</v>
      </c>
      <c r="C16" s="3" t="s">
        <v>36</v>
      </c>
      <c r="D16" s="7" t="s">
        <v>43</v>
      </c>
      <c r="E16" s="8" t="str">
        <f t="shared" si="0"/>
        <v>Toko Bagus</v>
      </c>
      <c r="F16" s="8" t="str">
        <f t="shared" si="1"/>
        <v>Gudang Jakarta</v>
      </c>
      <c r="G16" s="8" t="str">
        <f t="shared" si="2"/>
        <v>Sukabumi</v>
      </c>
      <c r="H16" s="8" t="str" cm="1">
        <f t="array" ref="H16">_xlfn.SWITCH(LEFT(D16,2),"TS","T-Shirt","JP","Jaket Pria","HB","Hoodie Basic","KM","Kemeja","SW","Sweater")</f>
        <v>Jaket Pria</v>
      </c>
      <c r="I16" s="8" t="str" cm="1">
        <f t="array" ref="I16">_xlfn.SWITCH(MID(D16,4,3),"WHT","White","BLK","Black","RED","Red")</f>
        <v>Red</v>
      </c>
      <c r="J16" s="13">
        <f t="shared" si="3"/>
        <v>5000</v>
      </c>
      <c r="K16" s="13">
        <f t="shared" si="4"/>
        <v>50000</v>
      </c>
      <c r="L16" s="3">
        <v>76</v>
      </c>
      <c r="M16" s="3">
        <v>35</v>
      </c>
      <c r="N16" s="4" t="str">
        <f t="shared" si="5"/>
        <v>Kurang Laku</v>
      </c>
      <c r="O16" s="27" t="str" cm="1">
        <f t="array" ref="O16">_xlfn.SWITCH(TRUE, L16&lt;80, IF(M16&gt;=80, "Naik", "Kurang Laku"), M16&gt;=80, "Laku", "Turun")</f>
        <v>Kurang Laku</v>
      </c>
      <c r="P16" s="5">
        <v>45798</v>
      </c>
      <c r="Q16" s="5">
        <v>45894</v>
      </c>
      <c r="R16" s="28" t="str" cm="1">
        <f t="array" ref="R16">_xlfn.SWITCH(TRUE,$D$8&lt;P16,"Belum Mulai",AND($D$8&gt;=P16,$D$8&lt;=Q16),"Sedang Berlangsung",$D$8&gt;Q16,"Promo Selesai")</f>
        <v>Promo Selesai</v>
      </c>
      <c r="S16" s="30" t="str" cm="1">
        <f t="array" ref="S16">_xlfn.IFS(M16&gt;=80,"A",M16&gt;=60,"B",M16&gt;=40,"C",TRUE,"D")</f>
        <v>D</v>
      </c>
      <c r="T16" s="35" cm="1">
        <f t="array" ref="T16">_xlfn.IFS(H16="T-Shirt",5000,H16="Kemeja",10000,TRUE,20000)</f>
        <v>20000</v>
      </c>
    </row>
    <row r="17" spans="2:20" ht="19.899999999999999" customHeight="1">
      <c r="B17" s="3">
        <v>7</v>
      </c>
      <c r="C17" s="3" t="s">
        <v>38</v>
      </c>
      <c r="D17" s="7" t="s">
        <v>44</v>
      </c>
      <c r="E17" s="8" t="str">
        <f t="shared" si="0"/>
        <v>Toko Cemerlang</v>
      </c>
      <c r="F17" s="8" t="str">
        <f t="shared" si="1"/>
        <v>Gudang Bogor</v>
      </c>
      <c r="G17" s="8" t="str">
        <f t="shared" si="2"/>
        <v>Bandung</v>
      </c>
      <c r="H17" s="8" t="str" cm="1">
        <f t="array" ref="H17">_xlfn.SWITCH(LEFT(D17,2),"TS","T-Shirt","JP","Jaket Pria","HB","Hoodie Basic","KM","Kemeja","SW","Sweater")</f>
        <v>Hoodie Basic</v>
      </c>
      <c r="I17" s="8" t="str" cm="1">
        <f t="array" ref="I17">_xlfn.SWITCH(MID(D17,4,3),"WHT","White","BLK","Black","RED","Red")</f>
        <v>Black</v>
      </c>
      <c r="J17" s="13">
        <f t="shared" si="3"/>
        <v>5000</v>
      </c>
      <c r="K17" s="13">
        <f t="shared" si="4"/>
        <v>0</v>
      </c>
      <c r="L17" s="3">
        <v>61</v>
      </c>
      <c r="M17" s="3">
        <v>98</v>
      </c>
      <c r="N17" s="4" t="str">
        <f t="shared" si="5"/>
        <v>Naik</v>
      </c>
      <c r="O17" s="27" t="str" cm="1">
        <f t="array" ref="O17">_xlfn.SWITCH(TRUE, L17&lt;80, IF(M17&gt;=80, "Naik", "Kurang Laku"), M17&gt;=80, "Laku", "Turun")</f>
        <v>Naik</v>
      </c>
      <c r="P17" s="5">
        <v>45894</v>
      </c>
      <c r="Q17" s="5">
        <v>46006</v>
      </c>
      <c r="R17" s="28" t="str" cm="1">
        <f t="array" ref="R17">_xlfn.SWITCH(TRUE,$D$8&lt;P17,"Belum Mulai",AND($D$8&gt;=P17,$D$8&lt;=Q17),"Sedang Berlangsung",$D$8&gt;Q17,"Promo Selesai")</f>
        <v>Sedang Berlangsung</v>
      </c>
      <c r="S17" s="30" t="str" cm="1">
        <f t="array" ref="S17">_xlfn.IFS(M17&gt;=80,"A",M17&gt;=60,"B",M17&gt;=40,"C",TRUE,"D")</f>
        <v>A</v>
      </c>
      <c r="T17" s="35" cm="1">
        <f t="array" ref="T17">_xlfn.IFS(H17="T-Shirt",5000,H17="Kemeja",10000,TRUE,20000)</f>
        <v>20000</v>
      </c>
    </row>
    <row r="18" spans="2:20" ht="19.899999999999999" customHeight="1">
      <c r="B18" s="3">
        <v>8</v>
      </c>
      <c r="C18" s="3" t="s">
        <v>38</v>
      </c>
      <c r="D18" s="7" t="s">
        <v>45</v>
      </c>
      <c r="E18" s="8" t="str">
        <f t="shared" si="0"/>
        <v>Toko Cemerlang</v>
      </c>
      <c r="F18" s="8" t="str">
        <f t="shared" si="1"/>
        <v>Gudang Jakarta</v>
      </c>
      <c r="G18" s="8" t="str">
        <f t="shared" si="2"/>
        <v>Garut</v>
      </c>
      <c r="H18" s="8" t="str" cm="1">
        <f t="array" ref="H18">_xlfn.SWITCH(LEFT(D18,2),"TS","T-Shirt","JP","Jaket Pria","HB","Hoodie Basic","KM","Kemeja","SW","Sweater")</f>
        <v>Sweater</v>
      </c>
      <c r="I18" s="8" t="str" cm="1">
        <f t="array" ref="I18">_xlfn.SWITCH(MID(D18,4,3),"WHT","White","BLK","Black","RED","Red")</f>
        <v>White</v>
      </c>
      <c r="J18" s="13">
        <f t="shared" si="3"/>
        <v>10000</v>
      </c>
      <c r="K18" s="13">
        <f t="shared" si="4"/>
        <v>0</v>
      </c>
      <c r="L18" s="3">
        <v>56</v>
      </c>
      <c r="M18" s="3">
        <v>74</v>
      </c>
      <c r="N18" s="4" t="str">
        <f t="shared" si="5"/>
        <v>Kurang Laku</v>
      </c>
      <c r="O18" s="27" t="str" cm="1">
        <f t="array" ref="O18">_xlfn.SWITCH(TRUE, L18&lt;80, IF(M18&gt;=80, "Naik", "Kurang Laku"), M18&gt;=80, "Laku", "Turun")</f>
        <v>Kurang Laku</v>
      </c>
      <c r="P18" s="5">
        <v>45816</v>
      </c>
      <c r="Q18" s="5">
        <v>45855</v>
      </c>
      <c r="R18" s="28" t="str" cm="1">
        <f t="array" ref="R18">_xlfn.SWITCH(TRUE,$D$8&lt;P18,"Belum Mulai",AND($D$8&gt;=P18,$D$8&lt;=Q18),"Sedang Berlangsung",$D$8&gt;Q18,"Promo Selesai")</f>
        <v>Promo Selesai</v>
      </c>
      <c r="S18" s="30" t="str" cm="1">
        <f t="array" ref="S18">_xlfn.IFS(M18&gt;=80,"A",M18&gt;=60,"B",M18&gt;=40,"C",TRUE,"D")</f>
        <v>B</v>
      </c>
      <c r="T18" s="35" cm="1">
        <f t="array" ref="T18">_xlfn.IFS(H18="T-Shirt",5000,H18="Kemeja",10000,TRUE,20000)</f>
        <v>20000</v>
      </c>
    </row>
    <row r="19" spans="2:20" ht="19.899999999999999" customHeight="1">
      <c r="B19" s="3">
        <v>9</v>
      </c>
      <c r="C19" s="3" t="s">
        <v>38</v>
      </c>
      <c r="D19" s="7" t="s">
        <v>46</v>
      </c>
      <c r="E19" s="8" t="str">
        <f t="shared" si="0"/>
        <v>Toko Cemerlang</v>
      </c>
      <c r="F19" s="8" t="str">
        <f t="shared" si="1"/>
        <v>Gudang Bogor</v>
      </c>
      <c r="G19" s="8" t="str">
        <f t="shared" si="2"/>
        <v>Tasikmalaya</v>
      </c>
      <c r="H19" s="8" t="str" cm="1">
        <f t="array" ref="H19">_xlfn.SWITCH(LEFT(D19,2),"TS","T-Shirt","JP","Jaket Pria","HB","Hoodie Basic","KM","Kemeja","SW","Sweater")</f>
        <v>Hoodie Basic</v>
      </c>
      <c r="I19" s="8" t="str" cm="1">
        <f t="array" ref="I19">_xlfn.SWITCH(MID(D19,4,3),"WHT","White","BLK","Black","RED","Red")</f>
        <v>Red</v>
      </c>
      <c r="J19" s="13">
        <f t="shared" si="3"/>
        <v>10000</v>
      </c>
      <c r="K19" s="13">
        <f t="shared" si="4"/>
        <v>0</v>
      </c>
      <c r="L19" s="3">
        <v>83</v>
      </c>
      <c r="M19" s="3">
        <v>45</v>
      </c>
      <c r="N19" s="4" t="str">
        <f t="shared" si="5"/>
        <v>Turun</v>
      </c>
      <c r="O19" s="27" t="str" cm="1">
        <f t="array" ref="O19">_xlfn.SWITCH(TRUE, L19&lt;80, IF(M19&gt;=80, "Naik", "Kurang Laku"), M19&gt;=80, "Laku", "Turun")</f>
        <v>Turun</v>
      </c>
      <c r="P19" s="5">
        <v>45936</v>
      </c>
      <c r="Q19" s="5">
        <v>46089</v>
      </c>
      <c r="R19" s="28" t="str" cm="1">
        <f t="array" ref="R19">_xlfn.SWITCH(TRUE,$D$8&lt;P19,"Belum Mulai",AND($D$8&gt;=P19,$D$8&lt;=Q19),"Sedang Berlangsung",$D$8&gt;Q19,"Promo Selesai")</f>
        <v>Belum Mulai</v>
      </c>
      <c r="S19" s="30" t="str" cm="1">
        <f t="array" ref="S19">_xlfn.IFS(M19&gt;=80,"A",M19&gt;=60,"B",M19&gt;=40,"C",TRUE,"D")</f>
        <v>C</v>
      </c>
      <c r="T19" s="35" cm="1">
        <f t="array" ref="T19">_xlfn.IFS(H19="T-Shirt",5000,H19="Kemeja",10000,TRUE,20000)</f>
        <v>20000</v>
      </c>
    </row>
    <row r="20" spans="2:20" ht="19.899999999999999" customHeight="1">
      <c r="B20" s="3">
        <v>10</v>
      </c>
      <c r="C20" s="3" t="s">
        <v>40</v>
      </c>
      <c r="D20" s="7" t="s">
        <v>47</v>
      </c>
      <c r="E20" s="8" t="str">
        <f t="shared" si="0"/>
        <v>Toko Sinar</v>
      </c>
      <c r="F20" s="8" t="str">
        <f t="shared" si="1"/>
        <v>Gudang Jakarta</v>
      </c>
      <c r="G20" s="8" t="str">
        <f t="shared" si="2"/>
        <v>Sukabumi</v>
      </c>
      <c r="H20" s="8" t="str" cm="1">
        <f t="array" ref="H20">_xlfn.SWITCH(LEFT(D20,2),"TS","T-Shirt","JP","Jaket Pria","HB","Hoodie Basic","KM","Kemeja","SW","Sweater")</f>
        <v>T-Shirt</v>
      </c>
      <c r="I20" s="8" t="str" cm="1">
        <f t="array" ref="I20">_xlfn.SWITCH(MID(D20,4,3),"WHT","White","BLK","Black","RED","Red")</f>
        <v>Black</v>
      </c>
      <c r="J20" s="13">
        <f t="shared" si="3"/>
        <v>5000</v>
      </c>
      <c r="K20" s="13">
        <f t="shared" si="4"/>
        <v>50000</v>
      </c>
      <c r="L20" s="3">
        <v>95</v>
      </c>
      <c r="M20" s="3">
        <v>94</v>
      </c>
      <c r="N20" s="4" t="str">
        <f t="shared" si="5"/>
        <v>Laku</v>
      </c>
      <c r="O20" s="27" t="str" cm="1">
        <f t="array" ref="O20">_xlfn.SWITCH(TRUE, L20&lt;80, IF(M20&gt;=80, "Naik", "Kurang Laku"), M20&gt;=80, "Laku", "Turun")</f>
        <v>Laku</v>
      </c>
      <c r="P20" s="5">
        <v>45818</v>
      </c>
      <c r="Q20" s="5">
        <v>45922</v>
      </c>
      <c r="R20" s="28" t="str" cm="1">
        <f t="array" ref="R20">_xlfn.SWITCH(TRUE,$D$8&lt;P20,"Belum Mulai",AND($D$8&gt;=P20,$D$8&lt;=Q20),"Sedang Berlangsung",$D$8&gt;Q20,"Promo Selesai")</f>
        <v>Sedang Berlangsung</v>
      </c>
      <c r="S20" s="30" t="str" cm="1">
        <f t="array" ref="S20">_xlfn.IFS(M20&gt;=80,"A",M20&gt;=60,"B",M20&gt;=40,"C",TRUE,"D")</f>
        <v>A</v>
      </c>
      <c r="T20" s="35" cm="1">
        <f t="array" ref="T20">_xlfn.IFS(H20="T-Shirt",5000,H20="Kemeja",10000,TRUE,20000)</f>
        <v>5000</v>
      </c>
    </row>
    <row r="21" spans="2:20" ht="19.899999999999999" customHeight="1">
      <c r="B21" s="3">
        <v>11</v>
      </c>
      <c r="C21" s="3" t="s">
        <v>40</v>
      </c>
      <c r="D21" s="7" t="s">
        <v>48</v>
      </c>
      <c r="E21" s="8" t="str">
        <f t="shared" si="0"/>
        <v>Toko Sinar</v>
      </c>
      <c r="F21" s="8" t="str">
        <f t="shared" si="1"/>
        <v>Gudang Bandung</v>
      </c>
      <c r="G21" s="8" t="str">
        <f t="shared" si="2"/>
        <v>Tasikmalaya</v>
      </c>
      <c r="H21" s="8" t="str" cm="1">
        <f t="array" ref="H21">_xlfn.SWITCH(LEFT(D21,2),"TS","T-Shirt","JP","Jaket Pria","HB","Hoodie Basic","KM","Kemeja","SW","Sweater")</f>
        <v>Jaket Pria</v>
      </c>
      <c r="I21" s="8" t="str" cm="1">
        <f t="array" ref="I21">_xlfn.SWITCH(MID(D21,4,3),"WHT","White","BLK","Black","RED","Red")</f>
        <v>White</v>
      </c>
      <c r="J21" s="13">
        <f t="shared" si="3"/>
        <v>10000</v>
      </c>
      <c r="K21" s="13">
        <f t="shared" si="4"/>
        <v>0</v>
      </c>
      <c r="L21" s="3">
        <v>81</v>
      </c>
      <c r="M21" s="3">
        <v>54</v>
      </c>
      <c r="N21" s="4" t="str">
        <f t="shared" si="5"/>
        <v>Turun</v>
      </c>
      <c r="O21" s="27" t="str" cm="1">
        <f t="array" ref="O21">_xlfn.SWITCH(TRUE, L21&lt;80, IF(M21&gt;=80, "Naik", "Kurang Laku"), M21&gt;=80, "Laku", "Turun")</f>
        <v>Turun</v>
      </c>
      <c r="P21" s="5">
        <v>45896</v>
      </c>
      <c r="Q21" s="5">
        <v>46005</v>
      </c>
      <c r="R21" s="28" t="str" cm="1">
        <f t="array" ref="R21">_xlfn.SWITCH(TRUE,$D$8&lt;P21,"Belum Mulai",AND($D$8&gt;=P21,$D$8&lt;=Q21),"Sedang Berlangsung",$D$8&gt;Q21,"Promo Selesai")</f>
        <v>Sedang Berlangsung</v>
      </c>
      <c r="S21" s="30" t="str" cm="1">
        <f t="array" ref="S21">_xlfn.IFS(M21&gt;=80,"A",M21&gt;=60,"B",M21&gt;=40,"C",TRUE,"D")</f>
        <v>C</v>
      </c>
      <c r="T21" s="35" cm="1">
        <f t="array" ref="T21">_xlfn.IFS(H21="T-Shirt",5000,H21="Kemeja",10000,TRUE,20000)</f>
        <v>20000</v>
      </c>
    </row>
    <row r="22" spans="2:20" ht="19.899999999999999" customHeight="1">
      <c r="B22" s="3">
        <v>12</v>
      </c>
      <c r="C22" s="3" t="s">
        <v>36</v>
      </c>
      <c r="D22" s="7" t="s">
        <v>49</v>
      </c>
      <c r="E22" s="8" t="str">
        <f t="shared" si="0"/>
        <v>Toko Bagus</v>
      </c>
      <c r="F22" s="8" t="str">
        <f t="shared" si="1"/>
        <v>Gudang Bogor</v>
      </c>
      <c r="G22" s="8" t="str">
        <f t="shared" si="2"/>
        <v>Tasikmalaya</v>
      </c>
      <c r="H22" s="8" t="str" cm="1">
        <f t="array" ref="H22">_xlfn.SWITCH(LEFT(D22,2),"TS","T-Shirt","JP","Jaket Pria","HB","Hoodie Basic","KM","Kemeja","SW","Sweater")</f>
        <v>Hoodie Basic</v>
      </c>
      <c r="I22" s="8" t="str" cm="1">
        <f t="array" ref="I22">_xlfn.SWITCH(MID(D22,4,3),"WHT","White","BLK","Black","RED","Red")</f>
        <v>Black</v>
      </c>
      <c r="J22" s="13">
        <f t="shared" si="3"/>
        <v>10000</v>
      </c>
      <c r="K22" s="13">
        <f t="shared" si="4"/>
        <v>0</v>
      </c>
      <c r="L22" s="3">
        <v>69</v>
      </c>
      <c r="M22" s="3">
        <v>39</v>
      </c>
      <c r="N22" s="4" t="str">
        <f t="shared" si="5"/>
        <v>Kurang Laku</v>
      </c>
      <c r="O22" s="27" t="str" cm="1">
        <f t="array" ref="O22">_xlfn.SWITCH(TRUE, L22&lt;80, IF(M22&gt;=80, "Naik", "Kurang Laku"), M22&gt;=80, "Laku", "Turun")</f>
        <v>Kurang Laku</v>
      </c>
      <c r="P22" s="5">
        <v>45938</v>
      </c>
      <c r="Q22" s="5">
        <v>46073</v>
      </c>
      <c r="R22" s="28" t="str" cm="1">
        <f t="array" ref="R22">_xlfn.SWITCH(TRUE,$D$8&lt;P22,"Belum Mulai",AND($D$8&gt;=P22,$D$8&lt;=Q22),"Sedang Berlangsung",$D$8&gt;Q22,"Promo Selesai")</f>
        <v>Belum Mulai</v>
      </c>
      <c r="S22" s="30" t="str" cm="1">
        <f t="array" ref="S22">_xlfn.IFS(M22&gt;=80,"A",M22&gt;=60,"B",M22&gt;=40,"C",TRUE,"D")</f>
        <v>D</v>
      </c>
      <c r="T22" s="35" cm="1">
        <f t="array" ref="T22">_xlfn.IFS(H22="T-Shirt",5000,H22="Kemeja",10000,TRUE,20000)</f>
        <v>20000</v>
      </c>
    </row>
    <row r="23" spans="2:20" ht="19.899999999999999" customHeight="1">
      <c r="B23" s="3">
        <v>13</v>
      </c>
      <c r="C23" s="3" t="s">
        <v>40</v>
      </c>
      <c r="D23" s="7" t="s">
        <v>50</v>
      </c>
      <c r="E23" s="8" t="str">
        <f t="shared" si="0"/>
        <v>Toko Sinar</v>
      </c>
      <c r="F23" s="8" t="str">
        <f t="shared" si="1"/>
        <v>Gudang Bogor</v>
      </c>
      <c r="G23" s="8" t="str">
        <f t="shared" si="2"/>
        <v>Bandung</v>
      </c>
      <c r="H23" s="8" t="str" cm="1">
        <f t="array" ref="H23">_xlfn.SWITCH(LEFT(D23,2),"TS","T-Shirt","JP","Jaket Pria","HB","Hoodie Basic","KM","Kemeja","SW","Sweater")</f>
        <v>T-Shirt</v>
      </c>
      <c r="I23" s="8" t="str" cm="1">
        <f t="array" ref="I23">_xlfn.SWITCH(MID(D23,4,3),"WHT","White","BLK","Black","RED","Red")</f>
        <v>White</v>
      </c>
      <c r="J23" s="13">
        <f t="shared" si="3"/>
        <v>5000</v>
      </c>
      <c r="K23" s="13">
        <f t="shared" si="4"/>
        <v>0</v>
      </c>
      <c r="L23" s="3">
        <v>87</v>
      </c>
      <c r="M23" s="3">
        <v>88</v>
      </c>
      <c r="N23" s="4" t="str">
        <f t="shared" si="5"/>
        <v>Laku</v>
      </c>
      <c r="O23" s="27" t="str" cm="1">
        <f t="array" ref="O23">_xlfn.SWITCH(TRUE, L23&lt;80, IF(M23&gt;=80, "Naik", "Kurang Laku"), M23&gt;=80, "Laku", "Turun")</f>
        <v>Laku</v>
      </c>
      <c r="P23" s="5">
        <v>45870</v>
      </c>
      <c r="Q23" s="5">
        <v>45894</v>
      </c>
      <c r="R23" s="28" t="str" cm="1">
        <f t="array" ref="R23">_xlfn.SWITCH(TRUE,$D$8&lt;P23,"Belum Mulai",AND($D$8&gt;=P23,$D$8&lt;=Q23),"Sedang Berlangsung",$D$8&gt;Q23,"Promo Selesai")</f>
        <v>Promo Selesai</v>
      </c>
      <c r="S23" s="30" t="str" cm="1">
        <f t="array" ref="S23">_xlfn.IFS(M23&gt;=80,"A",M23&gt;=60,"B",M23&gt;=40,"C",TRUE,"D")</f>
        <v>A</v>
      </c>
      <c r="T23" s="35" cm="1">
        <f t="array" ref="T23">_xlfn.IFS(H23="T-Shirt",5000,H23="Kemeja",10000,TRUE,20000)</f>
        <v>5000</v>
      </c>
    </row>
    <row r="24" spans="2:20" ht="19.899999999999999" customHeight="1">
      <c r="B24" s="3">
        <v>14</v>
      </c>
      <c r="C24" s="3" t="s">
        <v>36</v>
      </c>
      <c r="D24" s="7" t="s">
        <v>51</v>
      </c>
      <c r="E24" s="8" t="str">
        <f t="shared" si="0"/>
        <v>Toko Bagus</v>
      </c>
      <c r="F24" s="8" t="str">
        <f t="shared" si="1"/>
        <v>Gudang Jakarta</v>
      </c>
      <c r="G24" s="8" t="str">
        <f t="shared" si="2"/>
        <v>Bandung</v>
      </c>
      <c r="H24" s="8" t="str" cm="1">
        <f t="array" ref="H24">_xlfn.SWITCH(LEFT(D24,2),"TS","T-Shirt","JP","Jaket Pria","HB","Hoodie Basic","KM","Kemeja","SW","Sweater")</f>
        <v>Hoodie Basic</v>
      </c>
      <c r="I24" s="8" t="str" cm="1">
        <f t="array" ref="I24">_xlfn.SWITCH(MID(D24,4,3),"WHT","White","BLK","Black","RED","Red")</f>
        <v>Red</v>
      </c>
      <c r="J24" s="13">
        <f t="shared" si="3"/>
        <v>5000</v>
      </c>
      <c r="K24" s="13">
        <f t="shared" si="4"/>
        <v>50000</v>
      </c>
      <c r="L24" s="3">
        <v>70</v>
      </c>
      <c r="M24" s="3">
        <v>43</v>
      </c>
      <c r="N24" s="4" t="str">
        <f t="shared" si="5"/>
        <v>Kurang Laku</v>
      </c>
      <c r="O24" s="27" t="str" cm="1">
        <f t="array" ref="O24">_xlfn.SWITCH(TRUE, L24&lt;80, IF(M24&gt;=80, "Naik", "Kurang Laku"), M24&gt;=80, "Laku", "Turun")</f>
        <v>Kurang Laku</v>
      </c>
      <c r="P24" s="5">
        <v>45916</v>
      </c>
      <c r="Q24" s="5">
        <v>46028</v>
      </c>
      <c r="R24" s="34" t="str" cm="1">
        <f t="array" ref="R24">_xlfn.SWITCH(TRUE,$D$8&lt;P24,"Belum Mulai",AND($D$8&gt;=P24,$D$8&lt;=Q24),"Sedang Berlangsung",$D$8&gt;Q24,"Promo Selesai")</f>
        <v>Belum Mulai</v>
      </c>
      <c r="S24" s="30" t="str" cm="1">
        <f t="array" ref="S24">_xlfn.IFS(M24&gt;=80,"A",M24&gt;=60,"B",M24&gt;=40,"C",TRUE,"D")</f>
        <v>C</v>
      </c>
      <c r="T24" s="35" cm="1">
        <f t="array" ref="T24">_xlfn.IFS(H24="T-Shirt",5000,H24="Kemeja",10000,TRUE,20000)</f>
        <v>20000</v>
      </c>
    </row>
    <row r="25" spans="2:20" ht="19.899999999999999" customHeight="1">
      <c r="B25" s="3">
        <v>15</v>
      </c>
      <c r="C25" s="3" t="s">
        <v>40</v>
      </c>
      <c r="D25" s="7" t="s">
        <v>52</v>
      </c>
      <c r="E25" s="8" t="str">
        <f t="shared" si="0"/>
        <v>Toko Sinar</v>
      </c>
      <c r="F25" s="8" t="str">
        <f t="shared" si="1"/>
        <v>Gudang Bandung</v>
      </c>
      <c r="G25" s="8" t="str">
        <f t="shared" si="2"/>
        <v>Tasikmalaya</v>
      </c>
      <c r="H25" s="8" t="str" cm="1">
        <f t="array" ref="H25">_xlfn.SWITCH(LEFT(D25,2),"TS","T-Shirt","JP","Jaket Pria","HB","Hoodie Basic","KM","Kemeja","SW","Sweater")</f>
        <v>Sweater</v>
      </c>
      <c r="I25" s="8" t="str" cm="1">
        <f t="array" ref="I25">_xlfn.SWITCH(MID(D25,4,3),"WHT","White","BLK","Black","RED","Red")</f>
        <v>Red</v>
      </c>
      <c r="J25" s="13">
        <f t="shared" si="3"/>
        <v>10000</v>
      </c>
      <c r="K25" s="13">
        <f t="shared" si="4"/>
        <v>0</v>
      </c>
      <c r="L25" s="3">
        <v>41</v>
      </c>
      <c r="M25" s="3">
        <v>97</v>
      </c>
      <c r="N25" s="4" t="str">
        <f t="shared" si="5"/>
        <v>Naik</v>
      </c>
      <c r="O25" s="27" t="str" cm="1">
        <f t="array" ref="O25">_xlfn.SWITCH(TRUE, L25&lt;80, IF(M25&gt;=80, "Naik", "Kurang Laku"), M25&gt;=80, "Laku", "Turun")</f>
        <v>Naik</v>
      </c>
      <c r="P25" s="5">
        <v>45823</v>
      </c>
      <c r="Q25" s="33">
        <v>45913</v>
      </c>
      <c r="R25" s="28" t="str" cm="1">
        <f t="array" ref="R25">_xlfn.SWITCH(TRUE,$D$8&lt;P25,"Belum Mulai",AND($D$8&gt;=P25,$D$8&lt;=Q25),"Sedang Berlangsung",$D$8&gt;Q25,"Promo Selesai")</f>
        <v>Sedang Berlangsung</v>
      </c>
      <c r="S25" s="30" t="str" cm="1">
        <f t="array" ref="S25">_xlfn.IFS(M25&gt;=80,"A",M25&gt;=60,"B",M25&gt;=40,"C",TRUE,"D")</f>
        <v>A</v>
      </c>
      <c r="T25" s="35" cm="1">
        <f t="array" ref="T25">_xlfn.IFS(H25="T-Shirt",5000,H25="Kemeja",10000,TRUE,20000)</f>
        <v>20000</v>
      </c>
    </row>
    <row r="26" spans="2:20" ht="7.1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2:20">
      <c r="B27" s="20" t="s">
        <v>53</v>
      </c>
      <c r="C27" s="21"/>
      <c r="D27" s="21"/>
      <c r="E27" s="21"/>
    </row>
    <row r="29" spans="2:20">
      <c r="B29" s="14"/>
      <c r="C29" s="17" t="s">
        <v>54</v>
      </c>
      <c r="D29" t="s">
        <v>55</v>
      </c>
    </row>
    <row r="30" spans="2:20">
      <c r="C30" s="17" t="s">
        <v>56</v>
      </c>
      <c r="D30" t="s">
        <v>57</v>
      </c>
    </row>
    <row r="31" spans="2:20" ht="15.6">
      <c r="C31" s="15"/>
      <c r="D31" s="16"/>
    </row>
    <row r="32" spans="2:20">
      <c r="D32" s="37" t="s">
        <v>58</v>
      </c>
    </row>
    <row r="33" spans="2:12">
      <c r="D33" s="37"/>
    </row>
    <row r="35" spans="2:12">
      <c r="C35">
        <v>1</v>
      </c>
      <c r="D35" t="s">
        <v>59</v>
      </c>
      <c r="K35">
        <v>9</v>
      </c>
      <c r="L35" t="s">
        <v>60</v>
      </c>
    </row>
    <row r="36" spans="2:12">
      <c r="D36" s="18" t="s">
        <v>61</v>
      </c>
      <c r="L36" s="18" t="s">
        <v>62</v>
      </c>
    </row>
    <row r="37" spans="2:12">
      <c r="L37" s="18" t="s">
        <v>63</v>
      </c>
    </row>
    <row r="38" spans="2:12">
      <c r="C38">
        <v>2</v>
      </c>
      <c r="D38" t="s">
        <v>64</v>
      </c>
      <c r="L38" s="18" t="s">
        <v>65</v>
      </c>
    </row>
    <row r="39" spans="2:12">
      <c r="D39" s="18" t="s">
        <v>66</v>
      </c>
      <c r="L39" s="18" t="s">
        <v>67</v>
      </c>
    </row>
    <row r="40" spans="2:12">
      <c r="B40" s="22" t="s">
        <v>68</v>
      </c>
    </row>
    <row r="41" spans="2:12">
      <c r="D41" t="s">
        <v>69</v>
      </c>
      <c r="K41">
        <v>10</v>
      </c>
      <c r="L41" t="s">
        <v>70</v>
      </c>
    </row>
    <row r="42" spans="2:12">
      <c r="C42">
        <v>3</v>
      </c>
      <c r="D42" s="18" t="s">
        <v>71</v>
      </c>
      <c r="L42" s="18" t="s">
        <v>72</v>
      </c>
    </row>
    <row r="43" spans="2:12">
      <c r="L43" s="18" t="s">
        <v>73</v>
      </c>
    </row>
    <row r="44" spans="2:12">
      <c r="C44">
        <v>4</v>
      </c>
      <c r="D44" t="s">
        <v>74</v>
      </c>
      <c r="L44" s="18" t="s">
        <v>75</v>
      </c>
    </row>
    <row r="45" spans="2:12">
      <c r="D45" s="18" t="s">
        <v>76</v>
      </c>
    </row>
    <row r="46" spans="2:12">
      <c r="K46">
        <v>11</v>
      </c>
      <c r="L46" t="s">
        <v>77</v>
      </c>
    </row>
    <row r="47" spans="2:12">
      <c r="C47">
        <v>5</v>
      </c>
      <c r="D47" t="s">
        <v>78</v>
      </c>
      <c r="L47" s="18" t="s">
        <v>79</v>
      </c>
    </row>
    <row r="48" spans="2:12">
      <c r="D48" s="18" t="s">
        <v>80</v>
      </c>
      <c r="L48" s="18" t="s">
        <v>81</v>
      </c>
    </row>
    <row r="49" spans="3:12">
      <c r="L49" s="18" t="s">
        <v>82</v>
      </c>
    </row>
    <row r="50" spans="3:12">
      <c r="C50">
        <v>6</v>
      </c>
      <c r="D50" t="s">
        <v>83</v>
      </c>
      <c r="L50" s="18" t="s">
        <v>84</v>
      </c>
    </row>
    <row r="51" spans="3:12">
      <c r="D51" s="18" t="s">
        <v>85</v>
      </c>
    </row>
    <row r="52" spans="3:12">
      <c r="K52">
        <v>12</v>
      </c>
      <c r="L52" t="s">
        <v>86</v>
      </c>
    </row>
    <row r="53" spans="3:12">
      <c r="C53">
        <v>7</v>
      </c>
      <c r="D53" t="s">
        <v>87</v>
      </c>
      <c r="L53" s="18" t="s">
        <v>88</v>
      </c>
    </row>
    <row r="54" spans="3:12">
      <c r="D54" s="18" t="s">
        <v>89</v>
      </c>
      <c r="L54" s="18" t="s">
        <v>90</v>
      </c>
    </row>
    <row r="55" spans="3:12">
      <c r="L55" s="18" t="s">
        <v>91</v>
      </c>
    </row>
    <row r="56" spans="3:12">
      <c r="C56">
        <v>8</v>
      </c>
      <c r="D56" t="s">
        <v>92</v>
      </c>
    </row>
    <row r="57" spans="3:12">
      <c r="D57" s="18" t="s">
        <v>62</v>
      </c>
    </row>
    <row r="58" spans="3:12">
      <c r="D58" s="18" t="s">
        <v>63</v>
      </c>
    </row>
    <row r="59" spans="3:12">
      <c r="D59" s="18" t="s">
        <v>65</v>
      </c>
    </row>
    <row r="60" spans="3:12">
      <c r="D60" s="18" t="s">
        <v>67</v>
      </c>
    </row>
    <row r="63" spans="3:12" ht="14.45" customHeight="1"/>
    <row r="64" spans="3:12" ht="14.45" customHeight="1">
      <c r="D64" s="26" t="s">
        <v>93</v>
      </c>
    </row>
    <row r="65" spans="4:4" ht="14.45" customHeight="1">
      <c r="D65" t="s">
        <v>4</v>
      </c>
    </row>
  </sheetData>
  <mergeCells count="5">
    <mergeCell ref="F3:G3"/>
    <mergeCell ref="D32:D33"/>
    <mergeCell ref="B2:C2"/>
    <mergeCell ref="B4:C4"/>
    <mergeCell ref="B3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13DB-0DF5-474C-B18C-1F5BE162BF97}">
  <sheetPr codeName="Sheet2"/>
  <dimension ref="A1:AH33"/>
  <sheetViews>
    <sheetView workbookViewId="0">
      <selection activeCell="A3" sqref="A3"/>
    </sheetView>
  </sheetViews>
  <sheetFormatPr defaultRowHeight="14.45"/>
  <cols>
    <col min="2" max="2" width="12.28515625" customWidth="1"/>
    <col min="3" max="3" width="11" customWidth="1"/>
    <col min="4" max="4" width="10.7109375" customWidth="1"/>
    <col min="11" max="11" width="11.85546875" customWidth="1"/>
    <col min="12" max="12" width="14.5703125" customWidth="1"/>
    <col min="23" max="23" width="72.7109375" customWidth="1"/>
  </cols>
  <sheetData>
    <row r="1" spans="1:34">
      <c r="A1" t="s">
        <v>94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V1">
        <v>1</v>
      </c>
      <c r="W1" t="str">
        <f ca="1">_xlfn.FORMULATEXT('XL-TEST'!E11)</f>
        <v>=IF(C11="P-001";"Toko Cemerlang";IF(C11="P-002";"Toko Bagus";"Toko Sinar"))</v>
      </c>
      <c r="X1" t="str">
        <f ca="1">_xlfn.FORMULATEXT('XL-TEST'!F11)</f>
        <v>=CHOOSE(RIGHT(D11;1);"Gudang Jakarta";"Gudang Bandung";"Gudang Bogor")</v>
      </c>
      <c r="Y1" t="str">
        <f ca="1">_xlfn.FORMULATEXT('XL-TEST'!G11)</f>
        <v>=CHOOSE(CODE(MID(D11;8;1))-64;"Tasikmalaya";"Bandung";"Garut";"Sukabumi")</v>
      </c>
      <c r="Z1" t="str">
        <f ca="1">_xlfn.FORMULATEXT('XL-TEST'!H11)</f>
        <v>=SWITCH(LEFT(D11;2);"TS";"T-Shirt";"JP";"Jaket Pria";"HB";"Hoodie Basic";"KM";"Kemeja";"SW";"Sweater")</v>
      </c>
      <c r="AA1" t="str">
        <f ca="1">_xlfn.FORMULATEXT('XL-TEST'!I11)</f>
        <v>=SWITCH(MID(D11;4;3);"WHT";"White";"BLK";"Black";"RED";"Red")</v>
      </c>
      <c r="AB1" t="str">
        <f ca="1">_xlfn.FORMULATEXT('XL-TEST'!J11)</f>
        <v>=IF(OR(G11="Tasikmalaya";G11="Garut");10000;5000)</v>
      </c>
      <c r="AC1" t="str">
        <f ca="1">_xlfn.FORMULATEXT('XL-TEST'!K11)</f>
        <v>=IF(AND(OR(G11="Bandung";G11="Sukabumi");F11="Gudang Jakarta");50000;0)</v>
      </c>
      <c r="AD1" t="str">
        <f ca="1">_xlfn.FORMULATEXT('XL-TEST'!N11)</f>
        <v>=IF(AND(L11&gt;80;M11&gt;80);"Laku";IF(AND(L11&gt;=80;M11&lt;80);"Turun";IF(AND(L11&lt;80;M11&gt;=80);"Naik";"Kurang Laku")))</v>
      </c>
      <c r="AE1" t="str">
        <f ca="1">_xlfn.FORMULATEXT('XL-TEST'!O11)</f>
        <v>=SWITCH(TRUE; L11&lt;80; IF(M11&gt;=80; "Naik"; "Kurang Laku"); M11&gt;=80; "Laku"; "Turun")</v>
      </c>
      <c r="AF1" t="str">
        <f ca="1">_xlfn.FORMULATEXT('XL-TEST'!R11)</f>
        <v>=SWITCH(TRUE;$D$8&lt;P11;"Belum Mulai";AND($D$8&gt;=P11;$D$8&lt;=Q11);"Sedang Berlangsung";$D$8&gt;Q11;"Promo Selesai")</v>
      </c>
      <c r="AG1" t="str">
        <f ca="1">_xlfn.FORMULATEXT('XL-TEST'!S11)</f>
        <v>=IFS(M11&gt;=80;"A";M11&gt;=60;"B";M11&gt;=40;"C";TRUE;"D")</v>
      </c>
      <c r="AH1" t="str">
        <f ca="1">_xlfn.FORMULATEXT('XL-TEST'!T11)</f>
        <v>=IFS(H11="T-Shirt";5000;H11="Kemeja";10000;TRUE;20000)</v>
      </c>
    </row>
    <row r="2" spans="1:34">
      <c r="A2" t="s">
        <v>95</v>
      </c>
      <c r="B2">
        <v>1</v>
      </c>
      <c r="C2" t="str">
        <f>'XL-TEST'!E11</f>
        <v>Toko Bagus</v>
      </c>
      <c r="D2" t="str">
        <f>'XL-TEST'!F11</f>
        <v>Gudang Bandung</v>
      </c>
      <c r="E2" t="str">
        <f>'XL-TEST'!G11</f>
        <v>Tasikmalaya</v>
      </c>
      <c r="F2" t="str">
        <f>'XL-TEST'!H11</f>
        <v>T-Shirt</v>
      </c>
      <c r="G2" t="str">
        <f>'XL-TEST'!I11</f>
        <v>Black</v>
      </c>
      <c r="H2">
        <f>'XL-TEST'!J11</f>
        <v>10000</v>
      </c>
      <c r="I2">
        <f>'XL-TEST'!K11</f>
        <v>0</v>
      </c>
      <c r="J2" t="str">
        <f>'XL-TEST'!N11</f>
        <v>Naik</v>
      </c>
      <c r="K2" t="str">
        <f>'XL-TEST'!O11</f>
        <v>Naik</v>
      </c>
      <c r="L2" t="str">
        <f>'XL-TEST'!R11</f>
        <v>Sedang Berlangsung</v>
      </c>
      <c r="M2" t="str">
        <f>'XL-TEST'!S11</f>
        <v>A</v>
      </c>
      <c r="N2">
        <f>'XL-TEST'!T11</f>
        <v>5000</v>
      </c>
      <c r="V2">
        <v>2</v>
      </c>
      <c r="W2" t="str">
        <f ca="1">_xlfn.FORMULATEXT('XL-TEST'!F11)</f>
        <v>=CHOOSE(RIGHT(D11;1);"Gudang Jakarta";"Gudang Bandung";"Gudang Bogor")</v>
      </c>
    </row>
    <row r="3" spans="1:34">
      <c r="B3">
        <v>2</v>
      </c>
      <c r="C3" t="str">
        <f>'XL-TEST'!E13</f>
        <v>Toko Sinar</v>
      </c>
      <c r="D3" t="str">
        <f>'XL-TEST'!F13</f>
        <v>Gudang Jakarta</v>
      </c>
      <c r="E3" t="str">
        <f>'XL-TEST'!G13</f>
        <v>Bandung</v>
      </c>
      <c r="F3" t="str">
        <f>'XL-TEST'!H13</f>
        <v>T-Shirt</v>
      </c>
      <c r="G3" t="str">
        <f>'XL-TEST'!I13</f>
        <v>Red</v>
      </c>
      <c r="H3">
        <f>'XL-TEST'!J13</f>
        <v>5000</v>
      </c>
      <c r="I3">
        <f>'XL-TEST'!K13</f>
        <v>50000</v>
      </c>
      <c r="J3" t="str">
        <f>'XL-TEST'!N13</f>
        <v>Kurang Laku</v>
      </c>
      <c r="K3" t="str">
        <f>'XL-TEST'!O13</f>
        <v>Kurang Laku</v>
      </c>
      <c r="L3" t="str">
        <f>'XL-TEST'!R13</f>
        <v>Belum Mulai</v>
      </c>
      <c r="M3" t="str">
        <f>'XL-TEST'!S13</f>
        <v>B</v>
      </c>
      <c r="N3">
        <f>'XL-TEST'!T13</f>
        <v>5000</v>
      </c>
      <c r="V3">
        <v>3</v>
      </c>
      <c r="W3" t="str">
        <f ca="1">_xlfn.FORMULATEXT('XL-TEST'!G11)</f>
        <v>=CHOOSE(CODE(MID(D11;8;1))-64;"Tasikmalaya";"Bandung";"Garut";"Sukabumi")</v>
      </c>
    </row>
    <row r="4" spans="1:34">
      <c r="B4">
        <v>3</v>
      </c>
      <c r="C4" t="str">
        <f>'XL-TEST'!E16</f>
        <v>Toko Bagus</v>
      </c>
      <c r="D4" t="str">
        <f>'XL-TEST'!F16</f>
        <v>Gudang Jakarta</v>
      </c>
      <c r="E4" t="str">
        <f>'XL-TEST'!G16</f>
        <v>Sukabumi</v>
      </c>
      <c r="F4" t="str">
        <f>'XL-TEST'!H16</f>
        <v>Jaket Pria</v>
      </c>
      <c r="G4" t="str">
        <f>'XL-TEST'!I16</f>
        <v>Red</v>
      </c>
      <c r="H4">
        <f>'XL-TEST'!J16</f>
        <v>5000</v>
      </c>
      <c r="I4">
        <f>'XL-TEST'!K16</f>
        <v>50000</v>
      </c>
      <c r="J4" t="str">
        <f>'XL-TEST'!N16</f>
        <v>Kurang Laku</v>
      </c>
      <c r="K4" t="str">
        <f>'XL-TEST'!O16</f>
        <v>Kurang Laku</v>
      </c>
      <c r="L4" t="str">
        <f>'XL-TEST'!R16</f>
        <v>Promo Selesai</v>
      </c>
      <c r="M4" t="str">
        <f>'XL-TEST'!S16</f>
        <v>D</v>
      </c>
      <c r="N4">
        <f>'XL-TEST'!T16</f>
        <v>20000</v>
      </c>
      <c r="V4">
        <v>4</v>
      </c>
      <c r="W4" t="str">
        <f ca="1">_xlfn.FORMULATEXT('XL-TEST'!H11)</f>
        <v>=SWITCH(LEFT(D11;2);"TS";"T-Shirt";"JP";"Jaket Pria";"HB";"Hoodie Basic";"KM";"Kemeja";"SW";"Sweater")</v>
      </c>
    </row>
    <row r="5" spans="1:34">
      <c r="B5">
        <v>4</v>
      </c>
      <c r="C5" t="str">
        <f>'XL-TEST'!E20</f>
        <v>Toko Sinar</v>
      </c>
      <c r="D5" t="str">
        <f>'XL-TEST'!F20</f>
        <v>Gudang Jakarta</v>
      </c>
      <c r="E5" t="str">
        <f>'XL-TEST'!G20</f>
        <v>Sukabumi</v>
      </c>
      <c r="F5" t="str">
        <f>'XL-TEST'!H20</f>
        <v>T-Shirt</v>
      </c>
      <c r="G5" t="str">
        <f>'XL-TEST'!I20</f>
        <v>Black</v>
      </c>
      <c r="H5">
        <f>'XL-TEST'!J20</f>
        <v>5000</v>
      </c>
      <c r="I5">
        <f>'XL-TEST'!K20</f>
        <v>50000</v>
      </c>
      <c r="J5" t="str">
        <f>'XL-TEST'!N20</f>
        <v>Laku</v>
      </c>
      <c r="K5" t="str">
        <f>'XL-TEST'!O20</f>
        <v>Laku</v>
      </c>
      <c r="L5" t="str">
        <f>'XL-TEST'!R20</f>
        <v>Sedang Berlangsung</v>
      </c>
      <c r="M5" t="str">
        <f>'XL-TEST'!S20</f>
        <v>A</v>
      </c>
      <c r="N5">
        <f>'XL-TEST'!T20</f>
        <v>5000</v>
      </c>
      <c r="V5">
        <v>5</v>
      </c>
      <c r="W5" t="str">
        <f ca="1">_xlfn.FORMULATEXT('XL-TEST'!I11)</f>
        <v>=SWITCH(MID(D11;4;3);"WHT";"White";"BLK";"Black";"RED";"Red")</v>
      </c>
    </row>
    <row r="6" spans="1:34">
      <c r="B6">
        <v>5</v>
      </c>
      <c r="C6" t="str">
        <f>'XL-TEST'!E25</f>
        <v>Toko Sinar</v>
      </c>
      <c r="D6" t="str">
        <f>'XL-TEST'!F25</f>
        <v>Gudang Bandung</v>
      </c>
      <c r="E6" t="str">
        <f>'XL-TEST'!G25</f>
        <v>Tasikmalaya</v>
      </c>
      <c r="F6" t="str">
        <f>'XL-TEST'!H25</f>
        <v>Sweater</v>
      </c>
      <c r="G6" t="str">
        <f>'XL-TEST'!I25</f>
        <v>Red</v>
      </c>
      <c r="H6">
        <f>'XL-TEST'!J25</f>
        <v>10000</v>
      </c>
      <c r="I6">
        <f>'XL-TEST'!K25</f>
        <v>0</v>
      </c>
      <c r="J6" t="str">
        <f>'XL-TEST'!N25</f>
        <v>Naik</v>
      </c>
      <c r="K6" t="str">
        <f>'XL-TEST'!O25</f>
        <v>Naik</v>
      </c>
      <c r="L6" t="str">
        <f>'XL-TEST'!R25</f>
        <v>Sedang Berlangsung</v>
      </c>
      <c r="M6" t="str">
        <f>'XL-TEST'!S25</f>
        <v>A</v>
      </c>
      <c r="N6">
        <f>'XL-TEST'!T25</f>
        <v>20000</v>
      </c>
      <c r="V6">
        <v>6</v>
      </c>
      <c r="W6" t="str">
        <f ca="1">_xlfn.FORMULATEXT('XL-TEST'!J11)</f>
        <v>=IF(OR(G11="Tasikmalaya";G11="Garut");10000;5000)</v>
      </c>
    </row>
    <row r="7" spans="1:34">
      <c r="B7" t="s">
        <v>96</v>
      </c>
      <c r="H7">
        <f>SUM('XL-TEST'!J11:J25)</f>
        <v>120000</v>
      </c>
      <c r="I7">
        <f>SUM('XL-TEST'!K11:K25)</f>
        <v>200000</v>
      </c>
      <c r="N7">
        <f>SUM('XL-TEST'!T11:T25)</f>
        <v>220000</v>
      </c>
      <c r="V7">
        <v>7</v>
      </c>
      <c r="W7" t="str">
        <f ca="1">_xlfn.FORMULATEXT('XL-TEST'!K11)</f>
        <v>=IF(AND(OR(G11="Bandung";G11="Sukabumi");F11="Gudang Jakarta");50000;0)</v>
      </c>
    </row>
    <row r="8" spans="1:34">
      <c r="B8" t="s">
        <v>97</v>
      </c>
      <c r="H8">
        <f>SUM(H2:H7)</f>
        <v>155000</v>
      </c>
      <c r="I8">
        <f>SUM(I2:I7)</f>
        <v>350000</v>
      </c>
      <c r="N8">
        <f>SUM(N2:N7)</f>
        <v>275000</v>
      </c>
      <c r="V8">
        <v>8</v>
      </c>
      <c r="W8" t="str">
        <f ca="1">_xlfn.FORMULATEXT('XL-TEST'!N11)</f>
        <v>=IF(AND(L11&gt;80;M11&gt;80);"Laku";IF(AND(L11&gt;=80;M11&lt;80);"Turun";IF(AND(L11&lt;80;M11&gt;=80);"Naik";"Kurang Laku")))</v>
      </c>
    </row>
    <row r="9" spans="1:34">
      <c r="V9">
        <v>9</v>
      </c>
      <c r="W9" t="str">
        <f ca="1">_xlfn.FORMULATEXT('XL-TEST'!O11)</f>
        <v>=SWITCH(TRUE; L11&lt;80; IF(M11&gt;=80; "Naik"; "Kurang Laku"); M11&gt;=80; "Laku"; "Turun")</v>
      </c>
    </row>
    <row r="10" spans="1:34">
      <c r="B10" t="s">
        <v>98</v>
      </c>
      <c r="C10">
        <v>8121</v>
      </c>
      <c r="D10">
        <v>7120</v>
      </c>
      <c r="E10">
        <v>6802</v>
      </c>
      <c r="F10">
        <v>3244</v>
      </c>
      <c r="G10">
        <v>7092</v>
      </c>
      <c r="H10">
        <v>9823</v>
      </c>
      <c r="I10">
        <v>6859</v>
      </c>
      <c r="J10">
        <v>3135</v>
      </c>
      <c r="K10">
        <v>6329</v>
      </c>
      <c r="L10">
        <v>6946</v>
      </c>
      <c r="M10">
        <v>2220</v>
      </c>
      <c r="N10">
        <v>8432</v>
      </c>
      <c r="V10">
        <v>10</v>
      </c>
      <c r="W10" t="str">
        <f ca="1">_xlfn.FORMULATEXT('XL-TEST'!R11)</f>
        <v>=SWITCH(TRUE;$D$8&lt;P11;"Belum Mulai";AND($D$8&gt;=P11;$D$8&lt;=Q11);"Sedang Berlangsung";$D$8&gt;Q11;"Promo Selesai")</v>
      </c>
    </row>
    <row r="11" spans="1:34">
      <c r="B11" t="s">
        <v>99</v>
      </c>
      <c r="C11">
        <f>CODE(MID(C2,6,1))+CODE(MID(C3,6,1))+CODE(MID(C4,6,1))+CODE(MID(C5,6,1))+CODE(MID(C6,6,1))+CODE(RIGHT(C2,1))+CODE(RIGHT(C3,1))+CODE(RIGHT(C4,1))+CODE(RIGHT(C5,1))</f>
        <v>839</v>
      </c>
      <c r="D11">
        <f>CODE(MID(D2,8,1))+CODE(MID(D3,8,1))+CODE(MID(D4,8,1))+CODE(MID(D5,8,1))+CODE(MID(D6,8,1))+CODE(RIGHT(D2,1))+CODE(RIGHT(D3,1))+CODE(RIGHT(D4,1))+CODE(RIGHT(D5,1))+CODE(RIGHT(D6,1))</f>
        <v>851</v>
      </c>
      <c r="E11">
        <f>CODE(RIGHT(E2,1))+CODE(RIGHT(E3,1))+CODE(RIGHT(E4,1))+CODE(RIGHT(E5,1))+CODE(RIGHT(E6,1))+CODE(RIGHT(E2,1))+CODE(RIGHT(E3,1))+CODE(RIGHT(E4,1))+CODE(RIGHT(E5,1))+CODE(RIGHT(E6,1))</f>
        <v>1014</v>
      </c>
      <c r="F11">
        <f>CODE(RIGHT(F2,1))+CODE(RIGHT(F3,1))+CODE(RIGHT(F4,1))+CODE(RIGHT(F5,1))+CODE(RIGHT(F6,1))+CODE(RIGHT(F2,1))+CODE(RIGHT(F3,1))+CODE(RIGHT(F4,1))+CODE(RIGHT(F5,1))+CODE(RIGHT(F6,1))</f>
        <v>1118</v>
      </c>
      <c r="G11">
        <f>CODE(RIGHT(G2,1))+CODE(RIGHT(G3,1))+CODE(RIGHT(G4,1))+CODE(RIGHT(G5,1))+CODE(RIGHT(G6,1))+CODE(RIGHT(G2,1))+CODE(RIGHT(G3,1))+CODE(RIGHT(G4,1))+CODE(RIGHT(G5,1))+CODE(RIGHT(G6,1))</f>
        <v>1028</v>
      </c>
      <c r="H11">
        <f>H8/100</f>
        <v>1550</v>
      </c>
      <c r="I11">
        <f>I8/100</f>
        <v>3500</v>
      </c>
      <c r="J11">
        <f>CODE(RIGHT(J2,1))+CODE(RIGHT(J3,1))+CODE(RIGHT(J4,1))+CODE(RIGHT(J5,1))+CODE(RIGHT(J6,1))+CODE(RIGHT(J2,1))+CODE(RIGHT(J3,1))+CODE(RIGHT(J4,1))+CODE(RIGHT(J5,1))+CODE(RIGHT(J6,1))</f>
        <v>1130</v>
      </c>
      <c r="K11">
        <f>CODE(RIGHT(K2,1))+CODE(RIGHT(K3,1))+CODE(RIGHT(K4,1))+CODE(RIGHT(K5,1))+CODE(RIGHT(K6,1))+CODE(RIGHT(K2,1))+CODE(RIGHT(K3,1))+CODE(RIGHT(K4,1))+CODE(RIGHT(K5,1))+CODE(RIGHT(K6,1))</f>
        <v>1130</v>
      </c>
      <c r="L11">
        <f>CODE(RIGHT(L2,1))+CODE(RIGHT(L3,1))+CODE(RIGHT(L4,1))+CODE(RIGHT(L5,1))+CODE(RIGHT(L6,1))+CODE(RIGHT(L2,1))+CODE(RIGHT(L3,1))+CODE(RIGHT(L4,1))+CODE(RIGHT(L5,1))+CODE(RIGHT(L6,1))</f>
        <v>1038</v>
      </c>
      <c r="M11">
        <f>CODE(RIGHT(M2,1))+CODE(RIGHT(M3,1))+CODE(RIGHT(M4,1))+CODE(RIGHT(M5,1))+CODE(RIGHT(M6,1))+CODE(RIGHT(M2,1))+CODE(RIGHT(M3,1))+CODE(RIGHT(M4,1))+CODE(RIGHT(M5,1))+CODE(RIGHT(M6,1))</f>
        <v>658</v>
      </c>
      <c r="N11">
        <f>N8/100</f>
        <v>2750</v>
      </c>
      <c r="V11">
        <v>11</v>
      </c>
      <c r="W11" t="str">
        <f ca="1">_xlfn.FORMULATEXT('XL-TEST'!S11)</f>
        <v>=IFS(M11&gt;=80;"A";M11&gt;=60;"B";M11&gt;=40;"C";TRUE;"D")</v>
      </c>
    </row>
    <row r="12" spans="1:34">
      <c r="C12" t="str">
        <f ca="1">IFERROR(DEC2HEX(IF(OR(C2="",C2=0),C10,C11))&amp;C22,"EEEE")</f>
        <v>3471</v>
      </c>
      <c r="D12" t="str">
        <f t="shared" ref="D12:N12" ca="1" si="0">IFERROR(DEC2HEX(IF(OR(D2="",D2=0),D10,D11))&amp;D22,"EEEE")</f>
        <v>3531</v>
      </c>
      <c r="E12" t="str">
        <f t="shared" ca="1" si="0"/>
        <v>3F61</v>
      </c>
      <c r="F12" t="str">
        <f t="shared" ca="1" si="0"/>
        <v>45E1</v>
      </c>
      <c r="G12" t="str">
        <f t="shared" ca="1" si="0"/>
        <v>4041</v>
      </c>
      <c r="H12" t="str">
        <f t="shared" ca="1" si="0"/>
        <v>60E1</v>
      </c>
      <c r="I12" t="str">
        <f t="shared" ca="1" si="0"/>
        <v>1ACB1</v>
      </c>
      <c r="J12" t="str">
        <f t="shared" ca="1" si="0"/>
        <v>46A1</v>
      </c>
      <c r="K12" t="str">
        <f t="shared" ca="1" si="0"/>
        <v>46A1</v>
      </c>
      <c r="L12" t="str">
        <f t="shared" ca="1" si="0"/>
        <v>40E1</v>
      </c>
      <c r="M12" t="str">
        <f t="shared" ca="1" si="0"/>
        <v>2921</v>
      </c>
      <c r="N12" t="str">
        <f t="shared" ca="1" si="0"/>
        <v>ABE1</v>
      </c>
      <c r="V12">
        <v>12</v>
      </c>
      <c r="W12" t="str">
        <f ca="1">_xlfn.FORMULATEXT('XL-TEST'!T11)</f>
        <v>=IFS(H11="T-Shirt";5000;H11="Kemeja";10000;TRUE;20000)</v>
      </c>
    </row>
    <row r="14" spans="1:34">
      <c r="B14" t="b">
        <v>1</v>
      </c>
      <c r="C14" t="str">
        <f ca="1">RIGHT(DEC2HEX(C10),2)&amp;C31</f>
        <v>B91</v>
      </c>
      <c r="D14" t="str">
        <f t="shared" ref="D14:N14" ca="1" si="1">RIGHT(DEC2HEX(D10),2)&amp;D31</f>
        <v>D01</v>
      </c>
      <c r="E14" t="str">
        <f t="shared" ca="1" si="1"/>
        <v>921</v>
      </c>
      <c r="F14" t="str">
        <f t="shared" ca="1" si="1"/>
        <v>AC1</v>
      </c>
      <c r="G14" t="str">
        <f t="shared" ca="1" si="1"/>
        <v>B41</v>
      </c>
      <c r="H14" t="str">
        <f t="shared" ca="1" si="1"/>
        <v>5F1</v>
      </c>
      <c r="I14" t="str">
        <f t="shared" ca="1" si="1"/>
        <v>CB1</v>
      </c>
      <c r="J14" t="str">
        <f t="shared" ca="1" si="1"/>
        <v>3F1</v>
      </c>
      <c r="K14" t="str">
        <f t="shared" ca="1" si="1"/>
        <v>B91</v>
      </c>
      <c r="L14" t="str">
        <f t="shared" ca="1" si="1"/>
        <v>221</v>
      </c>
      <c r="M14" t="str">
        <f t="shared" ca="1" si="1"/>
        <v>AC1</v>
      </c>
      <c r="N14" t="str">
        <f t="shared" ca="1" si="1"/>
        <v>F01</v>
      </c>
      <c r="W14">
        <v>1</v>
      </c>
      <c r="X14">
        <v>2</v>
      </c>
      <c r="Y14">
        <v>3</v>
      </c>
      <c r="Z14">
        <v>4</v>
      </c>
      <c r="AA14">
        <v>5</v>
      </c>
      <c r="AB14">
        <v>6</v>
      </c>
      <c r="AC14">
        <v>7</v>
      </c>
      <c r="AD14">
        <v>8</v>
      </c>
      <c r="AE14">
        <v>9</v>
      </c>
      <c r="AF14">
        <v>10</v>
      </c>
      <c r="AG14">
        <v>11</v>
      </c>
      <c r="AH14">
        <v>12</v>
      </c>
    </row>
    <row r="15" spans="1:34">
      <c r="B15" t="b">
        <v>0</v>
      </c>
      <c r="C15" t="str">
        <f ca="1">LEFT(DEC2HEX(C10),2)&amp;C31</f>
        <v>1F1</v>
      </c>
      <c r="D15" t="str">
        <f t="shared" ref="D15:N15" ca="1" si="2">LEFT(DEC2HEX(D10),2)&amp;D31</f>
        <v>1B1</v>
      </c>
      <c r="E15" t="str">
        <f t="shared" ca="1" si="2"/>
        <v>1A1</v>
      </c>
      <c r="F15" t="str">
        <f t="shared" ca="1" si="2"/>
        <v>CA1</v>
      </c>
      <c r="G15" t="str">
        <f t="shared" ca="1" si="2"/>
        <v>1B1</v>
      </c>
      <c r="H15" t="str">
        <f t="shared" ca="1" si="2"/>
        <v>261</v>
      </c>
      <c r="I15" t="str">
        <f t="shared" ca="1" si="2"/>
        <v>1A1</v>
      </c>
      <c r="J15" t="str">
        <f t="shared" ca="1" si="2"/>
        <v>C31</v>
      </c>
      <c r="K15" t="str">
        <f t="shared" ca="1" si="2"/>
        <v>181</v>
      </c>
      <c r="L15" t="str">
        <f t="shared" ca="1" si="2"/>
        <v>1B1</v>
      </c>
      <c r="M15" t="str">
        <f t="shared" ca="1" si="2"/>
        <v>8A1</v>
      </c>
      <c r="N15" t="str">
        <f t="shared" ca="1" si="2"/>
        <v>201</v>
      </c>
    </row>
    <row r="18" spans="2:14">
      <c r="B18" t="s">
        <v>100</v>
      </c>
      <c r="C18" t="str">
        <f ca="1">IF(C22=1,C14,C15)</f>
        <v>B91</v>
      </c>
      <c r="D18" t="str">
        <f t="shared" ref="D18:N18" ca="1" si="3">IF(D22=1,D14,D15)</f>
        <v>D01</v>
      </c>
      <c r="E18" t="str">
        <f t="shared" ca="1" si="3"/>
        <v>921</v>
      </c>
      <c r="F18" t="str">
        <f t="shared" ca="1" si="3"/>
        <v>AC1</v>
      </c>
      <c r="G18" t="str">
        <f t="shared" ca="1" si="3"/>
        <v>B41</v>
      </c>
      <c r="H18" t="str">
        <f t="shared" ca="1" si="3"/>
        <v>5F1</v>
      </c>
      <c r="I18" t="str">
        <f t="shared" ca="1" si="3"/>
        <v>CB1</v>
      </c>
      <c r="J18" t="str">
        <f t="shared" ca="1" si="3"/>
        <v>3F1</v>
      </c>
      <c r="K18" t="str">
        <f t="shared" ca="1" si="3"/>
        <v>B91</v>
      </c>
      <c r="L18" t="str">
        <f t="shared" ca="1" si="3"/>
        <v>221</v>
      </c>
      <c r="M18" t="str">
        <f t="shared" ca="1" si="3"/>
        <v>AC1</v>
      </c>
      <c r="N18" t="str">
        <f t="shared" ca="1" si="3"/>
        <v>F01</v>
      </c>
    </row>
    <row r="20" spans="2:14">
      <c r="B20" t="s">
        <v>101</v>
      </c>
      <c r="C20" t="str">
        <f ca="1">C18&amp;"-"&amp;C12&amp;";"</f>
        <v>B91-3471;</v>
      </c>
      <c r="D20" t="str">
        <f t="shared" ref="D20:M20" ca="1" si="4">D18&amp;"-"&amp;D12&amp;";"</f>
        <v>D01-3531;</v>
      </c>
      <c r="E20" t="str">
        <f t="shared" ca="1" si="4"/>
        <v>921-3F61;</v>
      </c>
      <c r="F20" t="str">
        <f t="shared" ca="1" si="4"/>
        <v>AC1-45E1;</v>
      </c>
      <c r="G20" t="str">
        <f t="shared" ca="1" si="4"/>
        <v>B41-4041;</v>
      </c>
      <c r="H20" t="str">
        <f t="shared" ca="1" si="4"/>
        <v>5F1-60E1;</v>
      </c>
      <c r="I20" t="str">
        <f t="shared" ca="1" si="4"/>
        <v>CB1-1ACB1;</v>
      </c>
      <c r="J20" t="str">
        <f t="shared" ca="1" si="4"/>
        <v>3F1-46A1;</v>
      </c>
      <c r="K20" t="str">
        <f t="shared" ca="1" si="4"/>
        <v>B91-46A1;</v>
      </c>
      <c r="L20" t="str">
        <f t="shared" ca="1" si="4"/>
        <v>221-40E1;</v>
      </c>
      <c r="M20" t="str">
        <f t="shared" ca="1" si="4"/>
        <v>AC1-2921;</v>
      </c>
      <c r="N20" t="str">
        <f ca="1">N18&amp;"-"&amp;N12</f>
        <v>F01-ABE1</v>
      </c>
    </row>
    <row r="22" spans="2:14">
      <c r="B22" t="s">
        <v>102</v>
      </c>
      <c r="C22">
        <f ca="1">ISNUMBER(FIND("IF(",W1))+0</f>
        <v>1</v>
      </c>
      <c r="D22">
        <f ca="1">ISNUMBER(FIND("CHOOSE",X1))+0</f>
        <v>1</v>
      </c>
      <c r="E22">
        <f ca="1">ISNUMBER(FIND("CHOOSE",Y1))+0</f>
        <v>1</v>
      </c>
      <c r="F22">
        <f ca="1">ISNUMBER(FIND("SWITCH",Z1))+0</f>
        <v>1</v>
      </c>
      <c r="G22">
        <f ca="1">ISNUMBER(FIND("SWITCH",AA1))+0</f>
        <v>1</v>
      </c>
      <c r="H22">
        <f ca="1">ISNUMBER(FIND("IF(",AB1))+0</f>
        <v>1</v>
      </c>
      <c r="I22">
        <f ca="1">ISNUMBER(FIND("IF(",AC1))+0</f>
        <v>1</v>
      </c>
      <c r="J22">
        <f ca="1">ISNUMBER(FIND("IF(",AD1))+0</f>
        <v>1</v>
      </c>
      <c r="K22">
        <f ca="1">ISNUMBER(FIND("SWITCH",AE1))+0</f>
        <v>1</v>
      </c>
      <c r="L22">
        <f ca="1">ISNUMBER(FIND("SWITCH",AF1))+0</f>
        <v>1</v>
      </c>
      <c r="M22">
        <f ca="1">ISNUMBER(FIND("IFS(",AG1))+0</f>
        <v>1</v>
      </c>
      <c r="N22">
        <f ca="1">ISNUMBER(FIND("IFS(",AH1))+0</f>
        <v>1</v>
      </c>
    </row>
    <row r="23" spans="2:14">
      <c r="B23" t="s">
        <v>103</v>
      </c>
      <c r="C23">
        <f ca="1">IFERROR(LEN(W1)-LEN(SUBSTITUTE(W1,"(","")),99)</f>
        <v>2</v>
      </c>
      <c r="D23">
        <f t="shared" ref="D23:N23" ca="1" si="5">IFERROR(LEN(X1)-LEN(SUBSTITUTE(X1,"(","")),99)</f>
        <v>2</v>
      </c>
      <c r="E23">
        <f t="shared" ca="1" si="5"/>
        <v>3</v>
      </c>
      <c r="F23">
        <f t="shared" ca="1" si="5"/>
        <v>2</v>
      </c>
      <c r="G23">
        <f t="shared" ca="1" si="5"/>
        <v>2</v>
      </c>
      <c r="H23">
        <f t="shared" ca="1" si="5"/>
        <v>2</v>
      </c>
      <c r="I23">
        <f t="shared" ca="1" si="5"/>
        <v>3</v>
      </c>
      <c r="J23">
        <f t="shared" ca="1" si="5"/>
        <v>6</v>
      </c>
      <c r="K23">
        <f t="shared" ca="1" si="5"/>
        <v>2</v>
      </c>
      <c r="L23">
        <f t="shared" ca="1" si="5"/>
        <v>2</v>
      </c>
      <c r="M23">
        <f t="shared" ca="1" si="5"/>
        <v>1</v>
      </c>
      <c r="N23">
        <f t="shared" ca="1" si="5"/>
        <v>1</v>
      </c>
    </row>
    <row r="24" spans="2:14">
      <c r="B24" t="s">
        <v>104</v>
      </c>
      <c r="C24">
        <v>3</v>
      </c>
      <c r="D24">
        <v>3</v>
      </c>
      <c r="E24">
        <v>3</v>
      </c>
      <c r="F24">
        <v>2</v>
      </c>
      <c r="G24">
        <v>2</v>
      </c>
      <c r="H24">
        <v>2</v>
      </c>
      <c r="I24">
        <v>3</v>
      </c>
      <c r="J24">
        <v>6</v>
      </c>
      <c r="K24">
        <v>3</v>
      </c>
      <c r="L24">
        <v>2</v>
      </c>
      <c r="M24">
        <v>1</v>
      </c>
      <c r="N24">
        <v>1</v>
      </c>
    </row>
    <row r="25" spans="2:14">
      <c r="B25" t="s">
        <v>105</v>
      </c>
      <c r="C25">
        <f ca="1">(C23&lt;=C24)+0</f>
        <v>1</v>
      </c>
      <c r="D25">
        <f t="shared" ref="D25:N25" ca="1" si="6">(D23&lt;=D24)+0</f>
        <v>1</v>
      </c>
      <c r="E25">
        <f t="shared" ca="1" si="6"/>
        <v>1</v>
      </c>
      <c r="F25">
        <f t="shared" ca="1" si="6"/>
        <v>1</v>
      </c>
      <c r="G25">
        <f t="shared" ca="1" si="6"/>
        <v>1</v>
      </c>
      <c r="H25">
        <f t="shared" ca="1" si="6"/>
        <v>1</v>
      </c>
      <c r="I25">
        <f t="shared" ca="1" si="6"/>
        <v>1</v>
      </c>
      <c r="J25">
        <f t="shared" ca="1" si="6"/>
        <v>1</v>
      </c>
      <c r="K25">
        <f t="shared" ca="1" si="6"/>
        <v>1</v>
      </c>
      <c r="L25">
        <f t="shared" ca="1" si="6"/>
        <v>1</v>
      </c>
      <c r="M25">
        <f t="shared" ca="1" si="6"/>
        <v>1</v>
      </c>
      <c r="N25">
        <f t="shared" ca="1" si="6"/>
        <v>1</v>
      </c>
    </row>
    <row r="27" spans="2:14">
      <c r="B27" t="s">
        <v>106</v>
      </c>
      <c r="C27">
        <f t="shared" ref="C27:N27" ca="1" si="7">IFERROR(LEN(W1)-LEN(SUBSTITUTE(W1,IF(ISNUMBER(FIND(",",W1)),",",";"),"")),99)</f>
        <v>4</v>
      </c>
      <c r="D27">
        <f t="shared" ca="1" si="7"/>
        <v>4</v>
      </c>
      <c r="E27">
        <f t="shared" ca="1" si="7"/>
        <v>6</v>
      </c>
      <c r="F27">
        <f t="shared" ca="1" si="7"/>
        <v>11</v>
      </c>
      <c r="G27">
        <f t="shared" ca="1" si="7"/>
        <v>8</v>
      </c>
      <c r="H27">
        <f t="shared" ca="1" si="7"/>
        <v>3</v>
      </c>
      <c r="I27">
        <f t="shared" ca="1" si="7"/>
        <v>4</v>
      </c>
      <c r="J27">
        <f t="shared" ca="1" si="7"/>
        <v>9</v>
      </c>
      <c r="K27">
        <f t="shared" ca="1" si="7"/>
        <v>7</v>
      </c>
      <c r="L27">
        <f t="shared" ca="1" si="7"/>
        <v>7</v>
      </c>
      <c r="M27">
        <f t="shared" ca="1" si="7"/>
        <v>7</v>
      </c>
      <c r="N27">
        <f t="shared" ca="1" si="7"/>
        <v>5</v>
      </c>
    </row>
    <row r="28" spans="2:14">
      <c r="C28">
        <v>4</v>
      </c>
      <c r="D28">
        <v>4</v>
      </c>
      <c r="E28">
        <v>6</v>
      </c>
      <c r="F28">
        <v>11</v>
      </c>
      <c r="G28">
        <v>8</v>
      </c>
      <c r="H28">
        <v>3</v>
      </c>
      <c r="I28">
        <v>4</v>
      </c>
      <c r="J28">
        <v>9</v>
      </c>
      <c r="K28">
        <v>8</v>
      </c>
      <c r="L28">
        <v>8</v>
      </c>
      <c r="M28">
        <v>7</v>
      </c>
      <c r="N28">
        <v>5</v>
      </c>
    </row>
    <row r="29" spans="2:14">
      <c r="C29">
        <f ca="1">(C28&gt;=C27)+0</f>
        <v>1</v>
      </c>
      <c r="D29">
        <f t="shared" ref="D29:N29" ca="1" si="8">(D28&gt;=D27)+0</f>
        <v>1</v>
      </c>
      <c r="E29">
        <f t="shared" ca="1" si="8"/>
        <v>1</v>
      </c>
      <c r="F29">
        <f t="shared" ca="1" si="8"/>
        <v>1</v>
      </c>
      <c r="G29">
        <f t="shared" ca="1" si="8"/>
        <v>1</v>
      </c>
      <c r="H29">
        <f t="shared" ca="1" si="8"/>
        <v>1</v>
      </c>
      <c r="I29">
        <f t="shared" ca="1" si="8"/>
        <v>1</v>
      </c>
      <c r="J29">
        <f t="shared" ca="1" si="8"/>
        <v>1</v>
      </c>
      <c r="K29">
        <f t="shared" ca="1" si="8"/>
        <v>1</v>
      </c>
      <c r="L29">
        <f t="shared" ca="1" si="8"/>
        <v>1</v>
      </c>
      <c r="M29">
        <f t="shared" ca="1" si="8"/>
        <v>1</v>
      </c>
      <c r="N29">
        <f t="shared" ca="1" si="8"/>
        <v>1</v>
      </c>
    </row>
    <row r="31" spans="2:14">
      <c r="C31">
        <f ca="1">AND(C25=1,C29=1)+0</f>
        <v>1</v>
      </c>
      <c r="D31">
        <f t="shared" ref="D31:N31" ca="1" si="9">AND(D25=1,D29=1)+0</f>
        <v>1</v>
      </c>
      <c r="E31">
        <f t="shared" ca="1" si="9"/>
        <v>1</v>
      </c>
      <c r="F31">
        <f t="shared" ca="1" si="9"/>
        <v>1</v>
      </c>
      <c r="G31">
        <f t="shared" ca="1" si="9"/>
        <v>1</v>
      </c>
      <c r="H31">
        <f t="shared" ca="1" si="9"/>
        <v>1</v>
      </c>
      <c r="I31">
        <f t="shared" ca="1" si="9"/>
        <v>1</v>
      </c>
      <c r="J31">
        <f t="shared" ca="1" si="9"/>
        <v>1</v>
      </c>
      <c r="K31">
        <f t="shared" ca="1" si="9"/>
        <v>1</v>
      </c>
      <c r="L31">
        <f t="shared" ca="1" si="9"/>
        <v>1</v>
      </c>
      <c r="M31">
        <f t="shared" ca="1" si="9"/>
        <v>1</v>
      </c>
      <c r="N31">
        <f t="shared" ca="1" si="9"/>
        <v>1</v>
      </c>
    </row>
    <row r="33" spans="3:3">
      <c r="C33" t="str">
        <f ca="1">A2&amp;"|"&amp;C20&amp;D20&amp;E20&amp;F20&amp;G20&amp;H20&amp;I20&amp;J20&amp;K20&amp;L20&amp;M20&amp;N20</f>
        <v>HG2|B91-3471;D01-3531;921-3F61;AC1-45E1;B41-4041;5F1-60E1;CB1-1ACB1;3F1-46A1;B91-46A1;221-40E1;AC1-2921;F01-ABE1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2025-08-27T16:29:50Z</dcterms:created>
  <dcterms:modified xsi:type="dcterms:W3CDTF">2026-06-12T19:17:24Z</dcterms:modified>
  <cp:category/>
  <cp:contentStatus/>
</cp:coreProperties>
</file>