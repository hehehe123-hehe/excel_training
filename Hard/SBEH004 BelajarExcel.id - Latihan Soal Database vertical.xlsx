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4b3130b3dd6cff9/VBA REPO/File BelajarExcel.id/Soal/"/>
    </mc:Choice>
  </mc:AlternateContent>
  <xr:revisionPtr revIDLastSave="661" documentId="8_{AE2B20A2-25CE-4068-8F05-87EDEC795CC4}" xr6:coauthVersionLast="47" xr6:coauthVersionMax="47" xr10:uidLastSave="{C2A7CD25-A5CC-4CDE-8290-00F24D5A40B2}"/>
  <workbookProtection workbookAlgorithmName="SHA-512" workbookHashValue="8rGyD3v1XqIn/3XLhPEzk6TVwPHFMcauGrV78CK0VsFNbF7B7sUvq6il7MfUrkz3O5UnF2S6QL3uInXTjlM8pw==" workbookSaltValue="b+0kqu+XltDN5DNeRS8DdQ==" workbookSpinCount="100000" lockStructure="1"/>
  <bookViews>
    <workbookView xWindow="28692" yWindow="-108" windowWidth="29016" windowHeight="15696" xr2:uid="{90A7E099-527B-4C2C-B66E-D8CA7C316D03}"/>
  </bookViews>
  <sheets>
    <sheet name="XL-Test" sheetId="2" r:id="rId1"/>
    <sheet name="Database" sheetId="1" r:id="rId2"/>
    <sheet name="About" sheetId="4" r:id="rId3"/>
    <sheet name="DF" sheetId="3" state="veryHidden" r:id="rId4"/>
  </sheets>
  <definedNames>
    <definedName name="Kode_jawaban">DF!$C$64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 a="1"/>
  <c r="G7" i="2"/>
  <c r="G8" i="2" a="1"/>
  <c r="G8" i="2"/>
  <c r="G9" i="2" a="1"/>
  <c r="G9" i="2"/>
  <c r="G10" i="2" a="1"/>
  <c r="G10" i="2"/>
  <c r="G11" i="2" a="1"/>
  <c r="G11" i="2"/>
  <c r="G12" i="2" a="1"/>
  <c r="G12" i="2"/>
  <c r="G13" i="2" a="1"/>
  <c r="G13" i="2"/>
  <c r="G14" i="2" a="1"/>
  <c r="G14" i="2"/>
  <c r="G15" i="2" a="1"/>
  <c r="G15" i="2"/>
  <c r="G16" i="2" a="1"/>
  <c r="G16" i="2" s="1"/>
  <c r="H16" i="2" s="1"/>
  <c r="G12" i="3" s="1"/>
  <c r="G17" i="2" a="1"/>
  <c r="G17" i="2"/>
  <c r="H17" i="2" s="1"/>
  <c r="G13" i="3" s="1"/>
  <c r="G18" i="2" a="1"/>
  <c r="G18" i="2" s="1"/>
  <c r="H18" i="2" s="1"/>
  <c r="G19" i="2" a="1"/>
  <c r="G19" i="2" s="1"/>
  <c r="H19" i="2" s="1"/>
  <c r="G20" i="2" a="1"/>
  <c r="G20" i="2" s="1"/>
  <c r="H20" i="2" s="1"/>
  <c r="G6" i="2" a="1"/>
  <c r="G6" i="2"/>
  <c r="H6" i="2"/>
  <c r="F6" i="2" a="1"/>
  <c r="F6" i="2"/>
  <c r="E6" i="2" a="1"/>
  <c r="E6" i="2"/>
  <c r="D6" i="2" a="1"/>
  <c r="D6" i="2"/>
  <c r="H7" i="2"/>
  <c r="G3" i="3" s="1"/>
  <c r="H8" i="2"/>
  <c r="G4" i="3" s="1"/>
  <c r="H9" i="2"/>
  <c r="H10" i="2"/>
  <c r="H11" i="2"/>
  <c r="H12" i="2"/>
  <c r="H13" i="2"/>
  <c r="H14" i="2"/>
  <c r="H15" i="2"/>
  <c r="F1" i="1"/>
  <c r="F7" i="2" a="1"/>
  <c r="F7" i="2"/>
  <c r="F8" i="2" a="1"/>
  <c r="F8" i="2"/>
  <c r="F9" i="2" a="1"/>
  <c r="F9" i="2"/>
  <c r="F10" i="2" a="1"/>
  <c r="F10" i="2"/>
  <c r="F11" i="2" a="1"/>
  <c r="F11" i="2"/>
  <c r="F12" i="2" a="1"/>
  <c r="F12" i="2"/>
  <c r="F13" i="2" a="1"/>
  <c r="F13" i="2"/>
  <c r="F14" i="2" a="1"/>
  <c r="F14" i="2"/>
  <c r="F15" i="2" a="1"/>
  <c r="F15" i="2"/>
  <c r="F16" i="2" a="1"/>
  <c r="F16" i="2"/>
  <c r="F17" i="2" a="1"/>
  <c r="F17" i="2"/>
  <c r="F18" i="2" a="1"/>
  <c r="F18" i="2"/>
  <c r="F19" i="2" a="1"/>
  <c r="F19" i="2"/>
  <c r="F20" i="2" a="1"/>
  <c r="F20" i="2"/>
  <c r="E7" i="2" a="1"/>
  <c r="E7" i="2"/>
  <c r="E8" i="2" a="1"/>
  <c r="E8" i="2"/>
  <c r="E9" i="2" a="1"/>
  <c r="E9" i="2"/>
  <c r="E10" i="2" a="1"/>
  <c r="E10" i="2"/>
  <c r="E11" i="2" a="1"/>
  <c r="E11" i="2"/>
  <c r="E12" i="2" a="1"/>
  <c r="E12" i="2"/>
  <c r="E13" i="2" a="1"/>
  <c r="E13" i="2"/>
  <c r="E14" i="2" a="1"/>
  <c r="E14" i="2"/>
  <c r="E15" i="2" a="1"/>
  <c r="E15" i="2"/>
  <c r="E16" i="2" a="1"/>
  <c r="E16" i="2"/>
  <c r="E17" i="2" a="1"/>
  <c r="E17" i="2"/>
  <c r="E18" i="2" a="1"/>
  <c r="E18" i="2"/>
  <c r="E19" i="2" a="1"/>
  <c r="E19" i="2"/>
  <c r="E20" i="2" a="1"/>
  <c r="E20" i="2"/>
  <c r="D7" i="2" a="1"/>
  <c r="D7" i="2"/>
  <c r="D8" i="2" a="1"/>
  <c r="D8" i="2"/>
  <c r="D9" i="2" a="1"/>
  <c r="D9" i="2"/>
  <c r="D10" i="2" a="1"/>
  <c r="D10" i="2"/>
  <c r="D11" i="2" a="1"/>
  <c r="D11" i="2"/>
  <c r="D12" i="2" a="1"/>
  <c r="D12" i="2"/>
  <c r="D13" i="2" a="1"/>
  <c r="D13" i="2"/>
  <c r="D14" i="2" a="1"/>
  <c r="D14" i="2"/>
  <c r="D15" i="2" a="1"/>
  <c r="D15" i="2"/>
  <c r="D16" i="2" a="1"/>
  <c r="D16" i="2"/>
  <c r="D17" i="2" a="1"/>
  <c r="D17" i="2"/>
  <c r="D18" i="2" a="1"/>
  <c r="D18" i="2"/>
  <c r="D19" i="2" a="1"/>
  <c r="D19" i="2"/>
  <c r="D20" i="2" a="1"/>
  <c r="D20" i="2"/>
  <c r="F3" i="3"/>
  <c r="F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A3" i="3"/>
  <c r="D23" i="3"/>
  <c r="E23" i="3"/>
  <c r="F23" i="3"/>
  <c r="G23" i="3"/>
  <c r="C23" i="3"/>
  <c r="D22" i="3"/>
  <c r="E22" i="3"/>
  <c r="F22" i="3"/>
  <c r="G22" i="3"/>
  <c r="C22" i="3"/>
  <c r="C45" i="3"/>
  <c r="F45" i="3"/>
  <c r="D46" i="3"/>
  <c r="G46" i="3"/>
  <c r="E47" i="3"/>
  <c r="C48" i="3"/>
  <c r="F48" i="3"/>
  <c r="D49" i="3"/>
  <c r="G49" i="3"/>
  <c r="E50" i="3"/>
  <c r="C51" i="3"/>
  <c r="F51" i="3"/>
  <c r="D52" i="3"/>
  <c r="G52" i="3"/>
  <c r="E53" i="3"/>
  <c r="C54" i="3"/>
  <c r="F54" i="3"/>
  <c r="D44" i="3"/>
  <c r="G44" i="3"/>
  <c r="D37" i="3"/>
  <c r="G37" i="3"/>
  <c r="E38" i="3"/>
  <c r="C39" i="3"/>
  <c r="F39" i="3"/>
  <c r="E36" i="3"/>
  <c r="C36" i="3"/>
  <c r="N2" i="3"/>
  <c r="L3" i="3"/>
  <c r="L6" i="3"/>
  <c r="D45" i="3"/>
  <c r="G45" i="3"/>
  <c r="E46" i="3"/>
  <c r="C47" i="3"/>
  <c r="F47" i="3"/>
  <c r="D48" i="3"/>
  <c r="G48" i="3"/>
  <c r="E49" i="3"/>
  <c r="C50" i="3"/>
  <c r="F50" i="3"/>
  <c r="D51" i="3"/>
  <c r="G51" i="3"/>
  <c r="E52" i="3"/>
  <c r="C53" i="3"/>
  <c r="F53" i="3"/>
  <c r="D54" i="3"/>
  <c r="G54" i="3"/>
  <c r="E44" i="3"/>
  <c r="C44" i="3"/>
  <c r="E37" i="3"/>
  <c r="C38" i="3"/>
  <c r="F38" i="3"/>
  <c r="D39" i="3"/>
  <c r="G39" i="3"/>
  <c r="F36" i="3"/>
  <c r="O2" i="3"/>
  <c r="L4" i="3"/>
  <c r="L2" i="3"/>
  <c r="E45" i="3"/>
  <c r="C46" i="3"/>
  <c r="F46" i="3"/>
  <c r="D47" i="3"/>
  <c r="G47" i="3"/>
  <c r="E48" i="3"/>
  <c r="C49" i="3"/>
  <c r="F49" i="3"/>
  <c r="D50" i="3"/>
  <c r="G50" i="3"/>
  <c r="E51" i="3"/>
  <c r="C52" i="3"/>
  <c r="F52" i="3"/>
  <c r="D53" i="3"/>
  <c r="G53" i="3"/>
  <c r="E54" i="3"/>
  <c r="F44" i="3"/>
  <c r="C37" i="3"/>
  <c r="F37" i="3"/>
  <c r="D38" i="3"/>
  <c r="G38" i="3"/>
  <c r="E39" i="3"/>
  <c r="D36" i="3"/>
  <c r="G36" i="3"/>
  <c r="M2" i="3"/>
  <c r="P2" i="3"/>
  <c r="L5" i="3"/>
  <c r="D27" i="3" l="1"/>
  <c r="G40" i="3"/>
  <c r="G41" i="3" s="1"/>
  <c r="D40" i="3"/>
  <c r="D41" i="3" s="1"/>
  <c r="F40" i="3"/>
  <c r="F41" i="3" s="1"/>
  <c r="E27" i="3"/>
  <c r="C40" i="3"/>
  <c r="C41" i="3" s="1"/>
  <c r="E40" i="3"/>
  <c r="E41" i="3" s="1"/>
  <c r="D18" i="3"/>
  <c r="C18" i="3"/>
  <c r="G5" i="3"/>
  <c r="F5" i="3"/>
  <c r="F6" i="3"/>
  <c r="G6" i="3"/>
  <c r="G7" i="3"/>
  <c r="F7" i="3"/>
  <c r="G8" i="3"/>
  <c r="F8" i="3"/>
  <c r="G9" i="3"/>
  <c r="F9" i="3"/>
  <c r="G10" i="3"/>
  <c r="F10" i="3"/>
  <c r="G11" i="3"/>
  <c r="F11" i="3"/>
  <c r="F12" i="3"/>
  <c r="F13" i="3"/>
  <c r="G14" i="3"/>
  <c r="F14" i="3"/>
  <c r="G15" i="3"/>
  <c r="F15" i="3"/>
  <c r="G16" i="3"/>
  <c r="F16" i="3"/>
  <c r="C25" i="3"/>
  <c r="C27" i="3"/>
  <c r="D56" i="3"/>
  <c r="D57" i="3" s="1"/>
  <c r="D59" i="3" s="1"/>
  <c r="E56" i="3"/>
  <c r="E57" i="3" s="1"/>
  <c r="F56" i="3"/>
  <c r="F57" i="3" s="1"/>
  <c r="G56" i="3"/>
  <c r="G57" i="3" s="1"/>
  <c r="C56" i="3"/>
  <c r="C57" i="3" s="1"/>
  <c r="C59" i="3" s="1"/>
  <c r="E18" i="3"/>
  <c r="G25" i="3"/>
  <c r="G27" i="3"/>
  <c r="G31" i="3"/>
  <c r="G33" i="3" s="1"/>
  <c r="F31" i="3"/>
  <c r="F33" i="3" s="1"/>
  <c r="F25" i="3"/>
  <c r="E31" i="3"/>
  <c r="E33" i="3" s="1"/>
  <c r="E25" i="3"/>
  <c r="D31" i="3"/>
  <c r="D33" i="3" s="1"/>
  <c r="D29" i="3" s="1"/>
  <c r="D25" i="3"/>
  <c r="C31" i="3"/>
  <c r="C33" i="3" s="1"/>
  <c r="F2" i="3"/>
  <c r="G2" i="3"/>
  <c r="F27" i="3"/>
  <c r="G59" i="3" l="1"/>
  <c r="E29" i="3"/>
  <c r="F59" i="3"/>
  <c r="E59" i="3"/>
  <c r="E19" i="3" s="1"/>
  <c r="D19" i="3"/>
  <c r="C19" i="3"/>
  <c r="G18" i="3"/>
  <c r="G19" i="3" s="1"/>
  <c r="F18" i="3"/>
  <c r="F19" i="3" s="1"/>
  <c r="F29" i="3"/>
  <c r="C29" i="3"/>
  <c r="G29" i="3"/>
  <c r="D63" i="3" l="1"/>
  <c r="F63" i="3"/>
  <c r="G63" i="3"/>
  <c r="E63" i="3"/>
  <c r="C63" i="3"/>
  <c r="C64" i="3" l="1"/>
  <c r="F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<sst xmlns="http://schemas.openxmlformats.org/spreadsheetml/2006/main" count="234" uniqueCount="107">
  <si>
    <r>
      <t xml:space="preserve">Hard Level  </t>
    </r>
    <r>
      <rPr>
        <sz val="9"/>
        <color rgb="FFFFC000"/>
        <rFont val="Aptos Narrow"/>
        <family val="2"/>
        <scheme val="minor"/>
      </rPr>
      <t>(⭐⭐⭐)</t>
    </r>
  </si>
  <si>
    <t>KODE SOAL</t>
  </si>
  <si>
    <t>SBEH004</t>
  </si>
  <si>
    <t>KODE JAWABAN</t>
  </si>
  <si>
    <t>NO</t>
  </si>
  <si>
    <t>ID</t>
  </si>
  <si>
    <t xml:space="preserve">Name </t>
  </si>
  <si>
    <t>F/Name</t>
  </si>
  <si>
    <t>D.O.B</t>
  </si>
  <si>
    <t>Join Date</t>
  </si>
  <si>
    <t>Length of Service (Weeks)</t>
  </si>
  <si>
    <r>
      <t xml:space="preserve">Kirimkan </t>
    </r>
    <r>
      <rPr>
        <b/>
        <i/>
        <sz val="11"/>
        <color theme="4" tint="-0.249977111117893"/>
        <rFont val="Aptos Narrow"/>
        <family val="2"/>
        <scheme val="minor"/>
      </rPr>
      <t>Kode Soal</t>
    </r>
    <r>
      <rPr>
        <i/>
        <sz val="11"/>
        <color theme="4" tint="-0.249977111117893"/>
        <rFont val="Aptos Narrow"/>
        <family val="2"/>
        <scheme val="minor"/>
      </rPr>
      <t xml:space="preserve"> dan </t>
    </r>
    <r>
      <rPr>
        <b/>
        <i/>
        <sz val="11"/>
        <color theme="4" tint="-0.249977111117893"/>
        <rFont val="Aptos Narrow"/>
        <family val="2"/>
        <scheme val="minor"/>
      </rPr>
      <t>Kode Jawaban</t>
    </r>
    <r>
      <rPr>
        <i/>
        <sz val="11"/>
        <color theme="4" tint="-0.249977111117893"/>
        <rFont val="Aptos Narrow"/>
        <family val="2"/>
        <scheme val="minor"/>
      </rPr>
      <t xml:space="preserve"> ke alamat :  </t>
    </r>
    <r>
      <rPr>
        <b/>
        <i/>
        <u/>
        <sz val="11"/>
        <color theme="4" tint="-0.249977111117893"/>
        <rFont val="Aptos Narrow"/>
        <family val="2"/>
        <scheme val="minor"/>
      </rPr>
      <t>https://belajarexcel.id/xl-test/jawaban</t>
    </r>
    <r>
      <rPr>
        <i/>
        <sz val="11"/>
        <color theme="4" tint="-0.249977111117893"/>
        <rFont val="Aptos Narrow"/>
        <family val="2"/>
        <scheme val="minor"/>
      </rPr>
      <t xml:space="preserve">  untuk mengecek hasil benar/salah</t>
    </r>
  </si>
  <si>
    <t>Soal</t>
  </si>
  <si>
    <t>* Selesaikan Pertanyaan diatas dengan menggunakan Formula/Rumus Excel</t>
  </si>
  <si>
    <t>Selsaikan tanpa menambahkan atau menggunakan kolom bantuan atau Table bantu.</t>
  </si>
  <si>
    <t>Isi Name berdasarkan ID dari SID Pada Sheet Database. ID adalah 6 digit pertama dari SID</t>
  </si>
  <si>
    <t>Isi F/Name berdasarkan ID dari SID Pada Sheet Database</t>
  </si>
  <si>
    <t>Isi D.O.B berdasarkan ID dari SID Pada Sheet Database</t>
  </si>
  <si>
    <t>Isi Join Date Berdasarkan ID. Join Date adalah 5 digit angka terakhir di Nomor SID</t>
  </si>
  <si>
    <r>
      <t xml:space="preserve">Join Date harus berupa </t>
    </r>
    <r>
      <rPr>
        <b/>
        <sz val="11"/>
        <color rgb="FF0070C0"/>
        <rFont val="Aptos Narrow"/>
        <family val="2"/>
        <scheme val="minor"/>
      </rPr>
      <t>Tanggal Valid</t>
    </r>
  </si>
  <si>
    <t xml:space="preserve">Isi Length of Service (Weeks) dengan lama bekerja dari Join date sampai tanggal 1 April 2025 </t>
  </si>
  <si>
    <t>dalam format minggu bulat tanpa pecahan.</t>
  </si>
  <si>
    <t>https://belajarexcel.id/xl-test/</t>
  </si>
  <si>
    <t>SID :</t>
  </si>
  <si>
    <t>Name</t>
  </si>
  <si>
    <t>Ahmad</t>
  </si>
  <si>
    <t>Hassan</t>
  </si>
  <si>
    <t>Age</t>
  </si>
  <si>
    <t>Add:</t>
  </si>
  <si>
    <t>XYZ</t>
  </si>
  <si>
    <t>Fatima</t>
  </si>
  <si>
    <t>Khalid</t>
  </si>
  <si>
    <t>DEF</t>
  </si>
  <si>
    <t>Yusuf</t>
  </si>
  <si>
    <t>Mohammad</t>
  </si>
  <si>
    <t>GHI</t>
  </si>
  <si>
    <t>Ayesha</t>
  </si>
  <si>
    <t>Usman</t>
  </si>
  <si>
    <t>JKL</t>
  </si>
  <si>
    <t>Ali</t>
  </si>
  <si>
    <t>Imran</t>
  </si>
  <si>
    <t>MNO</t>
  </si>
  <si>
    <t>Sana</t>
  </si>
  <si>
    <t>Nasir</t>
  </si>
  <si>
    <t>PQR</t>
  </si>
  <si>
    <t>Omar</t>
  </si>
  <si>
    <t>Salman</t>
  </si>
  <si>
    <t>STU</t>
  </si>
  <si>
    <t>Zara</t>
  </si>
  <si>
    <t>Bilal</t>
  </si>
  <si>
    <t>VWX</t>
  </si>
  <si>
    <t>Tariq</t>
  </si>
  <si>
    <t>YZA</t>
  </si>
  <si>
    <t>Noor</t>
  </si>
  <si>
    <t>Ahmed</t>
  </si>
  <si>
    <t>BCD</t>
  </si>
  <si>
    <t>Rehan</t>
  </si>
  <si>
    <t>Farooq</t>
  </si>
  <si>
    <t>CDE</t>
  </si>
  <si>
    <t>Mariam</t>
  </si>
  <si>
    <t>Rashid</t>
  </si>
  <si>
    <t>EFG</t>
  </si>
  <si>
    <t>Talha</t>
  </si>
  <si>
    <t>Zahid</t>
  </si>
  <si>
    <t>Laila</t>
  </si>
  <si>
    <t>Murtaza</t>
  </si>
  <si>
    <t>HIJ</t>
  </si>
  <si>
    <t>Ibrahim</t>
  </si>
  <si>
    <t>Hamid</t>
  </si>
  <si>
    <t>IJK</t>
  </si>
  <si>
    <t>Sadia</t>
  </si>
  <si>
    <t>Adil</t>
  </si>
  <si>
    <t>Noman</t>
  </si>
  <si>
    <t>Shahid</t>
  </si>
  <si>
    <t>KLM</t>
  </si>
  <si>
    <t>Komal</t>
  </si>
  <si>
    <t>Arif</t>
  </si>
  <si>
    <t>LMN</t>
  </si>
  <si>
    <t>Waqas</t>
  </si>
  <si>
    <t>Hina</t>
  </si>
  <si>
    <t>Aslam</t>
  </si>
  <si>
    <t>NOP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</si>
  <si>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</si>
  <si>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</si>
  <si>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</si>
  <si>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</si>
  <si>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</si>
  <si>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</si>
  <si>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</si>
  <si>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</si>
  <si>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</si>
  <si>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</si>
  <si>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</si>
  <si>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</si>
  <si>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</si>
  <si>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</si>
  <si>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Value</t>
  </si>
  <si>
    <t>HD2</t>
  </si>
  <si>
    <t>**</t>
  </si>
  <si>
    <t>Random</t>
  </si>
  <si>
    <t>Cek Manual</t>
  </si>
  <si>
    <t>Formula Cek</t>
  </si>
  <si>
    <t>Cek Jml</t>
  </si>
  <si>
    <t>Bol</t>
  </si>
  <si>
    <t>x</t>
  </si>
  <si>
    <t>B</t>
  </si>
  <si>
    <t>BF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</si>
</sst>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4" tint="-0.249977111117893"/>
      <name val="Aptos Narrow"/>
      <family val="2"/>
      <scheme val="minor"/>
    </font>
    <font>
      <b/>
      <i/>
      <sz val="11"/>
      <color theme="4" tint="-0.249977111117893"/>
      <name val="Aptos Narrow"/>
      <family val="2"/>
      <scheme val="minor"/>
    </font>
    <font>
      <b/>
      <i/>
      <u/>
      <sz val="11"/>
      <color theme="4" tint="-0.249977111117893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9"/>
      <color rgb="FFFFC00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rgb="FF0070C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1"/>
      <color rgb="FF0070C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5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indent="2"/>
    </xf>
    <xf numFmtId="14" fontId="0" fillId="6" borderId="1" xfId="0" applyNumberFormat="1" applyFill="1" applyBorder="1" applyAlignment="1">
      <alignment horizontal="right" indent="2"/>
    </xf>
    <xf numFmtId="0" fontId="0" fillId="7" borderId="0" xfId="0" applyFill="1"/>
    <xf numFmtId="0" fontId="1" fillId="0" borderId="0" xfId="1"/>
    <xf numFmtId="0" fontId="2" fillId="0" borderId="0" xfId="0" applyFont="1"/>
    <xf numFmtId="14" fontId="0" fillId="0" borderId="0" xfId="0" applyNumberFormat="1"/>
    <xf numFmtId="0" fontId="0" fillId="4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right" indent="2"/>
    </xf>
    <xf numFmtId="0" fontId="6" fillId="8" borderId="0" xfId="0" applyFont="1" applyFill="1"/>
    <xf numFmtId="0" fontId="8" fillId="9" borderId="0" xfId="0" applyFont="1" applyFill="1" applyAlignment="1">
      <alignment vertical="center"/>
    </xf>
    <xf numFmtId="0" fontId="9" fillId="3" borderId="0" xfId="0" applyFont="1" applyFill="1"/>
    <xf numFmtId="0" fontId="10" fillId="0" borderId="0" xfId="0" applyFont="1"/>
    <xf numFmtId="0" fontId="5" fillId="0" borderId="1" xfId="2" applyBorder="1"/>
    <xf numFmtId="0" fontId="5" fillId="0" borderId="0" xfId="2"/>
    <xf numFmtId="0" fontId="13" fillId="0" borderId="1" xfId="2" applyFont="1" applyBorder="1" applyAlignment="1">
      <alignment horizontal="left"/>
    </xf>
    <xf numFmtId="0" fontId="13" fillId="0" borderId="1" xfId="2" applyFont="1" applyBorder="1"/>
    <xf numFmtId="0" fontId="1" fillId="0" borderId="1" xfId="3" applyBorder="1"/>
    <xf numFmtId="0" fontId="0" fillId="5" borderId="1" xfId="0" applyFill="1" applyBorder="1" applyAlignment="1">
      <alignment horizontal="center"/>
    </xf>
    <xf numFmtId="0" fontId="14" fillId="0" borderId="0" xfId="0" applyFont="1" applyAlignment="1">
      <alignment horizontal="left" vertical="center" indent="1"/>
    </xf>
    <xf numFmtId="0" fontId="14" fillId="0" borderId="0" xfId="0" applyFont="1" applyAlignment="1">
      <alignment horizontal="left" indent="2"/>
    </xf>
    <xf numFmtId="0" fontId="0" fillId="2" borderId="0" xfId="0" applyNumberFormat="1" applyFill="1"/>
    <xf numFmtId="0" fontId="0" fillId="0" borderId="0" xfId="0" applyNumberFormat="1"/>
    <xf numFmtId="0" fontId="12" fillId="0" borderId="1" xfId="2" applyFont="1" applyBorder="1" applyAlignment="1">
      <alignment horizontal="left"/>
    </xf>
    <xf numFmtId="0" fontId="11" fillId="0" borderId="1" xfId="2" applyFont="1" applyBorder="1" applyAlignment="1">
      <alignment horizontal="left"/>
    </xf>
    <xf numFmtId="0" fontId="12" fillId="0" borderId="1" xfId="2" applyFont="1" applyBorder="1" applyAlignment="1">
      <alignment horizontal="left"/>
    </xf>
  </cellXfs>
  <cellStyles count="4">
    <cellStyle name="Hyperlink" xfId="1" builtinId="8"/>
    <cellStyle name="Hyperlink 2" xfId="3" xr:uid="{9FB130BB-53A0-41E4-84C8-B80C187FF627}"/>
    <cellStyle name="Normal" xfId="0" builtinId="0"/>
    <cellStyle name="Normal 2" xfId="2" xr:uid="{78A3E7F7-1E64-4F28-960C-3876CD6890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35</xdr:row>
      <xdr:rowOff>99060</xdr:rowOff>
    </xdr:from>
    <xdr:to>
      <xdr:col>2</xdr:col>
      <xdr:colOff>171214</xdr:colOff>
      <xdr:row>38</xdr:row>
      <xdr:rowOff>83820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A0F3BD-FB5C-4DEF-83F1-9F649C091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5158740"/>
          <a:ext cx="1504714" cy="533400"/>
        </a:xfrm>
        <a:prstGeom prst="rect">
          <a:avLst/>
        </a:prstGeom>
      </xdr:spPr>
    </xdr:pic>
    <xdr:clientData/>
  </xdr:twoCellAnchor>
  <xdr:twoCellAnchor>
    <xdr:from>
      <xdr:col>6</xdr:col>
      <xdr:colOff>1249680</xdr:colOff>
      <xdr:row>20</xdr:row>
      <xdr:rowOff>160020</xdr:rowOff>
    </xdr:from>
    <xdr:to>
      <xdr:col>7</xdr:col>
      <xdr:colOff>1424940</xdr:colOff>
      <xdr:row>22</xdr:row>
      <xdr:rowOff>53340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1ACF1F-FD39-4C81-B865-75B0DA9BF865}"/>
            </a:ext>
          </a:extLst>
        </xdr:cNvPr>
        <xdr:cNvSpPr/>
      </xdr:nvSpPr>
      <xdr:spPr>
        <a:xfrm>
          <a:off x="7871460" y="3055620"/>
          <a:ext cx="143256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502920</xdr:colOff>
      <xdr:row>1</xdr:row>
      <xdr:rowOff>53340</xdr:rowOff>
    </xdr:from>
    <xdr:to>
      <xdr:col>4</xdr:col>
      <xdr:colOff>121919</xdr:colOff>
      <xdr:row>4</xdr:row>
      <xdr:rowOff>91542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B7A57-1D20-4278-A73F-0E3790DD1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2520" y="236220"/>
          <a:ext cx="1562099" cy="5868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belajarexcel.id/xl-test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3C5D-79BB-4899-A8DF-52220051F9D3}">
  <sheetPr codeName="Sheet1"/>
  <dimension ref="B1:L39"/>
  <sheetViews>
    <sheetView tabSelected="1" topLeftCell="A10" workbookViewId="0">
      <selection activeCell="F2" sqref="F2"/>
    </sheetView>
  </sheetViews>
  <sheetFormatPr defaultRowHeight="14.45"/>
  <cols>
    <col min="2" max="2" width="18.28515625" customWidth="1"/>
    <col min="3" max="3" width="17.28515625" customWidth="1"/>
    <col min="4" max="4" width="18.42578125" customWidth="1"/>
    <col min="5" max="5" width="19.7109375" customWidth="1"/>
    <col min="6" max="6" width="18.7109375" customWidth="1"/>
    <col min="7" max="7" width="24" customWidth="1"/>
    <col min="8" max="8" width="18.28515625" customWidth="1"/>
  </cols>
  <sheetData>
    <row r="1" spans="2:12">
      <c r="B1" s="14" t="s">
        <v>0</v>
      </c>
    </row>
    <row r="2" spans="2:12" ht="21">
      <c r="B2" s="15" t="s">
        <v>1</v>
      </c>
      <c r="C2" s="16" t="s">
        <v>2</v>
      </c>
      <c r="E2" s="15" t="s">
        <v>3</v>
      </c>
      <c r="F2" s="16" t="str">
        <f ca="1">Kode_jawaban</f>
        <v>HD2|17-9D2;22-9C4;20-795E9;18-9B043;8F-B2A34</v>
      </c>
      <c r="G2" s="2"/>
      <c r="H2" s="2"/>
      <c r="I2" s="2"/>
    </row>
    <row r="5" spans="2:12" ht="41.45" customHeight="1"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12" t="s">
        <v>10</v>
      </c>
    </row>
    <row r="6" spans="2:12" ht="18" customHeight="1">
      <c r="B6" s="5">
        <v>1</v>
      </c>
      <c r="C6" s="23">
        <v>116809</v>
      </c>
      <c r="D6" s="6" t="str" cm="1">
        <f t="array" ref="D6">_xlfn.XLOOKUP(C6,INT(Database!B$1:B$120/100000),Database!D$2:D$121,,0,1)</f>
        <v>Komal</v>
      </c>
      <c r="E6" s="6" t="str" cm="1">
        <f t="array" ref="E6">_xlfn.XLOOKUP(C6,INT(Database!B$1:B$120/100000),Database!D$3:D$122,,0,1)</f>
        <v>Arif</v>
      </c>
      <c r="F6" s="7" cm="1">
        <f t="array" ref="F6">_xlfn.XLOOKUP(C6,INT(Database!B$1:B$120/100000),Database!D$4:D$123,,0,1)</f>
        <v>31668</v>
      </c>
      <c r="G6" s="7" cm="1">
        <f t="array" ref="G6">VLOOKUP(C6&amp;"*",TEXT(Database!B:B,0),1,0)*1-C6*100000</f>
        <v>40250</v>
      </c>
      <c r="H6" s="13">
        <f>INT(DATEDIF(G6, DATE(2025,4,1), "D")/7)</f>
        <v>785</v>
      </c>
    </row>
    <row r="7" spans="2:12" ht="18" customHeight="1">
      <c r="B7" s="5">
        <v>2</v>
      </c>
      <c r="C7" s="23">
        <v>123010</v>
      </c>
      <c r="D7" s="6" t="str" cm="1">
        <f t="array" ref="D7">_xlfn.XLOOKUP(C7,INT(Database!B$1:B$120/100000),Database!D$2:D$121,,0,1)</f>
        <v>Hina</v>
      </c>
      <c r="E7" s="6" t="str" cm="1">
        <f t="array" ref="E7">_xlfn.XLOOKUP(C7,INT(Database!B$1:B$120/100000),Database!D$3:D$122,,0,1)</f>
        <v>Aslam</v>
      </c>
      <c r="F7" s="7" cm="1">
        <f t="array" ref="F7">_xlfn.XLOOKUP(C7,INT(Database!B$1:B$120/100000),Database!D$4:D$123,,0,1)</f>
        <v>33286</v>
      </c>
      <c r="G7" s="7" cm="1">
        <f t="array" ref="G7">VLOOKUP(C7&amp;"*",TEXT(Database!B:B,0),1,0)*1-C7*100000</f>
        <v>43421</v>
      </c>
      <c r="H7" s="13">
        <f t="shared" ref="H7:H20" si="0">INT(DATEDIF(G7, DATE(2025,4,1), "D")/7)</f>
        <v>332</v>
      </c>
      <c r="L7" s="11"/>
    </row>
    <row r="8" spans="2:12" ht="18" customHeight="1">
      <c r="B8" s="5">
        <v>3</v>
      </c>
      <c r="C8" s="23">
        <v>177992</v>
      </c>
      <c r="D8" s="6" t="str" cm="1">
        <f t="array" ref="D8">_xlfn.XLOOKUP(C8,INT(Database!B$1:B$120/100000),Database!D$2:D$121,,0,1)</f>
        <v>Mariam</v>
      </c>
      <c r="E8" s="6" t="str" cm="1">
        <f t="array" ref="E8">_xlfn.XLOOKUP(C8,INT(Database!B$1:B$120/100000),Database!D$3:D$122,,0,1)</f>
        <v>Rashid</v>
      </c>
      <c r="F8" s="7" cm="1">
        <f t="array" ref="F8">_xlfn.XLOOKUP(C8,INT(Database!B$1:B$120/100000),Database!D$4:D$123,,0,1)</f>
        <v>33807</v>
      </c>
      <c r="G8" s="7" cm="1">
        <f t="array" ref="G8">VLOOKUP(C8&amp;"*",TEXT(Database!B:B,0),1,0)*1-C8*100000</f>
        <v>42665</v>
      </c>
      <c r="H8" s="13">
        <f t="shared" si="0"/>
        <v>440</v>
      </c>
    </row>
    <row r="9" spans="2:12" ht="18" customHeight="1">
      <c r="B9" s="5">
        <v>4</v>
      </c>
      <c r="C9" s="23">
        <v>197510</v>
      </c>
      <c r="D9" s="6" t="str" cm="1">
        <f t="array" ref="D9">_xlfn.XLOOKUP(C9,INT(Database!B$1:B$120/100000),Database!D$2:D$121,,0,1)</f>
        <v>Noor</v>
      </c>
      <c r="E9" s="6" t="str" cm="1">
        <f t="array" ref="E9">_xlfn.XLOOKUP(C9,INT(Database!B$1:B$120/100000),Database!D$3:D$122,,0,1)</f>
        <v>Ahmed</v>
      </c>
      <c r="F9" s="7" cm="1">
        <f t="array" ref="F9">_xlfn.XLOOKUP(C9,INT(Database!B$1:B$120/100000),Database!D$4:D$123,,0,1)</f>
        <v>32435</v>
      </c>
      <c r="G9" s="7" cm="1">
        <f t="array" ref="G9">VLOOKUP(C9&amp;"*",TEXT(Database!B:B,0),1,0)*1-C9*100000</f>
        <v>40927</v>
      </c>
      <c r="H9" s="13">
        <f t="shared" si="0"/>
        <v>688</v>
      </c>
    </row>
    <row r="10" spans="2:12" ht="18" customHeight="1">
      <c r="B10" s="5">
        <v>5</v>
      </c>
      <c r="C10" s="23">
        <v>215240</v>
      </c>
      <c r="D10" s="6" t="str" cm="1">
        <f t="array" ref="D10">_xlfn.XLOOKUP(C10,INT(Database!B$1:B$120/100000),Database!D$2:D$121,,0,1)</f>
        <v>Rehan</v>
      </c>
      <c r="E10" s="6" t="str" cm="1">
        <f t="array" ref="E10">_xlfn.XLOOKUP(C10,INT(Database!B$1:B$120/100000),Database!D$3:D$122,,0,1)</f>
        <v>Farooq</v>
      </c>
      <c r="F10" s="7" cm="1">
        <f t="array" ref="F10">_xlfn.XLOOKUP(C10,INT(Database!B$1:B$120/100000),Database!D$4:D$123,,0,1)</f>
        <v>34881</v>
      </c>
      <c r="G10" s="7" cm="1">
        <f t="array" ref="G10">VLOOKUP(C10&amp;"*",TEXT(Database!B:B,0),1,0)*1-C10*100000</f>
        <v>43282</v>
      </c>
      <c r="H10" s="13">
        <f t="shared" si="0"/>
        <v>352</v>
      </c>
    </row>
    <row r="11" spans="2:12" ht="18" customHeight="1">
      <c r="B11" s="5">
        <v>6</v>
      </c>
      <c r="C11" s="23">
        <v>350434</v>
      </c>
      <c r="D11" s="6" t="str" cm="1">
        <f t="array" ref="D11">_xlfn.XLOOKUP(C11,INT(Database!B$1:B$120/100000),Database!D$2:D$121,,0,1)</f>
        <v>Sana</v>
      </c>
      <c r="E11" s="6" t="str" cm="1">
        <f t="array" ref="E11">_xlfn.XLOOKUP(C11,INT(Database!B$1:B$120/100000),Database!D$3:D$122,,0,1)</f>
        <v>Nasir</v>
      </c>
      <c r="F11" s="7" cm="1">
        <f t="array" ref="F11">_xlfn.XLOOKUP(C11,INT(Database!B$1:B$120/100000),Database!D$4:D$123,,0,1)</f>
        <v>33243</v>
      </c>
      <c r="G11" s="7" cm="1">
        <f t="array" ref="G11">VLOOKUP(C11&amp;"*",TEXT(Database!B:B,0),1,0)*1-C11*100000</f>
        <v>43013</v>
      </c>
      <c r="H11" s="13">
        <f t="shared" si="0"/>
        <v>390</v>
      </c>
    </row>
    <row r="12" spans="2:12" ht="18" customHeight="1">
      <c r="B12" s="5">
        <v>7</v>
      </c>
      <c r="C12" s="23">
        <v>440324</v>
      </c>
      <c r="D12" s="6" t="str" cm="1">
        <f t="array" ref="D12">_xlfn.XLOOKUP(C12,INT(Database!B$1:B$120/100000),Database!D$2:D$121,,0,1)</f>
        <v>Ayesha</v>
      </c>
      <c r="E12" s="6" t="str" cm="1">
        <f t="array" ref="E12">_xlfn.XLOOKUP(C12,INT(Database!B$1:B$120/100000),Database!D$3:D$122,,0,1)</f>
        <v>Usman</v>
      </c>
      <c r="F12" s="7" cm="1">
        <f t="array" ref="F12">_xlfn.XLOOKUP(C12,INT(Database!B$1:B$120/100000),Database!D$4:D$123,,0,1)</f>
        <v>31833</v>
      </c>
      <c r="G12" s="7" cm="1">
        <f t="array" ref="G12">VLOOKUP(C12&amp;"*",TEXT(Database!B:B,0),1,0)*1-C12*100000</f>
        <v>40142</v>
      </c>
      <c r="H12" s="13">
        <f t="shared" si="0"/>
        <v>800</v>
      </c>
    </row>
    <row r="13" spans="2:12" ht="18" customHeight="1">
      <c r="B13" s="5">
        <v>8</v>
      </c>
      <c r="C13" s="23">
        <v>489281</v>
      </c>
      <c r="D13" s="6" t="str" cm="1">
        <f t="array" ref="D13">_xlfn.XLOOKUP(C13,INT(Database!B$1:B$120/100000),Database!D$2:D$121,,0,1)</f>
        <v>Omar</v>
      </c>
      <c r="E13" s="6" t="str" cm="1">
        <f t="array" ref="E13">_xlfn.XLOOKUP(C13,INT(Database!B$1:B$120/100000),Database!D$3:D$122,,0,1)</f>
        <v>Salman</v>
      </c>
      <c r="F13" s="7" cm="1">
        <f t="array" ref="F13">_xlfn.XLOOKUP(C13,INT(Database!B$1:B$120/100000),Database!D$4:D$123,,0,1)</f>
        <v>34073</v>
      </c>
      <c r="G13" s="7" cm="1">
        <f t="array" ref="G13">VLOOKUP(C13&amp;"*",TEXT(Database!B:B,0),1,0)*1-C13*100000</f>
        <v>42383</v>
      </c>
      <c r="H13" s="13">
        <f t="shared" si="0"/>
        <v>480</v>
      </c>
    </row>
    <row r="14" spans="2:12" ht="18" customHeight="1">
      <c r="B14" s="5">
        <v>9</v>
      </c>
      <c r="C14" s="23">
        <v>502463</v>
      </c>
      <c r="D14" s="6" t="str" cm="1">
        <f t="array" ref="D14">_xlfn.XLOOKUP(C14,INT(Database!B$1:B$120/100000),Database!D$2:D$121,,0,1)</f>
        <v>Ali</v>
      </c>
      <c r="E14" s="6" t="str" cm="1">
        <f t="array" ref="E14">_xlfn.XLOOKUP(C14,INT(Database!B$1:B$120/100000),Database!D$3:D$122,,0,1)</f>
        <v>Imran</v>
      </c>
      <c r="F14" s="7" cm="1">
        <f t="array" ref="F14">_xlfn.XLOOKUP(C14,INT(Database!B$1:B$120/100000),Database!D$4:D$123,,0,1)</f>
        <v>32760</v>
      </c>
      <c r="G14" s="7" cm="1">
        <f t="array" ref="G14">VLOOKUP(C14&amp;"*",TEXT(Database!B:B,0),1,0)*1-C14*100000</f>
        <v>42803</v>
      </c>
      <c r="H14" s="13">
        <f t="shared" si="0"/>
        <v>420</v>
      </c>
    </row>
    <row r="15" spans="2:12" ht="18" customHeight="1">
      <c r="B15" s="5">
        <v>10</v>
      </c>
      <c r="C15" s="23">
        <v>581782</v>
      </c>
      <c r="D15" s="6" t="str" cm="1">
        <f t="array" ref="D15">_xlfn.XLOOKUP(C15,INT(Database!B$1:B$120/100000),Database!D$2:D$121,,0,1)</f>
        <v>Ibrahim</v>
      </c>
      <c r="E15" s="6" t="str" cm="1">
        <f t="array" ref="E15">_xlfn.XLOOKUP(C15,INT(Database!B$1:B$120/100000),Database!D$3:D$122,,0,1)</f>
        <v>Hamid</v>
      </c>
      <c r="F15" s="7" cm="1">
        <f t="array" ref="F15">_xlfn.XLOOKUP(C15,INT(Database!B$1:B$120/100000),Database!D$4:D$123,,0,1)</f>
        <v>32811</v>
      </c>
      <c r="G15" s="7" cm="1">
        <f t="array" ref="G15">VLOOKUP(C15&amp;"*",TEXT(Database!B:B,0),1,0)*1-C15*100000</f>
        <v>40237</v>
      </c>
      <c r="H15" s="13">
        <f t="shared" si="0"/>
        <v>787</v>
      </c>
    </row>
    <row r="16" spans="2:12" ht="18" customHeight="1">
      <c r="B16" s="5">
        <v>11</v>
      </c>
      <c r="C16" s="23">
        <v>636392</v>
      </c>
      <c r="D16" s="6" t="str" cm="1">
        <f t="array" ref="D16">_xlfn.XLOOKUP(C16,INT(Database!B$1:B$120/100000),Database!D$2:D$121,,0,1)</f>
        <v>Laila</v>
      </c>
      <c r="E16" s="6" t="str" cm="1">
        <f t="array" ref="E16">_xlfn.XLOOKUP(C16,INT(Database!B$1:B$120/100000),Database!D$3:D$122,,0,1)</f>
        <v>Murtaza</v>
      </c>
      <c r="F16" s="7" cm="1">
        <f t="array" ref="F16">_xlfn.XLOOKUP(C16,INT(Database!B$1:B$120/100000),Database!D$4:D$123,,0,1)</f>
        <v>35158</v>
      </c>
      <c r="G16" s="7" cm="1">
        <f t="array" ref="G16">VLOOKUP(C16&amp;"*",TEXT(Database!B:B,0),1,0)*1-C16*100000</f>
        <v>45691</v>
      </c>
      <c r="H16" s="13">
        <f t="shared" si="0"/>
        <v>8</v>
      </c>
    </row>
    <row r="17" spans="2:8" ht="18" customHeight="1">
      <c r="B17" s="5">
        <v>12</v>
      </c>
      <c r="C17" s="23">
        <v>700161</v>
      </c>
      <c r="D17" s="6" t="str" cm="1">
        <f t="array" ref="D17">_xlfn.XLOOKUP(C17,INT(Database!B$1:B$120/100000),Database!D$2:D$121,,0,1)</f>
        <v>Usman</v>
      </c>
      <c r="E17" s="6" t="str" cm="1">
        <f t="array" ref="E17">_xlfn.XLOOKUP(C17,INT(Database!B$1:B$120/100000),Database!D$3:D$122,,0,1)</f>
        <v>Waqas</v>
      </c>
      <c r="F17" s="7" cm="1">
        <f t="array" ref="F17">_xlfn.XLOOKUP(C17,INT(Database!B$1:B$120/100000),Database!D$4:D$123,,0,1)</f>
        <v>34496</v>
      </c>
      <c r="G17" s="7" cm="1">
        <f t="array" ref="G17">VLOOKUP(C17&amp;"*",TEXT(Database!B:B,0),1,0)*1-C17*100000</f>
        <v>42411</v>
      </c>
      <c r="H17" s="13">
        <f t="shared" si="0"/>
        <v>476</v>
      </c>
    </row>
    <row r="18" spans="2:8" ht="18" customHeight="1">
      <c r="B18" s="5">
        <v>13</v>
      </c>
      <c r="C18" s="23">
        <v>708584</v>
      </c>
      <c r="D18" s="6" t="str" cm="1">
        <f t="array" ref="D18">_xlfn.XLOOKUP(C18,INT(Database!B$1:B$120/100000),Database!D$2:D$121,,0,1)</f>
        <v>Noman</v>
      </c>
      <c r="E18" s="6" t="str" cm="1">
        <f t="array" ref="E18">_xlfn.XLOOKUP(C18,INT(Database!B$1:B$120/100000),Database!D$3:D$122,,0,1)</f>
        <v>Shahid</v>
      </c>
      <c r="F18" s="7" cm="1">
        <f t="array" ref="F18">_xlfn.XLOOKUP(C18,INT(Database!B$1:B$120/100000),Database!D$4:D$123,,0,1)</f>
        <v>31816</v>
      </c>
      <c r="G18" s="7" cm="1">
        <f t="array" ref="G18">VLOOKUP(C18&amp;"*",TEXT(Database!B:B,0),1,0)*1-C18*100000</f>
        <v>42377</v>
      </c>
      <c r="H18" s="13">
        <f t="shared" si="0"/>
        <v>481</v>
      </c>
    </row>
    <row r="19" spans="2:8" ht="18" customHeight="1">
      <c r="B19" s="5">
        <v>14</v>
      </c>
      <c r="C19" s="23">
        <v>783145</v>
      </c>
      <c r="D19" s="6" t="str" cm="1">
        <f t="array" ref="D19">_xlfn.XLOOKUP(C19,INT(Database!B$1:B$120/100000),Database!D$2:D$121,,0,1)</f>
        <v>Ahmad</v>
      </c>
      <c r="E19" s="6" t="str" cm="1">
        <f t="array" ref="E19">_xlfn.XLOOKUP(C19,INT(Database!B$1:B$120/100000),Database!D$3:D$122,,0,1)</f>
        <v>Hassan</v>
      </c>
      <c r="F19" s="7" cm="1">
        <f t="array" ref="F19">_xlfn.XLOOKUP(C19,INT(Database!B$1:B$120/100000),Database!D$4:D$123,,0,1)</f>
        <v>33210</v>
      </c>
      <c r="G19" s="7" cm="1">
        <f t="array" ref="G19">VLOOKUP(C19&amp;"*",TEXT(Database!B:B,0),1,0)*1-C19*100000</f>
        <v>43254</v>
      </c>
      <c r="H19" s="13">
        <f t="shared" si="0"/>
        <v>356</v>
      </c>
    </row>
    <row r="20" spans="2:8" ht="18" customHeight="1">
      <c r="B20" s="5">
        <v>15</v>
      </c>
      <c r="C20" s="23">
        <v>823830</v>
      </c>
      <c r="D20" s="6" t="str" cm="1">
        <f t="array" ref="D20">_xlfn.XLOOKUP(C20,INT(Database!B$1:B$120/100000),Database!D$2:D$121,,0,1)</f>
        <v>Zara</v>
      </c>
      <c r="E20" s="6" t="str" cm="1">
        <f t="array" ref="E20">_xlfn.XLOOKUP(C20,INT(Database!B$1:B$120/100000),Database!D$3:D$122,,0,1)</f>
        <v>Bilal</v>
      </c>
      <c r="F20" s="7" cm="1">
        <f t="array" ref="F20">_xlfn.XLOOKUP(C20,INT(Database!B$1:B$120/100000),Database!D$4:D$123,,0,1)</f>
        <v>31652</v>
      </c>
      <c r="G20" s="7" cm="1">
        <f t="array" ref="G20">VLOOKUP(C20&amp;"*",TEXT(Database!B:B,0),1,0)*1-C20*100000</f>
        <v>42091</v>
      </c>
      <c r="H20" s="13">
        <f t="shared" si="0"/>
        <v>522</v>
      </c>
    </row>
    <row r="22" spans="2:8">
      <c r="B22" s="10" t="s">
        <v>11</v>
      </c>
    </row>
    <row r="23" spans="2:8" ht="15" customHeight="1"/>
    <row r="24" spans="2:8">
      <c r="B24" s="8" t="s">
        <v>12</v>
      </c>
    </row>
    <row r="25" spans="2:8">
      <c r="B25" s="24" t="s">
        <v>13</v>
      </c>
    </row>
    <row r="26" spans="2:8">
      <c r="B26" s="25" t="s">
        <v>14</v>
      </c>
    </row>
    <row r="28" spans="2:8">
      <c r="B28" s="17">
        <v>1</v>
      </c>
      <c r="C28" t="s">
        <v>15</v>
      </c>
    </row>
    <row r="29" spans="2:8">
      <c r="B29" s="17">
        <v>2</v>
      </c>
      <c r="C29" t="s">
        <v>16</v>
      </c>
    </row>
    <row r="30" spans="2:8">
      <c r="B30" s="17">
        <v>3</v>
      </c>
      <c r="C30" t="s">
        <v>17</v>
      </c>
    </row>
    <row r="31" spans="2:8">
      <c r="B31" s="17">
        <v>4</v>
      </c>
      <c r="C31" t="s">
        <v>18</v>
      </c>
    </row>
    <row r="32" spans="2:8">
      <c r="B32" s="17"/>
      <c r="C32" t="s">
        <v>19</v>
      </c>
    </row>
    <row r="33" spans="2:3">
      <c r="B33" s="17">
        <v>5</v>
      </c>
      <c r="C33" t="s">
        <v>20</v>
      </c>
    </row>
    <row r="34" spans="2:3">
      <c r="C34" t="s">
        <v>21</v>
      </c>
    </row>
    <row r="39" spans="2:3">
      <c r="B39" s="9" t="s">
        <v>22</v>
      </c>
    </row>
  </sheetData>
  <hyperlinks>
    <hyperlink ref="B39" r:id="rId1" xr:uid="{D683A165-B80E-45D6-9964-C78798EC5CA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1AABB-4F11-40EE-B386-EA6E4775768A}">
  <sheetPr codeName="Sheet2"/>
  <dimension ref="A1:F120"/>
  <sheetViews>
    <sheetView topLeftCell="A42" workbookViewId="0">
      <selection activeCell="D64" sqref="D64"/>
    </sheetView>
  </sheetViews>
  <sheetFormatPr defaultRowHeight="14.45"/>
  <cols>
    <col min="1" max="1" width="4.7109375" customWidth="1"/>
    <col min="2" max="2" width="13.28515625" style="27" customWidth="1"/>
    <col min="3" max="3" width="12.7109375" customWidth="1"/>
    <col min="4" max="4" width="14.7109375" customWidth="1"/>
    <col min="5" max="5" width="9.5703125" customWidth="1"/>
  </cols>
  <sheetData>
    <row r="1" spans="1:6">
      <c r="A1" s="1" t="s">
        <v>23</v>
      </c>
      <c r="B1" s="26">
        <v>78314543254</v>
      </c>
      <c r="C1" s="1"/>
      <c r="D1" s="1"/>
      <c r="F1" t="e">
        <f>VLOOKUP("1*",Database!B$1:B$120,1,0)</f>
        <v>#N/A</v>
      </c>
    </row>
    <row r="2" spans="1:6">
      <c r="C2" s="2" t="s">
        <v>24</v>
      </c>
      <c r="D2" s="2" t="s">
        <v>25</v>
      </c>
    </row>
    <row r="3" spans="1:6">
      <c r="C3" s="2" t="s">
        <v>7</v>
      </c>
      <c r="D3" s="2" t="s">
        <v>26</v>
      </c>
    </row>
    <row r="4" spans="1:6">
      <c r="C4" s="2" t="s">
        <v>8</v>
      </c>
      <c r="D4" s="3">
        <v>33210</v>
      </c>
    </row>
    <row r="5" spans="1:6">
      <c r="C5" s="2" t="s">
        <v>27</v>
      </c>
      <c r="D5" s="2">
        <v>34</v>
      </c>
    </row>
    <row r="6" spans="1:6">
      <c r="C6" s="2" t="s">
        <v>28</v>
      </c>
      <c r="D6" s="2" t="s">
        <v>29</v>
      </c>
    </row>
    <row r="7" spans="1:6">
      <c r="A7" s="1" t="s">
        <v>23</v>
      </c>
      <c r="B7" s="26">
        <v>95511941619</v>
      </c>
      <c r="C7" s="1"/>
      <c r="D7" s="1"/>
    </row>
    <row r="8" spans="1:6">
      <c r="C8" s="2" t="s">
        <v>24</v>
      </c>
      <c r="D8" s="2" t="s">
        <v>30</v>
      </c>
    </row>
    <row r="9" spans="1:6">
      <c r="C9" s="2" t="s">
        <v>7</v>
      </c>
      <c r="D9" s="2" t="s">
        <v>31</v>
      </c>
    </row>
    <row r="10" spans="1:6">
      <c r="C10" s="2" t="s">
        <v>8</v>
      </c>
      <c r="D10" s="3">
        <v>31178</v>
      </c>
    </row>
    <row r="11" spans="1:6">
      <c r="C11" s="2" t="s">
        <v>27</v>
      </c>
      <c r="D11" s="2">
        <v>39</v>
      </c>
    </row>
    <row r="12" spans="1:6">
      <c r="C12" s="2" t="s">
        <v>28</v>
      </c>
      <c r="D12" s="2" t="s">
        <v>32</v>
      </c>
    </row>
    <row r="13" spans="1:6">
      <c r="A13" s="1" t="s">
        <v>23</v>
      </c>
      <c r="B13" s="26">
        <v>94390642356</v>
      </c>
      <c r="C13" s="1"/>
      <c r="D13" s="1"/>
    </row>
    <row r="14" spans="1:6">
      <c r="C14" s="2" t="s">
        <v>24</v>
      </c>
      <c r="D14" s="2" t="s">
        <v>33</v>
      </c>
    </row>
    <row r="15" spans="1:6">
      <c r="C15" s="2" t="s">
        <v>7</v>
      </c>
      <c r="D15" s="2" t="s">
        <v>34</v>
      </c>
    </row>
    <row r="16" spans="1:6">
      <c r="C16" s="2" t="s">
        <v>8</v>
      </c>
      <c r="D16" s="3">
        <v>33773</v>
      </c>
    </row>
    <row r="17" spans="1:4">
      <c r="C17" s="2" t="s">
        <v>27</v>
      </c>
      <c r="D17" s="2">
        <v>32</v>
      </c>
    </row>
    <row r="18" spans="1:4">
      <c r="C18" s="2" t="s">
        <v>28</v>
      </c>
      <c r="D18" s="2" t="s">
        <v>35</v>
      </c>
    </row>
    <row r="19" spans="1:4">
      <c r="A19" s="1" t="s">
        <v>23</v>
      </c>
      <c r="B19" s="26">
        <v>44032440142</v>
      </c>
      <c r="C19" s="1"/>
      <c r="D19" s="1"/>
    </row>
    <row r="20" spans="1:4">
      <c r="C20" s="2" t="s">
        <v>24</v>
      </c>
      <c r="D20" s="2" t="s">
        <v>36</v>
      </c>
    </row>
    <row r="21" spans="1:4">
      <c r="C21" s="2" t="s">
        <v>7</v>
      </c>
      <c r="D21" s="2" t="s">
        <v>37</v>
      </c>
    </row>
    <row r="22" spans="1:4">
      <c r="C22" s="2" t="s">
        <v>8</v>
      </c>
      <c r="D22" s="3">
        <v>31833</v>
      </c>
    </row>
    <row r="23" spans="1:4">
      <c r="C23" s="2" t="s">
        <v>27</v>
      </c>
      <c r="D23" s="2">
        <v>38</v>
      </c>
    </row>
    <row r="24" spans="1:4">
      <c r="C24" s="2" t="s">
        <v>28</v>
      </c>
      <c r="D24" s="2" t="s">
        <v>38</v>
      </c>
    </row>
    <row r="25" spans="1:4">
      <c r="A25" s="1" t="s">
        <v>23</v>
      </c>
      <c r="B25" s="26">
        <v>50246342803</v>
      </c>
      <c r="C25" s="1"/>
      <c r="D25" s="1"/>
    </row>
    <row r="26" spans="1:4">
      <c r="C26" s="2" t="s">
        <v>24</v>
      </c>
      <c r="D26" s="2" t="s">
        <v>39</v>
      </c>
    </row>
    <row r="27" spans="1:4">
      <c r="C27" s="2" t="s">
        <v>7</v>
      </c>
      <c r="D27" s="2" t="s">
        <v>40</v>
      </c>
    </row>
    <row r="28" spans="1:4">
      <c r="C28" s="2" t="s">
        <v>8</v>
      </c>
      <c r="D28" s="3">
        <v>32760</v>
      </c>
    </row>
    <row r="29" spans="1:4">
      <c r="C29" s="2" t="s">
        <v>27</v>
      </c>
      <c r="D29" s="2">
        <v>35</v>
      </c>
    </row>
    <row r="30" spans="1:4">
      <c r="C30" s="2" t="s">
        <v>28</v>
      </c>
      <c r="D30" s="2" t="s">
        <v>41</v>
      </c>
    </row>
    <row r="31" spans="1:4">
      <c r="A31" s="1" t="s">
        <v>23</v>
      </c>
      <c r="B31" s="26">
        <v>35043443013</v>
      </c>
      <c r="C31" s="1"/>
      <c r="D31" s="1"/>
    </row>
    <row r="32" spans="1:4">
      <c r="C32" s="2" t="s">
        <v>24</v>
      </c>
      <c r="D32" s="2" t="s">
        <v>42</v>
      </c>
    </row>
    <row r="33" spans="1:4">
      <c r="C33" s="2" t="s">
        <v>7</v>
      </c>
      <c r="D33" s="2" t="s">
        <v>43</v>
      </c>
    </row>
    <row r="34" spans="1:4">
      <c r="C34" s="2" t="s">
        <v>8</v>
      </c>
      <c r="D34" s="3">
        <v>33243</v>
      </c>
    </row>
    <row r="35" spans="1:4">
      <c r="C35" s="2" t="s">
        <v>27</v>
      </c>
      <c r="D35" s="2">
        <v>33</v>
      </c>
    </row>
    <row r="36" spans="1:4">
      <c r="C36" s="2" t="s">
        <v>28</v>
      </c>
      <c r="D36" s="2" t="s">
        <v>44</v>
      </c>
    </row>
    <row r="37" spans="1:4">
      <c r="A37" s="1" t="s">
        <v>23</v>
      </c>
      <c r="B37" s="26">
        <v>48928142383</v>
      </c>
      <c r="C37" s="1"/>
      <c r="D37" s="1"/>
    </row>
    <row r="38" spans="1:4">
      <c r="C38" s="2" t="s">
        <v>24</v>
      </c>
      <c r="D38" s="2" t="s">
        <v>45</v>
      </c>
    </row>
    <row r="39" spans="1:4">
      <c r="C39" s="2" t="s">
        <v>7</v>
      </c>
      <c r="D39" s="2" t="s">
        <v>46</v>
      </c>
    </row>
    <row r="40" spans="1:4">
      <c r="C40" s="2" t="s">
        <v>8</v>
      </c>
      <c r="D40" s="3">
        <v>34073</v>
      </c>
    </row>
    <row r="41" spans="1:4">
      <c r="C41" s="2" t="s">
        <v>27</v>
      </c>
      <c r="D41" s="2">
        <v>31</v>
      </c>
    </row>
    <row r="42" spans="1:4">
      <c r="C42" s="2" t="s">
        <v>28</v>
      </c>
      <c r="D42" s="2" t="s">
        <v>47</v>
      </c>
    </row>
    <row r="43" spans="1:4">
      <c r="A43" s="1" t="s">
        <v>23</v>
      </c>
      <c r="B43" s="26">
        <v>82383042091</v>
      </c>
      <c r="C43" s="1"/>
      <c r="D43" s="1"/>
    </row>
    <row r="44" spans="1:4">
      <c r="C44" s="2" t="s">
        <v>24</v>
      </c>
      <c r="D44" s="2" t="s">
        <v>48</v>
      </c>
    </row>
    <row r="45" spans="1:4">
      <c r="C45" s="2" t="s">
        <v>7</v>
      </c>
      <c r="D45" s="2" t="s">
        <v>49</v>
      </c>
    </row>
    <row r="46" spans="1:4">
      <c r="C46" s="2" t="s">
        <v>8</v>
      </c>
      <c r="D46" s="3">
        <v>31652</v>
      </c>
    </row>
    <row r="47" spans="1:4">
      <c r="C47" s="2" t="s">
        <v>27</v>
      </c>
      <c r="D47" s="2">
        <v>38</v>
      </c>
    </row>
    <row r="48" spans="1:4">
      <c r="C48" s="2" t="s">
        <v>28</v>
      </c>
      <c r="D48" s="2" t="s">
        <v>50</v>
      </c>
    </row>
    <row r="49" spans="1:4">
      <c r="A49" s="1" t="s">
        <v>23</v>
      </c>
      <c r="B49" s="26">
        <v>96921442289</v>
      </c>
      <c r="C49" s="1"/>
      <c r="D49" s="1"/>
    </row>
    <row r="50" spans="1:4">
      <c r="C50" s="2" t="s">
        <v>24</v>
      </c>
      <c r="D50" s="2" t="s">
        <v>26</v>
      </c>
    </row>
    <row r="51" spans="1:4">
      <c r="C51" s="2" t="s">
        <v>7</v>
      </c>
      <c r="D51" s="2" t="s">
        <v>51</v>
      </c>
    </row>
    <row r="52" spans="1:4">
      <c r="C52" s="2" t="s">
        <v>8</v>
      </c>
      <c r="D52" s="3">
        <v>32944</v>
      </c>
    </row>
    <row r="53" spans="1:4">
      <c r="C53" s="2" t="s">
        <v>27</v>
      </c>
      <c r="D53" s="2">
        <v>34</v>
      </c>
    </row>
    <row r="54" spans="1:4">
      <c r="C54" s="2" t="s">
        <v>28</v>
      </c>
      <c r="D54" s="2" t="s">
        <v>52</v>
      </c>
    </row>
    <row r="55" spans="1:4">
      <c r="A55" s="1" t="s">
        <v>23</v>
      </c>
      <c r="B55" s="26">
        <v>19751040927</v>
      </c>
      <c r="C55" s="1"/>
      <c r="D55" s="1"/>
    </row>
    <row r="56" spans="1:4">
      <c r="C56" s="2" t="s">
        <v>24</v>
      </c>
      <c r="D56" s="2" t="s">
        <v>53</v>
      </c>
    </row>
    <row r="57" spans="1:4">
      <c r="C57" s="2" t="s">
        <v>7</v>
      </c>
      <c r="D57" s="2" t="s">
        <v>54</v>
      </c>
    </row>
    <row r="58" spans="1:4">
      <c r="C58" s="2" t="s">
        <v>8</v>
      </c>
      <c r="D58" s="3">
        <v>32435</v>
      </c>
    </row>
    <row r="59" spans="1:4">
      <c r="C59" s="2" t="s">
        <v>27</v>
      </c>
      <c r="D59" s="2">
        <v>36</v>
      </c>
    </row>
    <row r="60" spans="1:4">
      <c r="C60" s="2" t="s">
        <v>28</v>
      </c>
      <c r="D60" s="2" t="s">
        <v>55</v>
      </c>
    </row>
    <row r="61" spans="1:4">
      <c r="A61" s="1" t="s">
        <v>23</v>
      </c>
      <c r="B61" s="26">
        <v>21524043282</v>
      </c>
      <c r="C61" s="1"/>
      <c r="D61" s="1"/>
    </row>
    <row r="62" spans="1:4">
      <c r="C62" s="2" t="s">
        <v>24</v>
      </c>
      <c r="D62" s="2" t="s">
        <v>56</v>
      </c>
    </row>
    <row r="63" spans="1:4">
      <c r="C63" s="2" t="s">
        <v>7</v>
      </c>
      <c r="D63" s="2" t="s">
        <v>57</v>
      </c>
    </row>
    <row r="64" spans="1:4">
      <c r="C64" s="2" t="s">
        <v>8</v>
      </c>
      <c r="D64" s="3">
        <v>34881</v>
      </c>
    </row>
    <row r="65" spans="1:4">
      <c r="C65" s="2" t="s">
        <v>27</v>
      </c>
      <c r="D65" s="2">
        <v>30</v>
      </c>
    </row>
    <row r="66" spans="1:4">
      <c r="C66" s="2" t="s">
        <v>28</v>
      </c>
      <c r="D66" s="2" t="s">
        <v>58</v>
      </c>
    </row>
    <row r="67" spans="1:4">
      <c r="A67" s="1" t="s">
        <v>23</v>
      </c>
      <c r="B67" s="26">
        <v>17799242665</v>
      </c>
      <c r="C67" s="1"/>
      <c r="D67" s="1"/>
    </row>
    <row r="68" spans="1:4">
      <c r="C68" s="2" t="s">
        <v>24</v>
      </c>
      <c r="D68" s="2" t="s">
        <v>59</v>
      </c>
    </row>
    <row r="69" spans="1:4">
      <c r="C69" s="2" t="s">
        <v>7</v>
      </c>
      <c r="D69" s="2" t="s">
        <v>60</v>
      </c>
    </row>
    <row r="70" spans="1:4">
      <c r="C70" s="2" t="s">
        <v>8</v>
      </c>
      <c r="D70" s="3">
        <v>33807</v>
      </c>
    </row>
    <row r="71" spans="1:4">
      <c r="C71" s="2" t="s">
        <v>27</v>
      </c>
      <c r="D71" s="2">
        <v>32</v>
      </c>
    </row>
    <row r="72" spans="1:4">
      <c r="C72" s="2" t="s">
        <v>28</v>
      </c>
      <c r="D72" s="2" t="s">
        <v>61</v>
      </c>
    </row>
    <row r="73" spans="1:4">
      <c r="A73" s="1" t="s">
        <v>23</v>
      </c>
      <c r="B73" s="26">
        <v>91540440092</v>
      </c>
      <c r="C73" s="1"/>
      <c r="D73" s="1"/>
    </row>
    <row r="74" spans="1:4">
      <c r="C74" s="2" t="s">
        <v>24</v>
      </c>
      <c r="D74" s="2" t="s">
        <v>62</v>
      </c>
    </row>
    <row r="75" spans="1:4">
      <c r="C75" s="2" t="s">
        <v>7</v>
      </c>
      <c r="D75" s="2" t="s">
        <v>63</v>
      </c>
    </row>
    <row r="76" spans="1:4">
      <c r="C76" s="2" t="s">
        <v>8</v>
      </c>
      <c r="D76" s="3">
        <v>30992</v>
      </c>
    </row>
    <row r="77" spans="1:4">
      <c r="C77" s="2" t="s">
        <v>27</v>
      </c>
      <c r="D77" s="2">
        <v>40</v>
      </c>
    </row>
    <row r="78" spans="1:4">
      <c r="C78" s="2" t="s">
        <v>28</v>
      </c>
      <c r="D78" s="2" t="s">
        <v>35</v>
      </c>
    </row>
    <row r="79" spans="1:4">
      <c r="A79" s="1" t="s">
        <v>23</v>
      </c>
      <c r="B79" s="26">
        <v>63639245691</v>
      </c>
      <c r="C79" s="1"/>
      <c r="D79" s="1"/>
    </row>
    <row r="80" spans="1:4">
      <c r="C80" s="2" t="s">
        <v>24</v>
      </c>
      <c r="D80" s="2" t="s">
        <v>64</v>
      </c>
    </row>
    <row r="81" spans="1:4">
      <c r="C81" s="2" t="s">
        <v>7</v>
      </c>
      <c r="D81" s="2" t="s">
        <v>65</v>
      </c>
    </row>
    <row r="82" spans="1:4">
      <c r="C82" s="2" t="s">
        <v>8</v>
      </c>
      <c r="D82" s="3">
        <v>35158</v>
      </c>
    </row>
    <row r="83" spans="1:4">
      <c r="C83" s="2" t="s">
        <v>27</v>
      </c>
      <c r="D83" s="2">
        <v>29</v>
      </c>
    </row>
    <row r="84" spans="1:4">
      <c r="C84" s="2" t="s">
        <v>28</v>
      </c>
      <c r="D84" s="2" t="s">
        <v>66</v>
      </c>
    </row>
    <row r="85" spans="1:4">
      <c r="A85" s="1" t="s">
        <v>23</v>
      </c>
      <c r="B85" s="26">
        <v>58178240237</v>
      </c>
      <c r="C85" s="1"/>
      <c r="D85" s="1"/>
    </row>
    <row r="86" spans="1:4">
      <c r="C86" s="2" t="s">
        <v>24</v>
      </c>
      <c r="D86" s="2" t="s">
        <v>67</v>
      </c>
    </row>
    <row r="87" spans="1:4">
      <c r="C87" s="2" t="s">
        <v>7</v>
      </c>
      <c r="D87" s="2" t="s">
        <v>68</v>
      </c>
    </row>
    <row r="88" spans="1:4">
      <c r="C88" s="2" t="s">
        <v>8</v>
      </c>
      <c r="D88" s="3">
        <v>32811</v>
      </c>
    </row>
    <row r="89" spans="1:4">
      <c r="C89" s="2" t="s">
        <v>27</v>
      </c>
      <c r="D89" s="2">
        <v>35</v>
      </c>
    </row>
    <row r="90" spans="1:4">
      <c r="C90" s="2" t="s">
        <v>28</v>
      </c>
      <c r="D90" s="2" t="s">
        <v>69</v>
      </c>
    </row>
    <row r="91" spans="1:4">
      <c r="A91" s="1" t="s">
        <v>23</v>
      </c>
      <c r="B91" s="26">
        <v>97537242963</v>
      </c>
      <c r="C91" s="1"/>
      <c r="D91" s="1"/>
    </row>
    <row r="92" spans="1:4">
      <c r="C92" s="2" t="s">
        <v>24</v>
      </c>
      <c r="D92" s="2" t="s">
        <v>70</v>
      </c>
    </row>
    <row r="93" spans="1:4">
      <c r="C93" s="2" t="s">
        <v>7</v>
      </c>
      <c r="D93" s="2" t="s">
        <v>71</v>
      </c>
    </row>
    <row r="94" spans="1:4">
      <c r="C94" s="2" t="s">
        <v>8</v>
      </c>
      <c r="D94" s="3">
        <v>34105</v>
      </c>
    </row>
    <row r="95" spans="1:4">
      <c r="C95" s="2" t="s">
        <v>27</v>
      </c>
      <c r="D95" s="2">
        <v>31</v>
      </c>
    </row>
    <row r="96" spans="1:4">
      <c r="C96" s="2" t="s">
        <v>28</v>
      </c>
      <c r="D96" s="2" t="s">
        <v>38</v>
      </c>
    </row>
    <row r="97" spans="1:4">
      <c r="A97" s="1" t="s">
        <v>23</v>
      </c>
      <c r="B97" s="26">
        <v>70858442377</v>
      </c>
      <c r="C97" s="1"/>
      <c r="D97" s="1"/>
    </row>
    <row r="98" spans="1:4">
      <c r="C98" s="2" t="s">
        <v>24</v>
      </c>
      <c r="D98" s="2" t="s">
        <v>72</v>
      </c>
    </row>
    <row r="99" spans="1:4">
      <c r="C99" s="2" t="s">
        <v>7</v>
      </c>
      <c r="D99" s="2" t="s">
        <v>73</v>
      </c>
    </row>
    <row r="100" spans="1:4">
      <c r="C100" s="2" t="s">
        <v>8</v>
      </c>
      <c r="D100" s="3">
        <v>31816</v>
      </c>
    </row>
    <row r="101" spans="1:4">
      <c r="C101" s="2" t="s">
        <v>27</v>
      </c>
      <c r="D101" s="2">
        <v>37</v>
      </c>
    </row>
    <row r="102" spans="1:4">
      <c r="C102" s="2" t="s">
        <v>28</v>
      </c>
      <c r="D102" s="2" t="s">
        <v>74</v>
      </c>
    </row>
    <row r="103" spans="1:4">
      <c r="A103" s="1" t="s">
        <v>23</v>
      </c>
      <c r="B103" s="26">
        <v>11680940250</v>
      </c>
      <c r="C103" s="1"/>
      <c r="D103" s="1"/>
    </row>
    <row r="104" spans="1:4">
      <c r="C104" s="2" t="s">
        <v>24</v>
      </c>
      <c r="D104" s="2" t="s">
        <v>75</v>
      </c>
    </row>
    <row r="105" spans="1:4">
      <c r="C105" s="2" t="s">
        <v>7</v>
      </c>
      <c r="D105" s="2" t="s">
        <v>76</v>
      </c>
    </row>
    <row r="106" spans="1:4">
      <c r="C106" s="2" t="s">
        <v>8</v>
      </c>
      <c r="D106" s="3">
        <v>31668</v>
      </c>
    </row>
    <row r="107" spans="1:4">
      <c r="C107" s="2" t="s">
        <v>27</v>
      </c>
      <c r="D107" s="2">
        <v>38</v>
      </c>
    </row>
    <row r="108" spans="1:4">
      <c r="C108" s="2" t="s">
        <v>28</v>
      </c>
      <c r="D108" s="2" t="s">
        <v>77</v>
      </c>
    </row>
    <row r="109" spans="1:4">
      <c r="A109" s="1" t="s">
        <v>23</v>
      </c>
      <c r="B109" s="26">
        <v>70016142411</v>
      </c>
      <c r="C109" s="1"/>
      <c r="D109" s="1"/>
    </row>
    <row r="110" spans="1:4">
      <c r="C110" s="2" t="s">
        <v>24</v>
      </c>
      <c r="D110" s="2" t="s">
        <v>37</v>
      </c>
    </row>
    <row r="111" spans="1:4">
      <c r="C111" s="2" t="s">
        <v>7</v>
      </c>
      <c r="D111" s="2" t="s">
        <v>78</v>
      </c>
    </row>
    <row r="112" spans="1:4">
      <c r="C112" s="2" t="s">
        <v>8</v>
      </c>
      <c r="D112" s="3">
        <v>34496</v>
      </c>
    </row>
    <row r="113" spans="1:4">
      <c r="C113" s="2" t="s">
        <v>27</v>
      </c>
      <c r="D113" s="2">
        <v>30</v>
      </c>
    </row>
    <row r="114" spans="1:4">
      <c r="C114" s="2" t="s">
        <v>28</v>
      </c>
      <c r="D114" s="2" t="s">
        <v>41</v>
      </c>
    </row>
    <row r="115" spans="1:4">
      <c r="A115" s="1" t="s">
        <v>23</v>
      </c>
      <c r="B115" s="26">
        <v>12301043421</v>
      </c>
      <c r="C115" s="1"/>
      <c r="D115" s="1"/>
    </row>
    <row r="116" spans="1:4">
      <c r="C116" s="2" t="s">
        <v>24</v>
      </c>
      <c r="D116" s="2" t="s">
        <v>79</v>
      </c>
    </row>
    <row r="117" spans="1:4">
      <c r="C117" s="2" t="s">
        <v>7</v>
      </c>
      <c r="D117" s="2" t="s">
        <v>80</v>
      </c>
    </row>
    <row r="118" spans="1:4">
      <c r="C118" s="2" t="s">
        <v>8</v>
      </c>
      <c r="D118" s="3">
        <v>33286</v>
      </c>
    </row>
    <row r="119" spans="1:4">
      <c r="C119" s="2" t="s">
        <v>27</v>
      </c>
      <c r="D119" s="2">
        <v>33</v>
      </c>
    </row>
    <row r="120" spans="1:4">
      <c r="C120" s="2" t="s">
        <v>28</v>
      </c>
      <c r="D120" s="2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C019D-5EBF-486B-B080-34D9EACA99C6}">
  <sheetPr codeName="Sheet4"/>
  <dimension ref="A1:J25"/>
  <sheetViews>
    <sheetView showGridLines="0" workbookViewId="0">
      <selection activeCell="F26" sqref="F26"/>
    </sheetView>
  </sheetViews>
  <sheetFormatPr defaultColWidth="8.85546875" defaultRowHeight="14.45"/>
  <cols>
    <col min="1" max="3" width="8.85546875" style="19"/>
    <col min="4" max="4" width="10.5703125" style="19" customWidth="1"/>
    <col min="5" max="5" width="9.28515625" style="19" customWidth="1"/>
    <col min="6" max="7" width="8.85546875" style="19"/>
    <col min="8" max="8" width="26.42578125" style="19" customWidth="1"/>
    <col min="9" max="16384" width="8.85546875" style="19"/>
  </cols>
  <sheetData>
    <row r="1" spans="1:10">
      <c r="A1" s="18"/>
      <c r="B1" s="18"/>
      <c r="C1" s="18"/>
      <c r="D1" s="18"/>
      <c r="E1" s="18"/>
      <c r="F1" s="18"/>
      <c r="G1" s="18"/>
      <c r="H1" s="18"/>
      <c r="I1" s="18"/>
      <c r="J1" s="18"/>
    </row>
    <row r="2" spans="1:10">
      <c r="A2" s="18"/>
      <c r="B2" s="18"/>
      <c r="C2" s="18"/>
      <c r="D2" s="18"/>
      <c r="E2" s="18"/>
      <c r="F2" s="18"/>
      <c r="G2" s="18"/>
      <c r="H2" s="18"/>
      <c r="I2" s="18"/>
      <c r="J2" s="18"/>
    </row>
    <row r="3" spans="1:10">
      <c r="A3" s="18"/>
      <c r="B3" s="18"/>
      <c r="C3" s="18"/>
      <c r="D3" s="18"/>
      <c r="E3" s="18"/>
      <c r="F3" s="18"/>
      <c r="G3" s="18"/>
      <c r="H3" s="18"/>
      <c r="I3" s="18"/>
      <c r="J3" s="18"/>
    </row>
    <row r="4" spans="1:10">
      <c r="A4" s="18"/>
      <c r="B4" s="18"/>
      <c r="C4" s="18"/>
      <c r="D4" s="18"/>
      <c r="E4" s="18"/>
      <c r="F4" s="18"/>
      <c r="G4" s="18"/>
      <c r="H4" s="18"/>
      <c r="I4" s="18"/>
      <c r="J4" s="18"/>
    </row>
    <row r="5" spans="1:10">
      <c r="A5" s="18"/>
      <c r="B5" s="18"/>
      <c r="C5" s="18"/>
      <c r="D5" s="18"/>
      <c r="E5" s="18"/>
      <c r="F5" s="18"/>
      <c r="G5" s="18"/>
      <c r="H5" s="18"/>
      <c r="I5" s="18"/>
      <c r="J5" s="18"/>
    </row>
    <row r="6" spans="1:10">
      <c r="A6" s="18"/>
      <c r="B6" s="18"/>
      <c r="C6" s="18" t="s">
        <v>82</v>
      </c>
      <c r="D6" s="18"/>
      <c r="E6" s="18"/>
      <c r="F6" s="18"/>
      <c r="G6" s="18"/>
      <c r="H6" s="18"/>
      <c r="I6" s="18"/>
      <c r="J6" s="18"/>
    </row>
    <row r="7" spans="1:10">
      <c r="A7" s="18"/>
      <c r="B7" s="18"/>
      <c r="C7" s="18" t="s">
        <v>83</v>
      </c>
      <c r="D7" s="18"/>
      <c r="E7" s="18"/>
      <c r="F7" s="18"/>
      <c r="G7" s="18"/>
      <c r="H7" s="18"/>
      <c r="I7" s="18"/>
      <c r="J7" s="18"/>
    </row>
    <row r="8" spans="1:10">
      <c r="A8" s="18"/>
      <c r="B8" s="18"/>
      <c r="C8" s="18"/>
      <c r="D8" s="18"/>
      <c r="E8" s="18"/>
      <c r="F8" s="18"/>
      <c r="G8" s="18"/>
      <c r="H8" s="18"/>
      <c r="I8" s="18"/>
      <c r="J8" s="18"/>
    </row>
    <row r="9" spans="1:10">
      <c r="A9" s="18"/>
      <c r="B9" s="18"/>
      <c r="C9" s="18"/>
      <c r="D9" s="18"/>
      <c r="E9" s="18"/>
      <c r="F9" s="18"/>
      <c r="G9" s="18"/>
      <c r="H9" s="18"/>
      <c r="I9" s="18"/>
      <c r="J9" s="18"/>
    </row>
    <row r="10" spans="1:10">
      <c r="A10" s="18"/>
      <c r="B10" s="18"/>
      <c r="C10" s="18" t="s">
        <v>84</v>
      </c>
      <c r="D10" s="18"/>
      <c r="E10" s="18"/>
      <c r="F10" s="18"/>
      <c r="G10" s="18"/>
      <c r="H10" s="18"/>
      <c r="I10" s="18"/>
      <c r="J10" s="18"/>
    </row>
    <row r="11" spans="1:10">
      <c r="A11" s="18"/>
      <c r="B11" s="18"/>
      <c r="C11" s="18"/>
      <c r="D11" s="18"/>
      <c r="E11" s="18"/>
      <c r="F11" s="18"/>
      <c r="G11" s="18"/>
      <c r="H11" s="18"/>
      <c r="I11" s="18"/>
      <c r="J11" s="18"/>
    </row>
    <row r="12" spans="1:10">
      <c r="A12" s="18"/>
      <c r="B12" s="18"/>
      <c r="C12" s="18"/>
      <c r="D12" s="29" t="s">
        <v>85</v>
      </c>
      <c r="E12" s="29"/>
      <c r="F12" s="30" t="s">
        <v>86</v>
      </c>
      <c r="G12" s="30"/>
      <c r="H12" s="18"/>
      <c r="I12" s="18"/>
      <c r="J12" s="18"/>
    </row>
    <row r="13" spans="1:10">
      <c r="A13" s="18"/>
      <c r="B13" s="18"/>
      <c r="C13" s="18"/>
      <c r="D13" s="29" t="s">
        <v>87</v>
      </c>
      <c r="E13" s="29"/>
      <c r="F13" s="28" t="s">
        <v>88</v>
      </c>
      <c r="G13" s="20"/>
      <c r="H13" s="18"/>
      <c r="I13" s="18"/>
      <c r="J13" s="18"/>
    </row>
    <row r="14" spans="1:10">
      <c r="A14" s="18"/>
      <c r="B14" s="18"/>
      <c r="C14" s="18"/>
      <c r="D14" s="29" t="s">
        <v>89</v>
      </c>
      <c r="E14" s="29"/>
      <c r="F14" s="28" t="s">
        <v>90</v>
      </c>
      <c r="G14" s="21"/>
      <c r="H14" s="18"/>
      <c r="I14" s="18"/>
      <c r="J14" s="18"/>
    </row>
    <row r="15" spans="1:10">
      <c r="A15" s="18"/>
      <c r="B15" s="18"/>
      <c r="C15" s="18"/>
      <c r="D15" s="29" t="s">
        <v>91</v>
      </c>
      <c r="E15" s="29"/>
      <c r="F15" s="28" t="s">
        <v>92</v>
      </c>
      <c r="G15" s="21"/>
      <c r="H15" s="18"/>
      <c r="I15" s="18"/>
      <c r="J15" s="18"/>
    </row>
    <row r="16" spans="1:10">
      <c r="A16" s="18"/>
      <c r="B16" s="18"/>
      <c r="C16" s="18"/>
      <c r="D16" s="29" t="s">
        <v>93</v>
      </c>
      <c r="E16" s="29"/>
      <c r="F16" s="28" t="s">
        <v>94</v>
      </c>
      <c r="G16" s="21"/>
      <c r="H16" s="18"/>
      <c r="I16" s="18"/>
      <c r="J16" s="18"/>
    </row>
    <row r="17" spans="1:10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>
      <c r="A18" s="18"/>
      <c r="B18" s="18"/>
      <c r="C18" s="18"/>
      <c r="D18" s="18"/>
      <c r="E18" s="18"/>
      <c r="F18" s="18"/>
      <c r="G18" s="18"/>
      <c r="H18" s="18"/>
      <c r="I18" s="18"/>
      <c r="J18" s="18"/>
    </row>
    <row r="19" spans="1:10">
      <c r="A19" s="18"/>
      <c r="B19" s="18"/>
      <c r="C19" s="18" t="s">
        <v>95</v>
      </c>
      <c r="D19" s="18"/>
      <c r="E19" s="18"/>
      <c r="F19" s="18"/>
      <c r="G19" s="18"/>
      <c r="H19" s="18"/>
      <c r="I19" s="18"/>
      <c r="J19" s="18"/>
    </row>
    <row r="20" spans="1:10">
      <c r="A20" s="18"/>
      <c r="B20" s="18"/>
      <c r="C20" s="22" t="s">
        <v>22</v>
      </c>
      <c r="D20" s="18"/>
      <c r="E20" s="18"/>
      <c r="F20" s="18"/>
      <c r="G20" s="18"/>
      <c r="H20" s="18"/>
      <c r="I20" s="18"/>
      <c r="J20" s="18"/>
    </row>
    <row r="21" spans="1:10">
      <c r="A21" s="18"/>
      <c r="B21" s="18"/>
      <c r="C21" s="18"/>
      <c r="D21" s="18"/>
      <c r="E21" s="18"/>
      <c r="F21" s="18"/>
      <c r="G21" s="18"/>
      <c r="H21" s="18"/>
      <c r="I21" s="18"/>
      <c r="J21" s="18"/>
    </row>
    <row r="22" spans="1:10">
      <c r="A22" s="18"/>
      <c r="B22" s="18"/>
      <c r="C22" s="18"/>
      <c r="D22" s="18"/>
      <c r="E22" s="18"/>
      <c r="F22" s="18"/>
      <c r="G22" s="18"/>
      <c r="H22" s="18"/>
      <c r="I22" s="18"/>
      <c r="J22" s="18"/>
    </row>
    <row r="23" spans="1:10">
      <c r="A23" s="18"/>
      <c r="B23" s="18"/>
      <c r="C23" s="18"/>
      <c r="D23" s="18"/>
      <c r="E23" s="18"/>
      <c r="F23" s="18"/>
      <c r="G23" s="18"/>
      <c r="H23" s="18"/>
      <c r="I23" s="18"/>
      <c r="J23" s="18"/>
    </row>
    <row r="24" spans="1:10">
      <c r="A24" s="18"/>
      <c r="B24" s="18"/>
      <c r="C24" s="18"/>
      <c r="D24" s="18"/>
      <c r="E24" s="18"/>
      <c r="F24" s="18"/>
      <c r="G24" s="18"/>
      <c r="H24" s="18"/>
      <c r="I24" s="18"/>
      <c r="J24" s="18"/>
    </row>
    <row r="25" spans="1:10">
      <c r="A25" s="18"/>
      <c r="B25" s="18"/>
      <c r="C25" s="18"/>
      <c r="D25" s="18"/>
      <c r="E25" s="18"/>
      <c r="F25" s="18"/>
      <c r="G25" s="18"/>
      <c r="H25" s="18"/>
      <c r="I25" s="18"/>
      <c r="J25" s="18"/>
    </row>
  </sheetData>
  <mergeCells count="6">
    <mergeCell ref="D16:E16"/>
    <mergeCell ref="D12:E12"/>
    <mergeCell ref="F12:G12"/>
    <mergeCell ref="D13:E13"/>
    <mergeCell ref="D14:E14"/>
    <mergeCell ref="D15:E15"/>
  </mergeCells>
  <hyperlinks>
    <hyperlink ref="C20" r:id="rId1" xr:uid="{AF6E544B-4E66-400F-BE71-68F782DA5ACE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9893B-6F2B-48C4-8F5B-F44615F4817B}">
  <sheetPr codeName="Sheet3"/>
  <dimension ref="A1:P64"/>
  <sheetViews>
    <sheetView workbookViewId="0">
      <selection activeCell="L33" sqref="L33"/>
    </sheetView>
  </sheetViews>
  <sheetFormatPr defaultRowHeight="14.45"/>
  <cols>
    <col min="1" max="1" width="13" customWidth="1"/>
    <col min="2" max="2" width="15.85546875" customWidth="1"/>
    <col min="5" max="5" width="12.7109375" customWidth="1"/>
    <col min="6" max="6" width="12.28515625" customWidth="1"/>
    <col min="7" max="7" width="11.28515625" customWidth="1"/>
    <col min="12" max="12" width="73.28515625" customWidth="1"/>
    <col min="13" max="13" width="16.140625" customWidth="1"/>
  </cols>
  <sheetData>
    <row r="1" spans="1:16">
      <c r="A1" t="s">
        <v>32</v>
      </c>
      <c r="C1" t="s">
        <v>96</v>
      </c>
      <c r="L1">
        <v>1</v>
      </c>
      <c r="M1">
        <v>2</v>
      </c>
      <c r="N1">
        <v>3</v>
      </c>
      <c r="O1">
        <v>4</v>
      </c>
      <c r="P1">
        <v>5</v>
      </c>
    </row>
    <row r="2" spans="1:16">
      <c r="A2" t="s">
        <v>97</v>
      </c>
      <c r="B2">
        <v>1</v>
      </c>
      <c r="C2" t="str">
        <f>'XL-Test'!D6</f>
        <v>Komal</v>
      </c>
      <c r="D2" t="str">
        <f>'XL-Test'!E6</f>
        <v>Arif</v>
      </c>
      <c r="E2" s="11">
        <f>'XL-Test'!F6</f>
        <v>31668</v>
      </c>
      <c r="F2" s="11">
        <f>'XL-Test'!G6</f>
        <v>40250</v>
      </c>
      <c r="G2">
        <f>'XL-Test'!H6</f>
        <v>785</v>
      </c>
      <c r="K2">
        <v>1</v>
      </c>
      <c r="L2" t="str">
        <f ca="1">SUBSTITUTE(_xlfn.FORMULATEXT('XL-Test'!D6),"$","")</f>
        <v>=XLOOKUP(C6;INT(Database!B1:B120/100000);Database!D2:D121;;0;1)</v>
      </c>
      <c r="M2" t="str">
        <f ca="1">SUBSTITUTE(_xlfn.FORMULATEXT('XL-Test'!E6),"$","")</f>
        <v>=XLOOKUP(C6;INT(Database!B1:B120/100000);Database!D3:D122;;0;1)</v>
      </c>
      <c r="N2" t="str">
        <f ca="1">SUBSTITUTE(_xlfn.FORMULATEXT('XL-Test'!F6),"$","")</f>
        <v>=XLOOKUP(C6;INT(Database!B1:B120/100000);Database!D4:D123;;0;1)</v>
      </c>
      <c r="O2" t="str">
        <f ca="1">SUBSTITUTE(_xlfn.FORMULATEXT('XL-Test'!G6),"$","")</f>
        <v>=VLOOKUP(C6&amp;"*";TEXT(Database!B:B;0);1;0)*1-C6*100000</v>
      </c>
      <c r="P2" t="str">
        <f ca="1">SUBSTITUTE(_xlfn.FORMULATEXT('XL-Test'!H6),"$","")</f>
        <v>=INT(DATEDIF(G6; DATE(2025;4;1); "D")/7)</v>
      </c>
    </row>
    <row r="3" spans="1:16">
      <c r="A3" t="str">
        <f>A2&amp;"|"</f>
        <v>HD2|</v>
      </c>
      <c r="B3">
        <v>2</v>
      </c>
      <c r="C3" t="str">
        <f>'XL-Test'!D7</f>
        <v>Hina</v>
      </c>
      <c r="D3" t="str">
        <f>'XL-Test'!E7</f>
        <v>Aslam</v>
      </c>
      <c r="E3" s="11">
        <f>'XL-Test'!F7</f>
        <v>33286</v>
      </c>
      <c r="F3" s="11">
        <f>'XL-Test'!G7</f>
        <v>43421</v>
      </c>
      <c r="G3">
        <f>'XL-Test'!H7</f>
        <v>332</v>
      </c>
      <c r="K3">
        <v>2</v>
      </c>
      <c r="L3" t="str">
        <f ca="1">SUBSTITUTE(_xlfn.FORMULATEXT('XL-Test'!E6),"$","")</f>
        <v>=XLOOKUP(C6;INT(Database!B1:B120/100000);Database!D3:D122;;0;1)</v>
      </c>
    </row>
    <row r="4" spans="1:16">
      <c r="B4">
        <v>3</v>
      </c>
      <c r="C4" t="str">
        <f>'XL-Test'!D8</f>
        <v>Mariam</v>
      </c>
      <c r="D4" t="str">
        <f>'XL-Test'!E8</f>
        <v>Rashid</v>
      </c>
      <c r="E4" s="11">
        <f>'XL-Test'!F8</f>
        <v>33807</v>
      </c>
      <c r="F4" s="11">
        <f>'XL-Test'!G8</f>
        <v>42665</v>
      </c>
      <c r="G4">
        <f>'XL-Test'!H8</f>
        <v>440</v>
      </c>
      <c r="K4">
        <v>3</v>
      </c>
      <c r="L4" t="str">
        <f ca="1">SUBSTITUTE(_xlfn.FORMULATEXT('XL-Test'!F6),"$","")</f>
        <v>=XLOOKUP(C6;INT(Database!B1:B120/100000);Database!D4:D123;;0;1)</v>
      </c>
    </row>
    <row r="5" spans="1:16">
      <c r="B5">
        <v>4</v>
      </c>
      <c r="C5" t="str">
        <f>'XL-Test'!D9</f>
        <v>Noor</v>
      </c>
      <c r="D5" t="str">
        <f>'XL-Test'!E9</f>
        <v>Ahmed</v>
      </c>
      <c r="E5" s="11">
        <f>'XL-Test'!F9</f>
        <v>32435</v>
      </c>
      <c r="F5" s="11">
        <f>'XL-Test'!G9</f>
        <v>40927</v>
      </c>
      <c r="G5">
        <f>'XL-Test'!H9</f>
        <v>688</v>
      </c>
      <c r="K5">
        <v>4</v>
      </c>
      <c r="L5" t="str">
        <f ca="1">SUBSTITUTE(_xlfn.FORMULATEXT('XL-Test'!G6),"$","")</f>
        <v>=VLOOKUP(C6&amp;"*";TEXT(Database!B:B;0);1;0)*1-C6*100000</v>
      </c>
    </row>
    <row r="6" spans="1:16">
      <c r="B6">
        <v>5</v>
      </c>
      <c r="C6" t="str">
        <f>'XL-Test'!D10</f>
        <v>Rehan</v>
      </c>
      <c r="D6" t="str">
        <f>'XL-Test'!E10</f>
        <v>Farooq</v>
      </c>
      <c r="E6" s="11">
        <f>'XL-Test'!F10</f>
        <v>34881</v>
      </c>
      <c r="F6" s="11">
        <f>'XL-Test'!G10</f>
        <v>43282</v>
      </c>
      <c r="G6">
        <f>'XL-Test'!H10</f>
        <v>352</v>
      </c>
      <c r="K6">
        <v>5</v>
      </c>
      <c r="L6" t="str">
        <f ca="1">SUBSTITUTE(_xlfn.FORMULATEXT('XL-Test'!H6),"$","")</f>
        <v>=INT(DATEDIF(G6; DATE(2025;4;1); "D")/7)</v>
      </c>
    </row>
    <row r="7" spans="1:16">
      <c r="B7">
        <v>6</v>
      </c>
      <c r="C7" t="str">
        <f>'XL-Test'!D11</f>
        <v>Sana</v>
      </c>
      <c r="D7" t="str">
        <f>'XL-Test'!E11</f>
        <v>Nasir</v>
      </c>
      <c r="E7" s="11">
        <f>'XL-Test'!F11</f>
        <v>33243</v>
      </c>
      <c r="F7" s="11">
        <f>'XL-Test'!G11</f>
        <v>43013</v>
      </c>
      <c r="G7">
        <f>'XL-Test'!H11</f>
        <v>390</v>
      </c>
    </row>
    <row r="8" spans="1:16">
      <c r="B8">
        <v>7</v>
      </c>
      <c r="C8" t="str">
        <f>'XL-Test'!D12</f>
        <v>Ayesha</v>
      </c>
      <c r="D8" t="str">
        <f>'XL-Test'!E12</f>
        <v>Usman</v>
      </c>
      <c r="E8" s="11">
        <f>'XL-Test'!F12</f>
        <v>31833</v>
      </c>
      <c r="F8" s="11">
        <f>'XL-Test'!G12</f>
        <v>40142</v>
      </c>
      <c r="G8">
        <f>'XL-Test'!H12</f>
        <v>800</v>
      </c>
    </row>
    <row r="9" spans="1:16">
      <c r="B9">
        <v>8</v>
      </c>
      <c r="C9" t="str">
        <f>'XL-Test'!D13</f>
        <v>Omar</v>
      </c>
      <c r="D9" t="str">
        <f>'XL-Test'!E13</f>
        <v>Salman</v>
      </c>
      <c r="E9" s="11">
        <f>'XL-Test'!F13</f>
        <v>34073</v>
      </c>
      <c r="F9" s="11">
        <f>'XL-Test'!G13</f>
        <v>42383</v>
      </c>
      <c r="G9">
        <f>'XL-Test'!H13</f>
        <v>480</v>
      </c>
    </row>
    <row r="10" spans="1:16">
      <c r="B10">
        <v>9</v>
      </c>
      <c r="C10" t="str">
        <f>'XL-Test'!D14</f>
        <v>Ali</v>
      </c>
      <c r="D10" t="str">
        <f>'XL-Test'!E14</f>
        <v>Imran</v>
      </c>
      <c r="E10" s="11">
        <f>'XL-Test'!F14</f>
        <v>32760</v>
      </c>
      <c r="F10" s="11">
        <f>'XL-Test'!G14</f>
        <v>42803</v>
      </c>
      <c r="G10">
        <f>'XL-Test'!H14</f>
        <v>420</v>
      </c>
    </row>
    <row r="11" spans="1:16">
      <c r="B11">
        <v>10</v>
      </c>
      <c r="C11" t="str">
        <f>'XL-Test'!D15</f>
        <v>Ibrahim</v>
      </c>
      <c r="D11" t="str">
        <f>'XL-Test'!E15</f>
        <v>Hamid</v>
      </c>
      <c r="E11" s="11">
        <f>'XL-Test'!F15</f>
        <v>32811</v>
      </c>
      <c r="F11" s="11">
        <f>'XL-Test'!G15</f>
        <v>40237</v>
      </c>
      <c r="G11">
        <f>'XL-Test'!H15</f>
        <v>787</v>
      </c>
    </row>
    <row r="12" spans="1:16">
      <c r="B12">
        <v>11</v>
      </c>
      <c r="C12" t="str">
        <f>'XL-Test'!D16</f>
        <v>Laila</v>
      </c>
      <c r="D12" t="str">
        <f>'XL-Test'!E16</f>
        <v>Murtaza</v>
      </c>
      <c r="E12" s="11">
        <f>'XL-Test'!F16</f>
        <v>35158</v>
      </c>
      <c r="F12" s="11">
        <f>'XL-Test'!G16</f>
        <v>45691</v>
      </c>
      <c r="G12">
        <f>'XL-Test'!H16</f>
        <v>8</v>
      </c>
    </row>
    <row r="13" spans="1:16">
      <c r="B13">
        <v>12</v>
      </c>
      <c r="C13" t="str">
        <f>'XL-Test'!D17</f>
        <v>Usman</v>
      </c>
      <c r="D13" t="str">
        <f>'XL-Test'!E17</f>
        <v>Waqas</v>
      </c>
      <c r="E13" s="11">
        <f>'XL-Test'!F17</f>
        <v>34496</v>
      </c>
      <c r="F13" s="11">
        <f>'XL-Test'!G17</f>
        <v>42411</v>
      </c>
      <c r="G13">
        <f>'XL-Test'!H17</f>
        <v>476</v>
      </c>
    </row>
    <row r="14" spans="1:16">
      <c r="B14">
        <v>13</v>
      </c>
      <c r="C14" t="str">
        <f>'XL-Test'!D18</f>
        <v>Noman</v>
      </c>
      <c r="D14" t="str">
        <f>'XL-Test'!E18</f>
        <v>Shahid</v>
      </c>
      <c r="E14" s="11">
        <f>'XL-Test'!F18</f>
        <v>31816</v>
      </c>
      <c r="F14" s="11">
        <f>'XL-Test'!G18</f>
        <v>42377</v>
      </c>
      <c r="G14">
        <f>'XL-Test'!H18</f>
        <v>481</v>
      </c>
    </row>
    <row r="15" spans="1:16">
      <c r="B15">
        <v>14</v>
      </c>
      <c r="C15" t="str">
        <f>'XL-Test'!D19</f>
        <v>Ahmad</v>
      </c>
      <c r="D15" t="str">
        <f>'XL-Test'!E19</f>
        <v>Hassan</v>
      </c>
      <c r="E15" s="11">
        <f>'XL-Test'!F19</f>
        <v>33210</v>
      </c>
      <c r="F15" s="11">
        <f>'XL-Test'!G19</f>
        <v>43254</v>
      </c>
      <c r="G15">
        <f>'XL-Test'!H19</f>
        <v>356</v>
      </c>
    </row>
    <row r="16" spans="1:16">
      <c r="B16">
        <v>15</v>
      </c>
      <c r="C16" t="str">
        <f>'XL-Test'!D20</f>
        <v>Zara</v>
      </c>
      <c r="D16" t="str">
        <f>'XL-Test'!E20</f>
        <v>Bilal</v>
      </c>
      <c r="E16" s="11">
        <f>'XL-Test'!F20</f>
        <v>31652</v>
      </c>
      <c r="F16" s="11">
        <f>'XL-Test'!G20</f>
        <v>42091</v>
      </c>
      <c r="G16">
        <f>'XL-Test'!H20</f>
        <v>522</v>
      </c>
    </row>
    <row r="18" spans="1:7">
      <c r="B18" t="s">
        <v>96</v>
      </c>
      <c r="C18">
        <f>IFERROR(CODE(LEFT(C2))+CODE(LEFT(C3))+CODE(LEFT(C4))+CODE(LEFT(C5))+CODE(LEFT(C6))+CODE(LEFT(C7))+CODE(LEFT(C8))+CODE(LEFT(C9))+CODE(LEFT(C10))+CODE(LEFT(C11))+CODE(LEFT(C12))+CODE(LEFT(C13))+CODE(LEFT(C14))+CODE(LEFT(C15))+CODE(LEFT(C16))
+CODE(RIGHT(C3))+CODE(RIGHT(C5))+CODE(RIGHT(C7))+CODE(RIGHT(C9))+CODE(RIGHT(C11))+CODE(RIGHT(C12))+CODE(RIGHT(C15))
+CODE(MID(C3,2,1))+CODE(MID(C4,2,1))+CODE(MID(C6,2,1))+CODE(MID(C8,2,1))+CODE(MID(C10,2,1))+CODE(MID(C14,2,1)),0)</f>
        <v>2514</v>
      </c>
      <c r="D18">
        <f>IFERROR(CODE(LEFT(D2))+CODE(LEFT(D3))+CODE(LEFT(D4))+CODE(LEFT(D5))+CODE(LEFT(D6))+CODE(LEFT(D7))+CODE(LEFT(D8))+CODE(LEFT(D9))+CODE(LEFT(D10))+CODE(LEFT(D11))+CODE(LEFT(D12))+CODE(LEFT(D13))+CODE(LEFT(D14))+CODE(LEFT(D15))+CODE(LEFT(D16))
+CODE(RIGHT(D3))+CODE(RIGHT(D5))+CODE(RIGHT(D7))+CODE(RIGHT(D9))+CODE(RIGHT(D11))+CODE(RIGHT(D12))+CODE(RIGHT(D15))
+CODE(MID(D3,2,1))+CODE(MID(D4,2,1))+CODE(MID(D6,2,1))+CODE(MID(D8,2,1))+CODE(MID(D10,2,1))+CODE(MID(D14,2,1)),0)</f>
        <v>2500</v>
      </c>
      <c r="E18">
        <f>SUM(E2:E16)</f>
        <v>497129</v>
      </c>
      <c r="F18">
        <f>SUM(F2:F16)</f>
        <v>634947</v>
      </c>
      <c r="G18">
        <f>SUM(G2:G16)*100</f>
        <v>731700</v>
      </c>
    </row>
    <row r="19" spans="1:7">
      <c r="A19" t="s">
        <v>98</v>
      </c>
      <c r="C19" t="str">
        <f ca="1">IFERROR(DEC2HEX(IF(AND(NOT(OR(C2=0,C2="")),C25,C59),C18,C20)),"EEEE")</f>
        <v>9D2</v>
      </c>
      <c r="D19" t="str">
        <f t="shared" ref="D19:G19" ca="1" si="0">IFERROR(DEC2HEX(IF(AND(NOT(OR(D2=0,D2="")),D25,D59),D18,D20)),"EEEE")</f>
        <v>9C4</v>
      </c>
      <c r="E19" t="str">
        <f t="shared" ca="1" si="0"/>
        <v>795E9</v>
      </c>
      <c r="F19" t="str">
        <f t="shared" ca="1" si="0"/>
        <v>9B043</v>
      </c>
      <c r="G19" t="str">
        <f t="shared" ca="1" si="0"/>
        <v>B2A34</v>
      </c>
    </row>
    <row r="20" spans="1:7">
      <c r="B20" t="s">
        <v>99</v>
      </c>
      <c r="C20">
        <v>5941</v>
      </c>
      <c r="D20">
        <v>8808</v>
      </c>
      <c r="E20">
        <v>8352</v>
      </c>
      <c r="F20">
        <v>6360</v>
      </c>
      <c r="G20">
        <v>2301</v>
      </c>
    </row>
    <row r="22" spans="1:7">
      <c r="B22" t="b">
        <v>1</v>
      </c>
      <c r="C22" t="str">
        <f>LEFT(DEC2HEX(C20),2)</f>
        <v>17</v>
      </c>
      <c r="D22" t="str">
        <f t="shared" ref="D22:G22" si="1">LEFT(DEC2HEX(D20),2)</f>
        <v>22</v>
      </c>
      <c r="E22" t="str">
        <f t="shared" si="1"/>
        <v>20</v>
      </c>
      <c r="F22" t="str">
        <f t="shared" si="1"/>
        <v>18</v>
      </c>
      <c r="G22" t="str">
        <f t="shared" si="1"/>
        <v>8F</v>
      </c>
    </row>
    <row r="23" spans="1:7">
      <c r="B23" t="b">
        <v>0</v>
      </c>
      <c r="C23" t="str">
        <f>RIGHT(DEC2HEX(C20),2)</f>
        <v>35</v>
      </c>
      <c r="D23" t="str">
        <f t="shared" ref="D23:G23" si="2">RIGHT(DEC2HEX(D20),2)</f>
        <v>68</v>
      </c>
      <c r="E23" t="str">
        <f t="shared" si="2"/>
        <v>A0</v>
      </c>
      <c r="F23" t="str">
        <f t="shared" si="2"/>
        <v>D8</v>
      </c>
      <c r="G23" t="str">
        <f t="shared" si="2"/>
        <v>FD</v>
      </c>
    </row>
    <row r="24" spans="1:7">
      <c r="E24" s="11"/>
      <c r="F24" s="11"/>
    </row>
    <row r="25" spans="1:7">
      <c r="B25" t="s">
        <v>100</v>
      </c>
      <c r="C25" t="b">
        <f ca="1">AND(ISNUMBER(SEARCH("!B",L2)),ISNUMBER(SEARCH("!D",L2)),ISNUMBER(SEARCH(":",L2)))</f>
        <v>1</v>
      </c>
      <c r="D25" t="b">
        <f ca="1">AND(ISNUMBER(SEARCH("!B",M2)),ISNUMBER(SEARCH("!D",M2)),ISNUMBER(SEARCH(":",M2)))</f>
        <v>1</v>
      </c>
      <c r="E25" t="b">
        <f ca="1">AND(ISNUMBER(SEARCH("!B",N2)),ISNUMBER(SEARCH("!D",N2)),ISNUMBER(SEARCH(":",N2)))</f>
        <v>1</v>
      </c>
      <c r="F25" t="b">
        <f ca="1">AND(ISNUMBER(SEARCH("!B",O2)),ISNUMBER(SEARCH(":",N2)))</f>
        <v>1</v>
      </c>
      <c r="G25" t="b">
        <f ca="1">AND(ISNUMBER(SEARCH("=",P2)),ISNUMBER(SEARCH("(",P2)))</f>
        <v>1</v>
      </c>
    </row>
    <row r="27" spans="1:7">
      <c r="B27" t="s">
        <v>101</v>
      </c>
      <c r="C27" t="b">
        <f ca="1">OR(AND(ISNUMBER(SEARCH("~"&amp;CHAR(42),L2)),ISNUMBER(SEARCH("NDE",L2)),ISNUMBER(SEARCH("ATC",L2))),ISNUMBER(SEARCH("XLOO",L2)))</f>
        <v>1</v>
      </c>
      <c r="D27" t="b">
        <f t="shared" ref="D27:E27" ca="1" si="3">OR(AND(ISNUMBER(SEARCH("~"&amp;CHAR(42),M2)),ISNUMBER(SEARCH("NDE",M2)),ISNUMBER(SEARCH("ATC",M2))),ISNUMBER(SEARCH("XLOO",M2)))</f>
        <v>1</v>
      </c>
      <c r="E27" t="b">
        <f t="shared" ca="1" si="3"/>
        <v>1</v>
      </c>
      <c r="F27" t="b">
        <f ca="1">AND(ISNUMBER(SEARCH("~"&amp;CHAR(42),O2)),OR(ISNUMBER(SEARCH("VL",O2)),AND(ISNUMBER(SEARCH("NDE",O2)),ISNUMBER(SEARCH("ATC",O2)))))</f>
        <v>1</v>
      </c>
      <c r="G27" t="b">
        <f ca="1">AND(OR(ISNUMBER(SEARCH("INT",P2)),ISNUMBER(SEARCH("ROUN",P2))),ISNUMBER(SEARCH("DATE",P2)))</f>
        <v>1</v>
      </c>
    </row>
    <row r="29" spans="1:7">
      <c r="A29" t="s">
        <v>98</v>
      </c>
      <c r="C29" t="str">
        <f ca="1">IF(AND(C27,C33),C22,C23)</f>
        <v>17</v>
      </c>
      <c r="D29" t="str">
        <f t="shared" ref="D29:G29" ca="1" si="4">IF(AND(D27,D33),D22,D23)</f>
        <v>22</v>
      </c>
      <c r="E29" t="str">
        <f t="shared" ca="1" si="4"/>
        <v>20</v>
      </c>
      <c r="F29" t="str">
        <f t="shared" ca="1" si="4"/>
        <v>18</v>
      </c>
      <c r="G29" t="str">
        <f t="shared" ca="1" si="4"/>
        <v>8F</v>
      </c>
    </row>
    <row r="31" spans="1:7">
      <c r="B31" t="s">
        <v>102</v>
      </c>
      <c r="C31">
        <f ca="1">IFERROR(LEN(L2)-LEN(SUBSTITUTE(L2,"(","")),99)</f>
        <v>2</v>
      </c>
      <c r="D31">
        <f t="shared" ref="D31:G31" ca="1" si="5">IFERROR(LEN(M2)-LEN(SUBSTITUTE(M2,"(","")),99)</f>
        <v>2</v>
      </c>
      <c r="E31">
        <f t="shared" ca="1" si="5"/>
        <v>2</v>
      </c>
      <c r="F31">
        <f t="shared" ca="1" si="5"/>
        <v>2</v>
      </c>
      <c r="G31">
        <f t="shared" ca="1" si="5"/>
        <v>3</v>
      </c>
    </row>
    <row r="32" spans="1:7">
      <c r="C32">
        <v>2</v>
      </c>
      <c r="D32">
        <v>2</v>
      </c>
      <c r="E32">
        <v>2</v>
      </c>
      <c r="F32">
        <v>2</v>
      </c>
      <c r="G32">
        <v>3</v>
      </c>
    </row>
    <row r="33" spans="2:7">
      <c r="B33" t="s">
        <v>103</v>
      </c>
      <c r="C33" t="b">
        <f ca="1">(C31&lt;=C32)</f>
        <v>1</v>
      </c>
      <c r="D33" t="b">
        <f t="shared" ref="D33:G33" ca="1" si="6">(D31&lt;=D32)</f>
        <v>1</v>
      </c>
      <c r="E33" t="b">
        <f t="shared" ca="1" si="6"/>
        <v>1</v>
      </c>
      <c r="F33" t="b">
        <f t="shared" ca="1" si="6"/>
        <v>1</v>
      </c>
      <c r="G33" t="b">
        <f t="shared" ca="1" si="6"/>
        <v>1</v>
      </c>
    </row>
    <row r="36" spans="2:7">
      <c r="B36">
        <v>6</v>
      </c>
      <c r="C36">
        <f ca="1">LEN(_xlfn.FORMULATEXT('XL-Test'!D6))</f>
        <v>67</v>
      </c>
      <c r="D36">
        <f ca="1">LEN(_xlfn.FORMULATEXT('XL-Test'!E6))</f>
        <v>67</v>
      </c>
      <c r="E36">
        <f ca="1">LEN(_xlfn.FORMULATEXT('XL-Test'!F6))</f>
        <v>67</v>
      </c>
      <c r="F36">
        <f ca="1">LEN(_xlfn.FORMULATEXT('XL-Test'!G6))</f>
        <v>53</v>
      </c>
      <c r="G36">
        <f ca="1">LEN(_xlfn.FORMULATEXT('XL-Test'!H6))</f>
        <v>40</v>
      </c>
    </row>
    <row r="37" spans="2:7">
      <c r="B37">
        <v>7</v>
      </c>
      <c r="C37">
        <f ca="1">LEN(_xlfn.FORMULATEXT('XL-Test'!D7))</f>
        <v>67</v>
      </c>
      <c r="D37">
        <f ca="1">LEN(_xlfn.FORMULATEXT('XL-Test'!E7))</f>
        <v>67</v>
      </c>
      <c r="E37">
        <f ca="1">LEN(_xlfn.FORMULATEXT('XL-Test'!F7))</f>
        <v>67</v>
      </c>
      <c r="F37">
        <f ca="1">LEN(_xlfn.FORMULATEXT('XL-Test'!G7))</f>
        <v>53</v>
      </c>
      <c r="G37">
        <f ca="1">LEN(_xlfn.FORMULATEXT('XL-Test'!H7))</f>
        <v>40</v>
      </c>
    </row>
    <row r="38" spans="2:7">
      <c r="B38">
        <v>8</v>
      </c>
      <c r="C38">
        <f ca="1">LEN(_xlfn.FORMULATEXT('XL-Test'!D8))</f>
        <v>67</v>
      </c>
      <c r="D38">
        <f ca="1">LEN(_xlfn.FORMULATEXT('XL-Test'!E8))</f>
        <v>67</v>
      </c>
      <c r="E38">
        <f ca="1">LEN(_xlfn.FORMULATEXT('XL-Test'!F8))</f>
        <v>67</v>
      </c>
      <c r="F38">
        <f ca="1">LEN(_xlfn.FORMULATEXT('XL-Test'!G8))</f>
        <v>53</v>
      </c>
      <c r="G38">
        <f ca="1">LEN(_xlfn.FORMULATEXT('XL-Test'!H8))</f>
        <v>40</v>
      </c>
    </row>
    <row r="39" spans="2:7">
      <c r="B39">
        <v>9</v>
      </c>
      <c r="C39">
        <f ca="1">LEN(_xlfn.FORMULATEXT('XL-Test'!D9))</f>
        <v>67</v>
      </c>
      <c r="D39">
        <f ca="1">LEN(_xlfn.FORMULATEXT('XL-Test'!E9))</f>
        <v>67</v>
      </c>
      <c r="E39">
        <f ca="1">LEN(_xlfn.FORMULATEXT('XL-Test'!F9))</f>
        <v>67</v>
      </c>
      <c r="F39">
        <f ca="1">LEN(_xlfn.FORMULATEXT('XL-Test'!G9))</f>
        <v>53</v>
      </c>
      <c r="G39">
        <f ca="1">LEN(_xlfn.FORMULATEXT('XL-Test'!H9))</f>
        <v>40</v>
      </c>
    </row>
    <row r="40" spans="2:7">
      <c r="B40" t="s">
        <v>104</v>
      </c>
      <c r="C40">
        <f ca="1">AVERAGE(C36:C39)</f>
        <v>67</v>
      </c>
      <c r="D40">
        <f t="shared" ref="D40:G40" ca="1" si="7">AVERAGE(D36:D39)</f>
        <v>67</v>
      </c>
      <c r="E40">
        <f t="shared" ca="1" si="7"/>
        <v>67</v>
      </c>
      <c r="F40">
        <f t="shared" ca="1" si="7"/>
        <v>53</v>
      </c>
      <c r="G40">
        <f t="shared" ca="1" si="7"/>
        <v>40</v>
      </c>
    </row>
    <row r="41" spans="2:7">
      <c r="B41" t="s">
        <v>105</v>
      </c>
      <c r="C41" t="b">
        <f ca="1">IFERROR(C40=C36,FALSE)</f>
        <v>1</v>
      </c>
      <c r="D41" t="b">
        <f t="shared" ref="D41:G41" ca="1" si="8">IFERROR(D40=D36,FALSE)</f>
        <v>1</v>
      </c>
      <c r="E41" t="b">
        <f t="shared" ca="1" si="8"/>
        <v>1</v>
      </c>
      <c r="F41" t="b">
        <f t="shared" ca="1" si="8"/>
        <v>1</v>
      </c>
      <c r="G41" t="b">
        <f t="shared" ca="1" si="8"/>
        <v>1</v>
      </c>
    </row>
    <row r="44" spans="2:7">
      <c r="B44">
        <v>10</v>
      </c>
      <c r="C44">
        <f ca="1">LEN(_xlfn.FORMULATEXT('XL-Test'!D10))</f>
        <v>68</v>
      </c>
      <c r="D44">
        <f ca="1">LEN(_xlfn.FORMULATEXT('XL-Test'!E10))</f>
        <v>68</v>
      </c>
      <c r="E44">
        <f ca="1">LEN(_xlfn.FORMULATEXT('XL-Test'!F10))</f>
        <v>68</v>
      </c>
      <c r="F44">
        <f ca="1">LEN(_xlfn.FORMULATEXT('XL-Test'!G10))</f>
        <v>55</v>
      </c>
      <c r="G44">
        <f ca="1">LEN(_xlfn.FORMULATEXT('XL-Test'!H10))</f>
        <v>41</v>
      </c>
    </row>
    <row r="45" spans="2:7">
      <c r="B45">
        <v>11</v>
      </c>
      <c r="C45">
        <f ca="1">LEN(_xlfn.FORMULATEXT('XL-Test'!D11))</f>
        <v>68</v>
      </c>
      <c r="D45">
        <f ca="1">LEN(_xlfn.FORMULATEXT('XL-Test'!E11))</f>
        <v>68</v>
      </c>
      <c r="E45">
        <f ca="1">LEN(_xlfn.FORMULATEXT('XL-Test'!F11))</f>
        <v>68</v>
      </c>
      <c r="F45">
        <f ca="1">LEN(_xlfn.FORMULATEXT('XL-Test'!G11))</f>
        <v>55</v>
      </c>
      <c r="G45">
        <f ca="1">LEN(_xlfn.FORMULATEXT('XL-Test'!H11))</f>
        <v>41</v>
      </c>
    </row>
    <row r="46" spans="2:7">
      <c r="B46">
        <v>12</v>
      </c>
      <c r="C46">
        <f ca="1">LEN(_xlfn.FORMULATEXT('XL-Test'!D12))</f>
        <v>68</v>
      </c>
      <c r="D46">
        <f ca="1">LEN(_xlfn.FORMULATEXT('XL-Test'!E12))</f>
        <v>68</v>
      </c>
      <c r="E46">
        <f ca="1">LEN(_xlfn.FORMULATEXT('XL-Test'!F12))</f>
        <v>68</v>
      </c>
      <c r="F46">
        <f ca="1">LEN(_xlfn.FORMULATEXT('XL-Test'!G12))</f>
        <v>55</v>
      </c>
      <c r="G46">
        <f ca="1">LEN(_xlfn.FORMULATEXT('XL-Test'!H12))</f>
        <v>41</v>
      </c>
    </row>
    <row r="47" spans="2:7">
      <c r="B47">
        <v>13</v>
      </c>
      <c r="C47">
        <f ca="1">LEN(_xlfn.FORMULATEXT('XL-Test'!D13))</f>
        <v>68</v>
      </c>
      <c r="D47">
        <f ca="1">LEN(_xlfn.FORMULATEXT('XL-Test'!E13))</f>
        <v>68</v>
      </c>
      <c r="E47">
        <f ca="1">LEN(_xlfn.FORMULATEXT('XL-Test'!F13))</f>
        <v>68</v>
      </c>
      <c r="F47">
        <f ca="1">LEN(_xlfn.FORMULATEXT('XL-Test'!G13))</f>
        <v>55</v>
      </c>
      <c r="G47">
        <f ca="1">LEN(_xlfn.FORMULATEXT('XL-Test'!H13))</f>
        <v>41</v>
      </c>
    </row>
    <row r="48" spans="2:7">
      <c r="B48">
        <v>14</v>
      </c>
      <c r="C48">
        <f ca="1">LEN(_xlfn.FORMULATEXT('XL-Test'!D14))</f>
        <v>68</v>
      </c>
      <c r="D48">
        <f ca="1">LEN(_xlfn.FORMULATEXT('XL-Test'!E14))</f>
        <v>68</v>
      </c>
      <c r="E48">
        <f ca="1">LEN(_xlfn.FORMULATEXT('XL-Test'!F14))</f>
        <v>68</v>
      </c>
      <c r="F48">
        <f ca="1">LEN(_xlfn.FORMULATEXT('XL-Test'!G14))</f>
        <v>55</v>
      </c>
      <c r="G48">
        <f ca="1">LEN(_xlfn.FORMULATEXT('XL-Test'!H14))</f>
        <v>41</v>
      </c>
    </row>
    <row r="49" spans="2:7">
      <c r="B49">
        <v>15</v>
      </c>
      <c r="C49">
        <f ca="1">LEN(_xlfn.FORMULATEXT('XL-Test'!D15))</f>
        <v>68</v>
      </c>
      <c r="D49">
        <f ca="1">LEN(_xlfn.FORMULATEXT('XL-Test'!E15))</f>
        <v>68</v>
      </c>
      <c r="E49">
        <f ca="1">LEN(_xlfn.FORMULATEXT('XL-Test'!F15))</f>
        <v>68</v>
      </c>
      <c r="F49">
        <f ca="1">LEN(_xlfn.FORMULATEXT('XL-Test'!G15))</f>
        <v>55</v>
      </c>
      <c r="G49">
        <f ca="1">LEN(_xlfn.FORMULATEXT('XL-Test'!H15))</f>
        <v>41</v>
      </c>
    </row>
    <row r="50" spans="2:7">
      <c r="B50">
        <v>16</v>
      </c>
      <c r="C50">
        <f ca="1">LEN(_xlfn.FORMULATEXT('XL-Test'!D16))</f>
        <v>68</v>
      </c>
      <c r="D50">
        <f ca="1">LEN(_xlfn.FORMULATEXT('XL-Test'!E16))</f>
        <v>68</v>
      </c>
      <c r="E50">
        <f ca="1">LEN(_xlfn.FORMULATEXT('XL-Test'!F16))</f>
        <v>68</v>
      </c>
      <c r="F50">
        <f ca="1">LEN(_xlfn.FORMULATEXT('XL-Test'!G16))</f>
        <v>55</v>
      </c>
      <c r="G50">
        <f ca="1">LEN(_xlfn.FORMULATEXT('XL-Test'!H16))</f>
        <v>41</v>
      </c>
    </row>
    <row r="51" spans="2:7">
      <c r="B51">
        <v>17</v>
      </c>
      <c r="C51">
        <f ca="1">LEN(_xlfn.FORMULATEXT('XL-Test'!D17))</f>
        <v>68</v>
      </c>
      <c r="D51">
        <f ca="1">LEN(_xlfn.FORMULATEXT('XL-Test'!E17))</f>
        <v>68</v>
      </c>
      <c r="E51">
        <f ca="1">LEN(_xlfn.FORMULATEXT('XL-Test'!F17))</f>
        <v>68</v>
      </c>
      <c r="F51">
        <f ca="1">LEN(_xlfn.FORMULATEXT('XL-Test'!G17))</f>
        <v>55</v>
      </c>
      <c r="G51">
        <f ca="1">LEN(_xlfn.FORMULATEXT('XL-Test'!H17))</f>
        <v>41</v>
      </c>
    </row>
    <row r="52" spans="2:7">
      <c r="B52">
        <v>18</v>
      </c>
      <c r="C52">
        <f ca="1">LEN(_xlfn.FORMULATEXT('XL-Test'!D18))</f>
        <v>68</v>
      </c>
      <c r="D52">
        <f ca="1">LEN(_xlfn.FORMULATEXT('XL-Test'!E18))</f>
        <v>68</v>
      </c>
      <c r="E52">
        <f ca="1">LEN(_xlfn.FORMULATEXT('XL-Test'!F18))</f>
        <v>68</v>
      </c>
      <c r="F52">
        <f ca="1">LEN(_xlfn.FORMULATEXT('XL-Test'!G18))</f>
        <v>55</v>
      </c>
      <c r="G52">
        <f ca="1">LEN(_xlfn.FORMULATEXT('XL-Test'!H18))</f>
        <v>41</v>
      </c>
    </row>
    <row r="53" spans="2:7">
      <c r="B53">
        <v>19</v>
      </c>
      <c r="C53">
        <f ca="1">LEN(_xlfn.FORMULATEXT('XL-Test'!D19))</f>
        <v>68</v>
      </c>
      <c r="D53">
        <f ca="1">LEN(_xlfn.FORMULATEXT('XL-Test'!E19))</f>
        <v>68</v>
      </c>
      <c r="E53">
        <f ca="1">LEN(_xlfn.FORMULATEXT('XL-Test'!F19))</f>
        <v>68</v>
      </c>
      <c r="F53">
        <f ca="1">LEN(_xlfn.FORMULATEXT('XL-Test'!G19))</f>
        <v>55</v>
      </c>
      <c r="G53">
        <f ca="1">LEN(_xlfn.FORMULATEXT('XL-Test'!H19))</f>
        <v>41</v>
      </c>
    </row>
    <row r="54" spans="2:7">
      <c r="B54">
        <v>20</v>
      </c>
      <c r="C54">
        <f ca="1">LEN(_xlfn.FORMULATEXT('XL-Test'!D20))</f>
        <v>68</v>
      </c>
      <c r="D54">
        <f ca="1">LEN(_xlfn.FORMULATEXT('XL-Test'!E20))</f>
        <v>68</v>
      </c>
      <c r="E54">
        <f ca="1">LEN(_xlfn.FORMULATEXT('XL-Test'!F20))</f>
        <v>68</v>
      </c>
      <c r="F54">
        <f ca="1">LEN(_xlfn.FORMULATEXT('XL-Test'!G20))</f>
        <v>55</v>
      </c>
      <c r="G54">
        <f ca="1">LEN(_xlfn.FORMULATEXT('XL-Test'!H20))</f>
        <v>41</v>
      </c>
    </row>
    <row r="56" spans="2:7">
      <c r="B56" t="s">
        <v>104</v>
      </c>
      <c r="C56">
        <f ca="1">AVERAGE(C44:C54)</f>
        <v>68</v>
      </c>
      <c r="D56">
        <f t="shared" ref="D56:G56" ca="1" si="9">AVERAGE(D44:D54)</f>
        <v>68</v>
      </c>
      <c r="E56">
        <f t="shared" ca="1" si="9"/>
        <v>68</v>
      </c>
      <c r="F56">
        <f t="shared" ca="1" si="9"/>
        <v>55</v>
      </c>
      <c r="G56">
        <f t="shared" ca="1" si="9"/>
        <v>41</v>
      </c>
    </row>
    <row r="57" spans="2:7">
      <c r="B57" t="s">
        <v>105</v>
      </c>
      <c r="C57" t="b">
        <f ca="1">IFERROR(C56=C44,FALSE)</f>
        <v>1</v>
      </c>
      <c r="D57" t="b">
        <f t="shared" ref="D57:G57" ca="1" si="10">IFERROR(D56=D44,FALSE)</f>
        <v>1</v>
      </c>
      <c r="E57" t="b">
        <f t="shared" ca="1" si="10"/>
        <v>1</v>
      </c>
      <c r="F57" t="b">
        <f t="shared" ca="1" si="10"/>
        <v>1</v>
      </c>
      <c r="G57" t="b">
        <f t="shared" ca="1" si="10"/>
        <v>1</v>
      </c>
    </row>
    <row r="59" spans="2:7">
      <c r="B59" t="s">
        <v>106</v>
      </c>
      <c r="C59" t="b">
        <f ca="1">AND(C57,C41)</f>
        <v>1</v>
      </c>
      <c r="D59" t="b">
        <f t="shared" ref="D59:G59" ca="1" si="11">AND(D57,D41)</f>
        <v>1</v>
      </c>
      <c r="E59" t="b">
        <f t="shared" ca="1" si="11"/>
        <v>1</v>
      </c>
      <c r="F59" t="b">
        <f t="shared" ca="1" si="11"/>
        <v>1</v>
      </c>
      <c r="G59" t="b">
        <f t="shared" ca="1" si="11"/>
        <v>1</v>
      </c>
    </row>
    <row r="63" spans="2:7">
      <c r="C63" t="str">
        <f ca="1">C29&amp;"-"&amp;C19&amp;";"</f>
        <v>17-9D2;</v>
      </c>
      <c r="D63" t="str">
        <f t="shared" ref="D63:F63" ca="1" si="12">D29&amp;"-"&amp;D19&amp;";"</f>
        <v>22-9C4;</v>
      </c>
      <c r="E63" t="str">
        <f t="shared" ca="1" si="12"/>
        <v>20-795E9;</v>
      </c>
      <c r="F63" t="str">
        <f t="shared" ca="1" si="12"/>
        <v>18-9B043;</v>
      </c>
      <c r="G63" t="str">
        <f ca="1">G29&amp;"-"&amp;G19</f>
        <v>8F-B2A34</v>
      </c>
    </row>
    <row r="64" spans="2:7">
      <c r="C64" t="str">
        <f ca="1">A3&amp;C63&amp;D63&amp;E63&amp;F63&amp;G63</f>
        <v>HD2|17-9D2;22-9C4;20-795E9;18-9B043;8F-B2A34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2025-05-21T04:10:57Z</dcterms:created>
  <dcterms:modified xsi:type="dcterms:W3CDTF">2026-06-12T18:53:53Z</dcterms:modified>
  <cp:category/>
  <cp:contentStatus/>
</cp:coreProperties>
</file>