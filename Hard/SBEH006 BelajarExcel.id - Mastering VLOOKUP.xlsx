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190" documentId="8_{79BCE345-C050-45CF-BBA3-8C45CA7FFC91}" xr6:coauthVersionLast="47" xr6:coauthVersionMax="47" xr10:uidLastSave="{51D96DCB-B48C-4E0B-8BBE-03FAAC9BF9C7}"/>
  <workbookProtection workbookAlgorithmName="SHA-512" workbookHashValue="0NpNSW8oTo13gnUYRR9IOE7NXauMqPDUX2+tDdwhUDUhyFxLKWqAN7D+58qigIChTvpgNBXnBEU/yk0uqYfk6w==" workbookSaltValue="bid/4mKS9HtftZm8TlIuCw==" workbookSpinCount="100000" lockStructure="1"/>
  <bookViews>
    <workbookView xWindow="28692" yWindow="-108" windowWidth="29016" windowHeight="15696" firstSheet="4" xr2:uid="{00000000-000D-0000-FFFF-FFFF00000000}"/>
  </bookViews>
  <sheets>
    <sheet name="Start" sheetId="2" r:id="rId1"/>
    <sheet name="VLOOKUP" sheetId="3" r:id="rId2"/>
    <sheet name="VLOOKUP Multi Value" sheetId="4" r:id="rId3"/>
    <sheet name="VLOOKUP Advanced" sheetId="5" r:id="rId4"/>
    <sheet name="BONUS" sheetId="6" r:id="rId5"/>
    <sheet name="DF" sheetId="7" state="hidden" r:id="rId6"/>
  </sheets>
  <definedNames>
    <definedName name="_xlnm._FilterDatabase" localSheetId="3" hidden="1">'VLOOKUP Advanced'!$O$27:$Q$27</definedName>
    <definedName name="kode_jawaban">DF!$C$22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5" l="1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6" i="5"/>
  <c r="L6" i="5"/>
  <c r="J6" i="5" a="1"/>
  <c r="J6" i="5"/>
  <c r="H6" i="5"/>
  <c r="I6" i="4" a="1"/>
  <c r="I6" i="4"/>
  <c r="M6" i="3"/>
  <c r="K6" i="3"/>
  <c r="J6" i="3"/>
  <c r="H12" i="6" a="1"/>
  <c r="H12" i="6"/>
  <c r="H13" i="6" a="1"/>
  <c r="H13" i="6"/>
  <c r="H14" i="6" a="1"/>
  <c r="H14" i="6"/>
  <c r="H15" i="6" a="1"/>
  <c r="H15" i="6"/>
  <c r="H16" i="6" a="1"/>
  <c r="H16" i="6"/>
  <c r="H17" i="6" a="1"/>
  <c r="H17" i="6"/>
  <c r="H18" i="6" a="1"/>
  <c r="H18" i="6"/>
  <c r="H19" i="6" a="1"/>
  <c r="H19" i="6"/>
  <c r="H20" i="6" a="1"/>
  <c r="H20" i="6"/>
  <c r="H7" i="6" a="1"/>
  <c r="H7" i="6"/>
  <c r="H8" i="6" a="1"/>
  <c r="H8" i="6"/>
  <c r="H9" i="6" a="1"/>
  <c r="H9" i="6"/>
  <c r="H10" i="6" a="1"/>
  <c r="H10" i="6"/>
  <c r="H11" i="6" a="1"/>
  <c r="H11" i="6"/>
  <c r="H6" i="6" a="1"/>
  <c r="H6" i="6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J7" i="5" a="1"/>
  <c r="J7" i="5"/>
  <c r="J8" i="5" a="1"/>
  <c r="J8" i="5"/>
  <c r="J9" i="5" a="1"/>
  <c r="J9" i="5"/>
  <c r="J10" i="5" a="1"/>
  <c r="J10" i="5"/>
  <c r="J11" i="5" a="1"/>
  <c r="J11" i="5"/>
  <c r="J12" i="5" a="1"/>
  <c r="J12" i="5"/>
  <c r="J13" i="5" a="1"/>
  <c r="J13" i="5"/>
  <c r="J14" i="5" a="1"/>
  <c r="J14" i="5"/>
  <c r="J15" i="5" a="1"/>
  <c r="J15" i="5"/>
  <c r="J16" i="5" a="1"/>
  <c r="J16" i="5"/>
  <c r="J17" i="5" a="1"/>
  <c r="J17" i="5"/>
  <c r="J18" i="5" a="1"/>
  <c r="J18" i="5"/>
  <c r="J19" i="5" a="1"/>
  <c r="J19" i="5"/>
  <c r="J20" i="5" a="1"/>
  <c r="J20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I7" i="4" a="1"/>
  <c r="I7" i="4"/>
  <c r="I8" i="4" a="1"/>
  <c r="I8" i="4"/>
  <c r="I9" i="4" a="1"/>
  <c r="I9" i="4"/>
  <c r="I10" i="4" a="1"/>
  <c r="I10" i="4"/>
  <c r="I11" i="4" a="1"/>
  <c r="I11" i="4"/>
  <c r="I12" i="4" a="1"/>
  <c r="I12" i="4"/>
  <c r="I13" i="4" a="1"/>
  <c r="I13" i="4"/>
  <c r="I14" i="4" a="1"/>
  <c r="I14" i="4"/>
  <c r="I15" i="4" a="1"/>
  <c r="I15" i="4"/>
  <c r="I16" i="4" a="1"/>
  <c r="I16" i="4"/>
  <c r="I17" i="4" a="1"/>
  <c r="I17" i="4"/>
  <c r="I18" i="4" a="1"/>
  <c r="I18" i="4"/>
  <c r="I19" i="4" a="1"/>
  <c r="I19" i="4"/>
  <c r="I20" i="4" a="1"/>
  <c r="I20" i="4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6" i="3"/>
  <c r="N10" i="7"/>
  <c r="N9" i="7"/>
  <c r="N8" i="7"/>
  <c r="N7" i="7"/>
  <c r="N6" i="7"/>
  <c r="N5" i="7"/>
  <c r="N4" i="7"/>
  <c r="N3" i="7"/>
  <c r="N2" i="7"/>
  <c r="K4" i="7"/>
  <c r="K10" i="7" s="1"/>
  <c r="K3" i="7"/>
  <c r="K9" i="7" s="1"/>
  <c r="K2" i="7"/>
  <c r="I4" i="7"/>
  <c r="I10" i="7" s="1"/>
  <c r="I3" i="7"/>
  <c r="I9" i="7" s="1"/>
  <c r="I2" i="7"/>
  <c r="H4" i="7"/>
  <c r="H10" i="7" s="1"/>
  <c r="H3" i="7"/>
  <c r="H9" i="7" s="1"/>
  <c r="H2" i="7"/>
  <c r="F4" i="7"/>
  <c r="F10" i="7" s="1"/>
  <c r="F3" i="7"/>
  <c r="F9" i="7" s="1"/>
  <c r="F2" i="7"/>
  <c r="E4" i="7"/>
  <c r="E10" i="7" s="1"/>
  <c r="E3" i="7"/>
  <c r="E9" i="7" s="1"/>
  <c r="E2" i="7"/>
  <c r="D4" i="7"/>
  <c r="D10" i="7" s="1"/>
  <c r="D3" i="7"/>
  <c r="D9" i="7" s="1"/>
  <c r="D2" i="7"/>
  <c r="C2" i="7"/>
  <c r="C4" i="7"/>
  <c r="C10" i="7" s="1"/>
  <c r="C3" i="7"/>
  <c r="C9" i="7" s="1"/>
  <c r="J3" i="7"/>
  <c r="J9" i="7" s="1"/>
  <c r="J4" i="7"/>
  <c r="J10" i="7" s="1"/>
  <c r="J2" i="7"/>
  <c r="G3" i="7"/>
  <c r="G9" i="7" s="1"/>
  <c r="G4" i="7"/>
  <c r="G10" i="7" s="1"/>
  <c r="G2" i="7"/>
  <c r="K8" i="7" l="1"/>
  <c r="J8" i="7"/>
  <c r="H8" i="7"/>
  <c r="E8" i="7"/>
  <c r="I11" i="7"/>
  <c r="I8" i="7"/>
  <c r="I12" i="7" s="1"/>
  <c r="H11" i="7"/>
  <c r="H12" i="7" s="1"/>
  <c r="J11" i="7"/>
  <c r="J12" i="7" s="1"/>
  <c r="F11" i="7"/>
  <c r="F8" i="7"/>
  <c r="F12" i="7" s="1"/>
  <c r="G8" i="7"/>
  <c r="G11" i="7"/>
  <c r="D11" i="7"/>
  <c r="D8" i="7"/>
  <c r="D12" i="7" s="1"/>
  <c r="C11" i="7"/>
  <c r="C8" i="7"/>
  <c r="C12" i="7" s="1"/>
  <c r="K14" i="7"/>
  <c r="J14" i="7"/>
  <c r="I14" i="7"/>
  <c r="H14" i="7"/>
  <c r="G14" i="7"/>
  <c r="F14" i="7"/>
  <c r="E14" i="7"/>
  <c r="D14" i="7"/>
  <c r="C14" i="7"/>
  <c r="E11" i="7"/>
  <c r="K11" i="7"/>
  <c r="K12" i="7" s="1"/>
  <c r="G12" i="7" l="1"/>
  <c r="E12" i="7"/>
  <c r="K16" i="7"/>
  <c r="K17" i="7"/>
  <c r="K19" i="7" s="1"/>
  <c r="K20" i="7" s="1"/>
  <c r="I17" i="7"/>
  <c r="I16" i="7"/>
  <c r="J17" i="7"/>
  <c r="J16" i="7"/>
  <c r="J19" i="7" s="1"/>
  <c r="J20" i="7" s="1"/>
  <c r="H16" i="7"/>
  <c r="H17" i="7"/>
  <c r="H19" i="7" s="1"/>
  <c r="H20" i="7" s="1"/>
  <c r="F17" i="7"/>
  <c r="F16" i="7"/>
  <c r="E17" i="7"/>
  <c r="E16" i="7"/>
  <c r="I19" i="7" l="1"/>
  <c r="I20" i="7" s="1"/>
  <c r="F19" i="7"/>
  <c r="F20" i="7" s="1"/>
  <c r="E19" i="7"/>
  <c r="E20" i="7" s="1"/>
  <c r="G16" i="7"/>
  <c r="G17" i="7"/>
  <c r="D16" i="7"/>
  <c r="D17" i="7"/>
  <c r="D19" i="7" s="1"/>
  <c r="D20" i="7" s="1"/>
  <c r="C17" i="7"/>
  <c r="C16" i="7"/>
  <c r="C19" i="7" l="1"/>
  <c r="C20" i="7" s="1"/>
  <c r="G19" i="7"/>
  <c r="G20" i="7" s="1"/>
  <c r="C22" i="7" s="1"/>
  <c r="D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<sst xmlns="http://schemas.openxmlformats.org/spreadsheetml/2006/main" count="261" uniqueCount="88">
  <si>
    <t>Kode Soal</t>
  </si>
  <si>
    <t>SBEH006</t>
  </si>
  <si>
    <t>Kode Jawaban</t>
  </si>
  <si>
    <r>
      <t xml:space="preserve">kirimkan </t>
    </r>
    <r>
      <rPr>
        <b/>
        <sz val="14"/>
        <color theme="0"/>
        <rFont val="Calibri"/>
        <family val="2"/>
        <scheme val="minor"/>
      </rPr>
      <t>Kode Soal</t>
    </r>
    <r>
      <rPr>
        <sz val="14"/>
        <color theme="0"/>
        <rFont val="Calibri"/>
        <family val="2"/>
        <scheme val="minor"/>
      </rPr>
      <t xml:space="preserve"> dan </t>
    </r>
    <r>
      <rPr>
        <b/>
        <sz val="14"/>
        <color theme="0"/>
        <rFont val="Calibri"/>
        <family val="2"/>
        <scheme val="minor"/>
      </rPr>
      <t>Kode Jawaban</t>
    </r>
    <r>
      <rPr>
        <sz val="14"/>
        <color theme="0"/>
        <rFont val="Calibri"/>
        <family val="2"/>
        <scheme val="minor"/>
      </rPr>
      <t xml:space="preserve"> diatas ke alamat :  </t>
    </r>
    <r>
      <rPr>
        <b/>
        <u/>
        <sz val="14"/>
        <color theme="0"/>
        <rFont val="Calibri"/>
        <family val="2"/>
        <scheme val="minor"/>
      </rPr>
      <t>https://belajarexcel.id/xl-test/jawaban</t>
    </r>
    <r>
      <rPr>
        <sz val="14"/>
        <color theme="0"/>
        <rFont val="Calibri"/>
        <family val="2"/>
        <scheme val="minor"/>
      </rPr>
      <t xml:space="preserve">  untuk mengecek hasil benar/salah</t>
    </r>
  </si>
  <si>
    <t>VLOOKUP (lookup_value, table_array, col_index_num, [range_lookup])</t>
  </si>
  <si>
    <t>VLOOKUP</t>
  </si>
  <si>
    <t>No</t>
  </si>
  <si>
    <t>Kode Pelanggan</t>
  </si>
  <si>
    <t>Nama Pelanggan</t>
  </si>
  <si>
    <t>Kode Produk</t>
  </si>
  <si>
    <t>Nama Produk</t>
  </si>
  <si>
    <t>Harga</t>
  </si>
  <si>
    <t>Penjualan</t>
  </si>
  <si>
    <t>Bonus</t>
  </si>
  <si>
    <t>P-002</t>
  </si>
  <si>
    <t>B003</t>
  </si>
  <si>
    <t>P-001</t>
  </si>
  <si>
    <t>B004</t>
  </si>
  <si>
    <t>P-003</t>
  </si>
  <si>
    <t>B002</t>
  </si>
  <si>
    <t>B001</t>
  </si>
  <si>
    <t>MATERI 1</t>
  </si>
  <si>
    <t>Pengenalan VLOOKUP</t>
  </si>
  <si>
    <t>VLOOKUP TRUE vs FALSE</t>
  </si>
  <si>
    <t>B005</t>
  </si>
  <si>
    <t>Daftar Produk</t>
  </si>
  <si>
    <t>Soal</t>
  </si>
  <si>
    <t>Kode</t>
  </si>
  <si>
    <t>Nama Barang</t>
  </si>
  <si>
    <t>Harga Satuan</t>
  </si>
  <si>
    <r>
      <t xml:space="preserve">Isi nama pelanggan berdasarkan kode pelangan dari table </t>
    </r>
    <r>
      <rPr>
        <b/>
        <sz val="11"/>
        <color theme="1"/>
        <rFont val="Calibri"/>
        <family val="2"/>
        <scheme val="minor"/>
      </rPr>
      <t>Daftar Pelanggan</t>
    </r>
    <r>
      <rPr>
        <sz val="11"/>
        <color theme="1"/>
        <rFont val="Calibri"/>
        <family val="2"/>
        <scheme val="minor"/>
      </rPr>
      <t xml:space="preserve"> menggunakan </t>
    </r>
    <r>
      <rPr>
        <b/>
        <sz val="11"/>
        <color rgb="FF00B050"/>
        <rFont val="Calibri"/>
        <family val="2"/>
        <scheme val="minor"/>
      </rPr>
      <t>VLOOKUP</t>
    </r>
  </si>
  <si>
    <t>Detergen</t>
  </si>
  <si>
    <r>
      <t xml:space="preserve">isi nama produk berdasarkan kode produk dari table </t>
    </r>
    <r>
      <rPr>
        <b/>
        <sz val="11"/>
        <color theme="1"/>
        <rFont val="Calibri"/>
        <family val="2"/>
        <scheme val="minor"/>
      </rPr>
      <t>Daftar Produk</t>
    </r>
    <r>
      <rPr>
        <sz val="11"/>
        <color theme="1"/>
        <rFont val="Calibri"/>
        <family val="2"/>
        <scheme val="minor"/>
      </rPr>
      <t xml:space="preserve"> menggunakan </t>
    </r>
    <r>
      <rPr>
        <b/>
        <sz val="11"/>
        <color rgb="FF00B050"/>
        <rFont val="Calibri"/>
        <family val="2"/>
        <scheme val="minor"/>
      </rPr>
      <t>VLOOKUP</t>
    </r>
  </si>
  <si>
    <t>Sabun Cuci Piring</t>
  </si>
  <si>
    <r>
      <t xml:space="preserve">isi harga berdasarkan kode produk dari table </t>
    </r>
    <r>
      <rPr>
        <b/>
        <sz val="11"/>
        <color theme="1"/>
        <rFont val="Calibri"/>
        <family val="2"/>
        <scheme val="minor"/>
      </rPr>
      <t>Daftar Produk</t>
    </r>
    <r>
      <rPr>
        <sz val="11"/>
        <color theme="1"/>
        <rFont val="Calibri"/>
        <family val="2"/>
        <scheme val="minor"/>
      </rPr>
      <t xml:space="preserve"> menggunakan </t>
    </r>
    <r>
      <rPr>
        <b/>
        <sz val="11"/>
        <color rgb="FF00B050"/>
        <rFont val="Calibri"/>
        <family val="2"/>
        <scheme val="minor"/>
      </rPr>
      <t>VLOOKUP</t>
    </r>
  </si>
  <si>
    <t>Pembersih Lantai</t>
  </si>
  <si>
    <r>
      <t xml:space="preserve">isi bonus berdasarkan jumlah penjualan dari table </t>
    </r>
    <r>
      <rPr>
        <b/>
        <sz val="11"/>
        <color theme="1"/>
        <rFont val="Calibri"/>
        <family val="2"/>
        <scheme val="minor"/>
      </rPr>
      <t>Daftar Bonus</t>
    </r>
    <r>
      <rPr>
        <sz val="11"/>
        <color theme="1"/>
        <rFont val="Calibri"/>
        <family val="2"/>
        <scheme val="minor"/>
      </rPr>
      <t xml:space="preserve"> menggunakan </t>
    </r>
    <r>
      <rPr>
        <b/>
        <sz val="11"/>
        <color rgb="FF00B050"/>
        <rFont val="Calibri"/>
        <family val="2"/>
        <scheme val="minor"/>
      </rPr>
      <t>VLOOKUP</t>
    </r>
  </si>
  <si>
    <t>Pewangi Pakaian</t>
  </si>
  <si>
    <t>Minyak Goreng</t>
  </si>
  <si>
    <t>Daftar Bonus</t>
  </si>
  <si>
    <t>Daftar Pelaggan</t>
  </si>
  <si>
    <t>Min</t>
  </si>
  <si>
    <t>Max</t>
  </si>
  <si>
    <t>Nama</t>
  </si>
  <si>
    <t>Setrika</t>
  </si>
  <si>
    <t>Toko Cemerlang</t>
  </si>
  <si>
    <t>Televisi</t>
  </si>
  <si>
    <t>Toko Bagus</t>
  </si>
  <si>
    <t>Smartphone</t>
  </si>
  <si>
    <t>Toko Bahagia</t>
  </si>
  <si>
    <t>Sepeda Motor</t>
  </si>
  <si>
    <t>MATERI 2</t>
  </si>
  <si>
    <t>VLOOKUP Multi Kriteria</t>
  </si>
  <si>
    <r>
      <t xml:space="preserve">isi bonus berdasarkan kode pelanggan dan kode produk dari dari table Materi 1 menggunakan </t>
    </r>
    <r>
      <rPr>
        <b/>
        <sz val="11"/>
        <color rgb="FF00B050"/>
        <rFont val="Calibri"/>
        <family val="2"/>
        <scheme val="minor"/>
      </rPr>
      <t>VLOOKUP</t>
    </r>
  </si>
  <si>
    <t>Harga Barang</t>
  </si>
  <si>
    <t>MATERI 3</t>
  </si>
  <si>
    <t>VLOOKUP Ke Kanan</t>
  </si>
  <si>
    <t>VLOOKUP Table Horizontal</t>
  </si>
  <si>
    <t>VLOOKUP Wildcard</t>
  </si>
  <si>
    <t>VLOOKUP Tanpa Table</t>
  </si>
  <si>
    <t>Daftar Pelanggan</t>
  </si>
  <si>
    <r>
      <t xml:space="preserve">Isi kode produk berdasarkan nama barang dari table </t>
    </r>
    <r>
      <rPr>
        <b/>
        <sz val="11"/>
        <color theme="1"/>
        <rFont val="Calibri"/>
        <family val="2"/>
        <scheme val="minor"/>
      </rPr>
      <t>Daftar Produk 1</t>
    </r>
    <r>
      <rPr>
        <sz val="11"/>
        <color theme="1"/>
        <rFont val="Calibri"/>
        <family val="2"/>
        <scheme val="minor"/>
      </rPr>
      <t xml:space="preserve"> menggunakan </t>
    </r>
    <r>
      <rPr>
        <b/>
        <sz val="11"/>
        <color rgb="FF00B050"/>
        <rFont val="Calibri"/>
        <family val="2"/>
        <scheme val="minor"/>
      </rPr>
      <t>VLOOKUP</t>
    </r>
  </si>
  <si>
    <r>
      <t xml:space="preserve">isi nama pelanggan berdasarkan kode pelanggan dari table </t>
    </r>
    <r>
      <rPr>
        <b/>
        <sz val="11"/>
        <color theme="1"/>
        <rFont val="Calibri"/>
        <family val="2"/>
        <scheme val="minor"/>
      </rPr>
      <t>Daftar Pelanggan</t>
    </r>
    <r>
      <rPr>
        <sz val="11"/>
        <color theme="1"/>
        <rFont val="Calibri"/>
        <family val="2"/>
        <scheme val="minor"/>
      </rPr>
      <t xml:space="preserve"> menggunakan </t>
    </r>
    <r>
      <rPr>
        <b/>
        <sz val="11"/>
        <color rgb="FF00B050"/>
        <rFont val="Calibri"/>
        <family val="2"/>
        <scheme val="minor"/>
      </rPr>
      <t>VLOOKUP</t>
    </r>
  </si>
  <si>
    <t>Daftar Produk 1</t>
  </si>
  <si>
    <t>Daftar Produk 2</t>
  </si>
  <si>
    <r>
      <t xml:space="preserve">isi harga berdasarkan kode produk dari table </t>
    </r>
    <r>
      <rPr>
        <b/>
        <sz val="11"/>
        <color theme="1"/>
        <rFont val="Calibri"/>
        <family val="2"/>
        <scheme val="minor"/>
      </rPr>
      <t>Daftar Produk 2</t>
    </r>
    <r>
      <rPr>
        <sz val="11"/>
        <color theme="1"/>
        <rFont val="Calibri"/>
        <family val="2"/>
        <scheme val="minor"/>
      </rPr>
      <t xml:space="preserve"> menggunakan </t>
    </r>
    <r>
      <rPr>
        <b/>
        <sz val="11"/>
        <color rgb="FF00B050"/>
        <rFont val="Calibri"/>
        <family val="2"/>
        <scheme val="minor"/>
      </rPr>
      <t>VLOOKUP</t>
    </r>
  </si>
  <si>
    <r>
      <t xml:space="preserve">isi bonus dengan ketentuan berikut menggunakan </t>
    </r>
    <r>
      <rPr>
        <b/>
        <sz val="11"/>
        <color rgb="FF00B050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tanpa menggunakan Table:</t>
    </r>
  </si>
  <si>
    <t>B002SBNCCPRNG</t>
  </si>
  <si>
    <t>Penjualan 1-29 mendapatkan voucher Rp 25.000</t>
  </si>
  <si>
    <t>B005MNYKGRNG</t>
  </si>
  <si>
    <t>Penjualan 30-49 mendapatkan voucher Rp 50.000</t>
  </si>
  <si>
    <t>B001DTRGN</t>
  </si>
  <si>
    <t>Penjualan 50-79 mendapatkan voucher Rp 100.000</t>
  </si>
  <si>
    <t>B003PMBRSHLNT</t>
  </si>
  <si>
    <t>penjualan 80-100 mendapatkan voucher Rp 250.000</t>
  </si>
  <si>
    <t>B004PWNGPKN</t>
  </si>
  <si>
    <t>Satuan</t>
  </si>
  <si>
    <t>Pcs</t>
  </si>
  <si>
    <t>MATERI 4</t>
  </si>
  <si>
    <t>Botol</t>
  </si>
  <si>
    <t>VLOOKUP Muti Kolom</t>
  </si>
  <si>
    <t>Liter</t>
  </si>
  <si>
    <t>Khsusus Excel 2021,2024,365</t>
  </si>
  <si>
    <r>
      <t xml:space="preserve">Isi nama barang, harga satuan dan satuan menggunakan </t>
    </r>
    <r>
      <rPr>
        <b/>
        <sz val="11"/>
        <color rgb="FF00B050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dalam 1x formula di kolom H</t>
    </r>
  </si>
  <si>
    <t>DEF</t>
  </si>
  <si>
    <t>Fvalue</t>
  </si>
  <si>
    <t>DEF1</t>
  </si>
  <si>
    <t>Fcek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</si>
</sst>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[$Rp-421]* #,##0_-;\-[$Rp-421]* #,##0_-;_-[$Rp-421]* &quot;-&quot;_-;_-@_-"/>
    <numFmt numFmtId="166" formatCode="_-[$Rp-3809]* #,##0.00_-;\-[$Rp-3809]* #,##0.00_-;_-[$Rp-3809]* &quot;-&quot;??_-;_-@_-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Segoe UI"/>
      <family val="2"/>
    </font>
    <font>
      <u/>
      <sz val="11"/>
      <color theme="0"/>
      <name val="Calibri"/>
      <family val="2"/>
      <scheme val="minor"/>
    </font>
    <font>
      <sz val="10"/>
      <color theme="8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5" borderId="0" xfId="0" applyFill="1"/>
    <xf numFmtId="0" fontId="0" fillId="4" borderId="5" xfId="0" applyFill="1" applyBorder="1" applyAlignment="1">
      <alignment horizontal="center"/>
    </xf>
    <xf numFmtId="0" fontId="0" fillId="5" borderId="5" xfId="0" applyFill="1" applyBorder="1"/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5" borderId="1" xfId="0" applyFont="1" applyFill="1" applyBorder="1" applyAlignment="1">
      <alignment horizontal="center"/>
    </xf>
    <xf numFmtId="0" fontId="0" fillId="0" borderId="1" xfId="0" applyBorder="1"/>
    <xf numFmtId="0" fontId="4" fillId="2" borderId="0" xfId="0" applyFont="1" applyFill="1"/>
    <xf numFmtId="0" fontId="5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9" fillId="0" borderId="0" xfId="0" applyFont="1"/>
    <xf numFmtId="0" fontId="11" fillId="2" borderId="0" xfId="0" applyFont="1" applyFill="1"/>
    <xf numFmtId="166" fontId="0" fillId="5" borderId="5" xfId="1" applyNumberFormat="1" applyFont="1" applyFill="1" applyBorder="1"/>
    <xf numFmtId="0" fontId="10" fillId="5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14" fillId="2" borderId="0" xfId="0" applyFont="1" applyFill="1"/>
    <xf numFmtId="0" fontId="0" fillId="5" borderId="5" xfId="0" applyFill="1" applyBorder="1" applyAlignment="1">
      <alignment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FCFDE9"/>
      <color rgb="FF5ECA5E"/>
      <color rgb="FFF8F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10</xdr:row>
      <xdr:rowOff>121920</xdr:rowOff>
    </xdr:from>
    <xdr:to>
      <xdr:col>3</xdr:col>
      <xdr:colOff>800100</xdr:colOff>
      <xdr:row>13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3746E2-BB99-44EE-9611-2B44E7C602DA}"/>
            </a:ext>
          </a:extLst>
        </xdr:cNvPr>
        <xdr:cNvSpPr/>
      </xdr:nvSpPr>
      <xdr:spPr>
        <a:xfrm>
          <a:off x="1257300" y="2415540"/>
          <a:ext cx="2034540" cy="4267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22</xdr:row>
      <xdr:rowOff>114300</xdr:rowOff>
    </xdr:from>
    <xdr:to>
      <xdr:col>2</xdr:col>
      <xdr:colOff>285354</xdr:colOff>
      <xdr:row>25</xdr:row>
      <xdr:rowOff>53083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AED4E9-3B77-E03F-8123-9CC6B0AC1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4678680"/>
          <a:ext cx="1375014" cy="4874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22</xdr:row>
      <xdr:rowOff>114300</xdr:rowOff>
    </xdr:from>
    <xdr:to>
      <xdr:col>2</xdr:col>
      <xdr:colOff>285354</xdr:colOff>
      <xdr:row>25</xdr:row>
      <xdr:rowOff>53083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EB6D4-3C62-4B02-9595-E706EC41B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4678680"/>
          <a:ext cx="1375014" cy="4874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22</xdr:row>
      <xdr:rowOff>114300</xdr:rowOff>
    </xdr:from>
    <xdr:to>
      <xdr:col>2</xdr:col>
      <xdr:colOff>285354</xdr:colOff>
      <xdr:row>25</xdr:row>
      <xdr:rowOff>53083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53ECE-BD4D-4921-AF09-3468C41C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4678680"/>
          <a:ext cx="1375014" cy="4874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22</xdr:row>
      <xdr:rowOff>114300</xdr:rowOff>
    </xdr:from>
    <xdr:to>
      <xdr:col>2</xdr:col>
      <xdr:colOff>285354</xdr:colOff>
      <xdr:row>25</xdr:row>
      <xdr:rowOff>53083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970903-0BB4-4213-814C-9F26536A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5273040"/>
          <a:ext cx="1375014" cy="487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3DD1-3959-440D-A27B-34A966245346}">
  <sheetPr codeName="Sheet2"/>
  <dimension ref="A1:W22"/>
  <sheetViews>
    <sheetView tabSelected="1" workbookViewId="0">
      <selection activeCell="D6" sqref="D6"/>
    </sheetView>
  </sheetViews>
  <sheetFormatPr defaultColWidth="8.85546875" defaultRowHeight="14.45"/>
  <cols>
    <col min="1" max="1" width="8.85546875" customWidth="1"/>
    <col min="2" max="2" width="9" customWidth="1"/>
    <col min="3" max="3" width="18.42578125" customWidth="1"/>
    <col min="4" max="4" width="14.28515625" customWidth="1"/>
    <col min="5" max="17" width="8.85546875" customWidth="1"/>
  </cols>
  <sheetData>
    <row r="1" spans="1:2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29.45" customHeight="1">
      <c r="A4" s="6"/>
      <c r="B4" s="6"/>
      <c r="C4" s="35" t="s">
        <v>0</v>
      </c>
      <c r="D4" s="34" t="s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8">
      <c r="A5" s="6"/>
      <c r="B5" s="6"/>
      <c r="C5" s="32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28.9" customHeight="1">
      <c r="A6" s="6"/>
      <c r="B6" s="6"/>
      <c r="C6" s="35" t="s">
        <v>2</v>
      </c>
      <c r="D6" s="34" t="str">
        <f ca="1">kode_jawaban</f>
        <v>DEF1|BCB-USEMAHBCB1;EAE-AISAPEAE1;AEE-62AEE1;MEM-NESESMEM1;MEE-NESESMEE1;23A-CA6B23A1;BCB-USEMAHBCB1;B90-62B901;464-1324641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6"/>
      <c r="V6" s="6"/>
      <c r="W6" s="6"/>
    </row>
    <row r="7" spans="1:2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8">
      <c r="A10" s="6"/>
      <c r="B10" s="6"/>
      <c r="C10" s="18" t="s">
        <v>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AC75-9085-4D3C-9753-4CE1BB89CFE2}">
  <sheetPr codeName="Sheet3"/>
  <dimension ref="A1:M36"/>
  <sheetViews>
    <sheetView topLeftCell="E4" workbookViewId="0">
      <selection activeCell="M6" sqref="M6"/>
    </sheetView>
  </sheetViews>
  <sheetFormatPr defaultRowHeight="14.45"/>
  <cols>
    <col min="1" max="1" width="10.28515625" customWidth="1"/>
    <col min="2" max="2" width="13.28515625" customWidth="1"/>
    <col min="3" max="3" width="14.28515625" customWidth="1"/>
    <col min="4" max="4" width="5.42578125" customWidth="1"/>
    <col min="5" max="5" width="10.85546875" customWidth="1"/>
    <col min="6" max="6" width="15" customWidth="1"/>
    <col min="7" max="7" width="25" customWidth="1"/>
    <col min="8" max="8" width="21.7109375" customWidth="1"/>
    <col min="9" max="9" width="23.42578125" customWidth="1"/>
    <col min="10" max="10" width="20.85546875" customWidth="1"/>
    <col min="11" max="11" width="14.7109375" customWidth="1"/>
    <col min="12" max="12" width="21.42578125" customWidth="1"/>
    <col min="13" max="13" width="20.7109375" customWidth="1"/>
    <col min="14" max="14" width="12.28515625" bestFit="1" customWidth="1"/>
    <col min="17" max="17" width="16.7109375" customWidth="1"/>
    <col min="18" max="18" width="18.140625" customWidth="1"/>
  </cols>
  <sheetData>
    <row r="1" spans="1:13">
      <c r="A1" s="6"/>
      <c r="B1" s="6"/>
      <c r="C1" s="6"/>
      <c r="E1" s="6"/>
      <c r="F1" s="6"/>
      <c r="G1" s="6"/>
      <c r="H1" s="6"/>
      <c r="I1" s="6"/>
      <c r="J1" s="6"/>
      <c r="K1" s="6"/>
      <c r="L1" s="6"/>
      <c r="M1" s="6"/>
    </row>
    <row r="2" spans="1:13" ht="29.45">
      <c r="A2" s="6"/>
      <c r="B2" s="6"/>
      <c r="C2" s="6"/>
      <c r="E2" s="6"/>
      <c r="F2" s="19" t="s">
        <v>4</v>
      </c>
      <c r="G2" s="6"/>
      <c r="H2" s="6"/>
      <c r="I2" s="6"/>
      <c r="J2" s="6"/>
      <c r="K2" s="6"/>
      <c r="L2" s="6"/>
      <c r="M2" s="6"/>
    </row>
    <row r="3" spans="1:13">
      <c r="A3" s="6"/>
      <c r="B3" s="6"/>
      <c r="C3" s="6"/>
      <c r="E3" s="6"/>
      <c r="F3" s="6"/>
      <c r="G3" s="6"/>
      <c r="H3" s="6"/>
      <c r="I3" s="6"/>
      <c r="J3" s="6"/>
      <c r="K3" s="6"/>
      <c r="L3" s="6"/>
      <c r="M3" s="6"/>
    </row>
    <row r="4" spans="1:13">
      <c r="A4" s="6"/>
      <c r="B4" s="6"/>
      <c r="C4" s="6"/>
      <c r="H4" s="31">
        <v>1</v>
      </c>
      <c r="J4" s="31">
        <v>2</v>
      </c>
      <c r="K4" s="31">
        <v>3</v>
      </c>
      <c r="M4" s="31">
        <v>4</v>
      </c>
    </row>
    <row r="5" spans="1:13" ht="34.9" customHeight="1">
      <c r="A5" s="38" t="s">
        <v>5</v>
      </c>
      <c r="B5" s="38"/>
      <c r="C5" s="38"/>
      <c r="F5" s="10" t="s">
        <v>6</v>
      </c>
      <c r="G5" s="11" t="s">
        <v>7</v>
      </c>
      <c r="H5" s="10" t="s">
        <v>8</v>
      </c>
      <c r="I5" s="11" t="s">
        <v>9</v>
      </c>
      <c r="J5" s="10" t="s">
        <v>10</v>
      </c>
      <c r="K5" s="10" t="s">
        <v>11</v>
      </c>
      <c r="L5" s="10" t="s">
        <v>12</v>
      </c>
      <c r="M5" s="10" t="s">
        <v>13</v>
      </c>
    </row>
    <row r="6" spans="1:13" ht="18" customHeight="1">
      <c r="A6" s="6"/>
      <c r="B6" s="6"/>
      <c r="C6" s="6"/>
      <c r="F6" s="8">
        <v>1</v>
      </c>
      <c r="G6" s="8" t="s">
        <v>14</v>
      </c>
      <c r="H6" s="9" t="str">
        <f>VLOOKUP(G6,$L$33:$M$35,2,0)</f>
        <v>Toko Bagus</v>
      </c>
      <c r="I6" s="8" t="s">
        <v>15</v>
      </c>
      <c r="J6" s="9" t="str">
        <f>VLOOKUP(I6,$K$25:$M$29,2,FALSE)</f>
        <v>Pembersih Lantai</v>
      </c>
      <c r="K6" s="33">
        <f>VLOOKUP(I6,$K$25:$M$29,3,FALSE)</f>
        <v>30200</v>
      </c>
      <c r="L6" s="8">
        <v>68</v>
      </c>
      <c r="M6" s="9" t="str">
        <f>VLOOKUP(L6,$G$33:$I$36,3,TRUE)</f>
        <v>Smartphone</v>
      </c>
    </row>
    <row r="7" spans="1:13" ht="18" customHeight="1">
      <c r="A7" s="6"/>
      <c r="B7" s="6"/>
      <c r="C7" s="6"/>
      <c r="F7" s="8">
        <v>2</v>
      </c>
      <c r="G7" s="8" t="s">
        <v>16</v>
      </c>
      <c r="H7" s="9" t="str">
        <f t="shared" ref="H7:H20" si="0">VLOOKUP(G7,$L$33:$M$35,2,0)</f>
        <v>Toko Cemerlang</v>
      </c>
      <c r="I7" s="8" t="s">
        <v>17</v>
      </c>
      <c r="J7" s="9" t="str">
        <f t="shared" ref="J7:J20" si="1">VLOOKUP(I7,$K$25:$M$29,2,FALSE)</f>
        <v>Pewangi Pakaian</v>
      </c>
      <c r="K7" s="33">
        <f t="shared" ref="K7:K20" si="2">VLOOKUP(I7,$K$25:$M$29,3,FALSE)</f>
        <v>32500</v>
      </c>
      <c r="L7" s="8">
        <v>39</v>
      </c>
      <c r="M7" s="9" t="str">
        <f t="shared" ref="M7:M20" si="3">VLOOKUP(L7,$G$33:$I$36,3,TRUE)</f>
        <v>Televisi</v>
      </c>
    </row>
    <row r="8" spans="1:13" ht="18" customHeight="1">
      <c r="A8" s="6"/>
      <c r="B8" s="6"/>
      <c r="C8" s="6"/>
      <c r="F8" s="8">
        <v>3</v>
      </c>
      <c r="G8" s="8" t="s">
        <v>18</v>
      </c>
      <c r="H8" s="9" t="str">
        <f t="shared" si="0"/>
        <v>Toko Bahagia</v>
      </c>
      <c r="I8" s="8" t="s">
        <v>19</v>
      </c>
      <c r="J8" s="9" t="str">
        <f t="shared" si="1"/>
        <v>Sabun Cuci Piring</v>
      </c>
      <c r="K8" s="33">
        <f t="shared" si="2"/>
        <v>19900</v>
      </c>
      <c r="L8" s="8">
        <v>31</v>
      </c>
      <c r="M8" s="9" t="str">
        <f t="shared" si="3"/>
        <v>Televisi</v>
      </c>
    </row>
    <row r="9" spans="1:13" ht="18" customHeight="1">
      <c r="A9" s="6"/>
      <c r="B9" s="6"/>
      <c r="C9" s="6"/>
      <c r="F9" s="8">
        <v>4</v>
      </c>
      <c r="G9" s="8" t="s">
        <v>14</v>
      </c>
      <c r="H9" s="9" t="str">
        <f t="shared" si="0"/>
        <v>Toko Bagus</v>
      </c>
      <c r="I9" s="8" t="s">
        <v>20</v>
      </c>
      <c r="J9" s="9" t="str">
        <f t="shared" si="1"/>
        <v>Detergen</v>
      </c>
      <c r="K9" s="33">
        <f t="shared" si="2"/>
        <v>28000</v>
      </c>
      <c r="L9" s="8">
        <v>7</v>
      </c>
      <c r="M9" s="9" t="str">
        <f t="shared" si="3"/>
        <v>Setrika</v>
      </c>
    </row>
    <row r="10" spans="1:13" ht="18" customHeight="1">
      <c r="A10" s="6"/>
      <c r="B10" s="20" t="s">
        <v>21</v>
      </c>
      <c r="C10" s="6"/>
      <c r="F10" s="8">
        <v>5</v>
      </c>
      <c r="G10" s="8" t="s">
        <v>16</v>
      </c>
      <c r="H10" s="9" t="str">
        <f t="shared" si="0"/>
        <v>Toko Cemerlang</v>
      </c>
      <c r="I10" s="8" t="s">
        <v>15</v>
      </c>
      <c r="J10" s="9" t="str">
        <f t="shared" si="1"/>
        <v>Pembersih Lantai</v>
      </c>
      <c r="K10" s="33">
        <f t="shared" si="2"/>
        <v>30200</v>
      </c>
      <c r="L10" s="8">
        <v>53</v>
      </c>
      <c r="M10" s="9" t="str">
        <f t="shared" si="3"/>
        <v>Smartphone</v>
      </c>
    </row>
    <row r="11" spans="1:13" ht="18" customHeight="1">
      <c r="A11" s="6"/>
      <c r="B11" s="6"/>
      <c r="C11" s="6"/>
      <c r="F11" s="8">
        <v>6</v>
      </c>
      <c r="G11" s="8" t="s">
        <v>14</v>
      </c>
      <c r="H11" s="9" t="str">
        <f t="shared" si="0"/>
        <v>Toko Bagus</v>
      </c>
      <c r="I11" s="8" t="s">
        <v>19</v>
      </c>
      <c r="J11" s="9" t="str">
        <f t="shared" si="1"/>
        <v>Sabun Cuci Piring</v>
      </c>
      <c r="K11" s="33">
        <f t="shared" si="2"/>
        <v>19900</v>
      </c>
      <c r="L11" s="8">
        <v>58</v>
      </c>
      <c r="M11" s="9" t="str">
        <f t="shared" si="3"/>
        <v>Smartphone</v>
      </c>
    </row>
    <row r="12" spans="1:13" ht="18" customHeight="1">
      <c r="A12" s="18">
        <v>1</v>
      </c>
      <c r="B12" s="18" t="s">
        <v>22</v>
      </c>
      <c r="C12" s="6"/>
      <c r="F12" s="8">
        <v>7</v>
      </c>
      <c r="G12" s="8" t="s">
        <v>16</v>
      </c>
      <c r="H12" s="9" t="str">
        <f t="shared" si="0"/>
        <v>Toko Cemerlang</v>
      </c>
      <c r="I12" s="8" t="s">
        <v>19</v>
      </c>
      <c r="J12" s="9" t="str">
        <f t="shared" si="1"/>
        <v>Sabun Cuci Piring</v>
      </c>
      <c r="K12" s="33">
        <f t="shared" si="2"/>
        <v>19900</v>
      </c>
      <c r="L12" s="8">
        <v>27</v>
      </c>
      <c r="M12" s="9" t="str">
        <f t="shared" si="3"/>
        <v>Setrika</v>
      </c>
    </row>
    <row r="13" spans="1:13" ht="18" customHeight="1">
      <c r="A13" s="18">
        <v>2</v>
      </c>
      <c r="B13" s="18" t="s">
        <v>23</v>
      </c>
      <c r="C13" s="6"/>
      <c r="F13" s="8">
        <v>8</v>
      </c>
      <c r="G13" s="8" t="s">
        <v>16</v>
      </c>
      <c r="H13" s="9" t="str">
        <f t="shared" si="0"/>
        <v>Toko Cemerlang</v>
      </c>
      <c r="I13" s="8" t="s">
        <v>20</v>
      </c>
      <c r="J13" s="9" t="str">
        <f t="shared" si="1"/>
        <v>Detergen</v>
      </c>
      <c r="K13" s="33">
        <f t="shared" si="2"/>
        <v>28000</v>
      </c>
      <c r="L13" s="8">
        <v>57</v>
      </c>
      <c r="M13" s="9" t="str">
        <f t="shared" si="3"/>
        <v>Smartphone</v>
      </c>
    </row>
    <row r="14" spans="1:13" ht="18" customHeight="1">
      <c r="A14" s="6"/>
      <c r="B14" s="6"/>
      <c r="C14" s="6"/>
      <c r="F14" s="8">
        <v>9</v>
      </c>
      <c r="G14" s="8" t="s">
        <v>16</v>
      </c>
      <c r="H14" s="9" t="str">
        <f t="shared" si="0"/>
        <v>Toko Cemerlang</v>
      </c>
      <c r="I14" s="8" t="s">
        <v>24</v>
      </c>
      <c r="J14" s="9" t="str">
        <f t="shared" si="1"/>
        <v>Minyak Goreng</v>
      </c>
      <c r="K14" s="33">
        <f t="shared" si="2"/>
        <v>23600</v>
      </c>
      <c r="L14" s="8">
        <v>15</v>
      </c>
      <c r="M14" s="9" t="str">
        <f t="shared" si="3"/>
        <v>Setrika</v>
      </c>
    </row>
    <row r="15" spans="1:13" ht="18" customHeight="1">
      <c r="A15" s="6"/>
      <c r="B15" s="6"/>
      <c r="C15" s="6"/>
      <c r="F15" s="8">
        <v>10</v>
      </c>
      <c r="G15" s="8" t="s">
        <v>18</v>
      </c>
      <c r="H15" s="9" t="str">
        <f t="shared" si="0"/>
        <v>Toko Bahagia</v>
      </c>
      <c r="I15" s="8" t="s">
        <v>20</v>
      </c>
      <c r="J15" s="9" t="str">
        <f t="shared" si="1"/>
        <v>Detergen</v>
      </c>
      <c r="K15" s="33">
        <f t="shared" si="2"/>
        <v>28000</v>
      </c>
      <c r="L15" s="8">
        <v>56</v>
      </c>
      <c r="M15" s="9" t="str">
        <f t="shared" si="3"/>
        <v>Smartphone</v>
      </c>
    </row>
    <row r="16" spans="1:13" ht="18" customHeight="1">
      <c r="A16" s="6"/>
      <c r="B16" s="6"/>
      <c r="C16" s="6"/>
      <c r="F16" s="8">
        <v>11</v>
      </c>
      <c r="G16" s="8" t="s">
        <v>18</v>
      </c>
      <c r="H16" s="9" t="str">
        <f t="shared" si="0"/>
        <v>Toko Bahagia</v>
      </c>
      <c r="I16" s="8" t="s">
        <v>17</v>
      </c>
      <c r="J16" s="9" t="str">
        <f t="shared" si="1"/>
        <v>Pewangi Pakaian</v>
      </c>
      <c r="K16" s="33">
        <f t="shared" si="2"/>
        <v>32500</v>
      </c>
      <c r="L16" s="8">
        <v>63</v>
      </c>
      <c r="M16" s="9" t="str">
        <f t="shared" si="3"/>
        <v>Smartphone</v>
      </c>
    </row>
    <row r="17" spans="1:13" ht="18" customHeight="1">
      <c r="A17" s="6"/>
      <c r="B17" s="6"/>
      <c r="C17" s="6"/>
      <c r="F17" s="8">
        <v>12</v>
      </c>
      <c r="G17" s="8" t="s">
        <v>14</v>
      </c>
      <c r="H17" s="9" t="str">
        <f t="shared" si="0"/>
        <v>Toko Bagus</v>
      </c>
      <c r="I17" s="8" t="s">
        <v>17</v>
      </c>
      <c r="J17" s="9" t="str">
        <f t="shared" si="1"/>
        <v>Pewangi Pakaian</v>
      </c>
      <c r="K17" s="33">
        <f t="shared" si="2"/>
        <v>32500</v>
      </c>
      <c r="L17" s="8">
        <v>19</v>
      </c>
      <c r="M17" s="9" t="str">
        <f t="shared" si="3"/>
        <v>Setrika</v>
      </c>
    </row>
    <row r="18" spans="1:13" ht="18" customHeight="1">
      <c r="A18" s="6"/>
      <c r="B18" s="6"/>
      <c r="C18" s="6"/>
      <c r="F18" s="8">
        <v>13</v>
      </c>
      <c r="G18" s="8" t="s">
        <v>18</v>
      </c>
      <c r="H18" s="9" t="str">
        <f t="shared" si="0"/>
        <v>Toko Bahagia</v>
      </c>
      <c r="I18" s="8" t="s">
        <v>24</v>
      </c>
      <c r="J18" s="9" t="str">
        <f t="shared" si="1"/>
        <v>Minyak Goreng</v>
      </c>
      <c r="K18" s="33">
        <f t="shared" si="2"/>
        <v>23600</v>
      </c>
      <c r="L18" s="8">
        <v>95</v>
      </c>
      <c r="M18" s="9" t="str">
        <f t="shared" si="3"/>
        <v>Sepeda Motor</v>
      </c>
    </row>
    <row r="19" spans="1:13" ht="18" customHeight="1">
      <c r="A19" s="6"/>
      <c r="B19" s="6"/>
      <c r="C19" s="6"/>
      <c r="F19" s="8">
        <v>14</v>
      </c>
      <c r="G19" s="8" t="s">
        <v>14</v>
      </c>
      <c r="H19" s="9" t="str">
        <f t="shared" si="0"/>
        <v>Toko Bagus</v>
      </c>
      <c r="I19" s="8" t="s">
        <v>24</v>
      </c>
      <c r="J19" s="9" t="str">
        <f t="shared" si="1"/>
        <v>Minyak Goreng</v>
      </c>
      <c r="K19" s="33">
        <f t="shared" si="2"/>
        <v>23600</v>
      </c>
      <c r="L19" s="8">
        <v>66</v>
      </c>
      <c r="M19" s="9" t="str">
        <f t="shared" si="3"/>
        <v>Smartphone</v>
      </c>
    </row>
    <row r="20" spans="1:13" ht="18" customHeight="1">
      <c r="A20" s="6"/>
      <c r="B20" s="6"/>
      <c r="C20" s="6"/>
      <c r="F20" s="8">
        <v>15</v>
      </c>
      <c r="G20" s="8" t="s">
        <v>18</v>
      </c>
      <c r="H20" s="9" t="str">
        <f t="shared" si="0"/>
        <v>Toko Bahagia</v>
      </c>
      <c r="I20" s="8" t="s">
        <v>15</v>
      </c>
      <c r="J20" s="9" t="str">
        <f t="shared" si="1"/>
        <v>Pembersih Lantai</v>
      </c>
      <c r="K20" s="33">
        <f t="shared" si="2"/>
        <v>30200</v>
      </c>
      <c r="L20" s="8">
        <v>62</v>
      </c>
      <c r="M20" s="9" t="str">
        <f t="shared" si="3"/>
        <v>Smartphone</v>
      </c>
    </row>
    <row r="21" spans="1:13">
      <c r="A21" s="6"/>
      <c r="B21" s="6"/>
      <c r="C21" s="6"/>
    </row>
    <row r="22" spans="1:13">
      <c r="A22" s="6"/>
      <c r="B22" s="6"/>
      <c r="C22" s="6"/>
    </row>
    <row r="23" spans="1:13">
      <c r="A23" s="6"/>
      <c r="B23" s="6"/>
      <c r="C23" s="6"/>
      <c r="K23" s="21" t="s">
        <v>25</v>
      </c>
      <c r="L23" s="22"/>
      <c r="M23" s="23"/>
    </row>
    <row r="24" spans="1:13">
      <c r="A24" s="6"/>
      <c r="B24" s="6"/>
      <c r="C24" s="6"/>
      <c r="F24" s="30" t="s">
        <v>26</v>
      </c>
      <c r="K24" s="28" t="s">
        <v>27</v>
      </c>
      <c r="L24" s="28" t="s">
        <v>28</v>
      </c>
      <c r="M24" s="29" t="s">
        <v>29</v>
      </c>
    </row>
    <row r="25" spans="1:13">
      <c r="A25" s="6"/>
      <c r="B25" s="6"/>
      <c r="C25" s="6"/>
      <c r="F25">
        <v>1</v>
      </c>
      <c r="G25" t="s">
        <v>30</v>
      </c>
      <c r="K25" s="16" t="s">
        <v>20</v>
      </c>
      <c r="L25" s="16" t="s">
        <v>31</v>
      </c>
      <c r="M25" s="4">
        <v>28000</v>
      </c>
    </row>
    <row r="26" spans="1:13">
      <c r="A26" s="6"/>
      <c r="B26" s="6"/>
      <c r="C26" s="6"/>
      <c r="F26">
        <v>2</v>
      </c>
      <c r="G26" t="s">
        <v>32</v>
      </c>
      <c r="K26" s="16" t="s">
        <v>19</v>
      </c>
      <c r="L26" s="16" t="s">
        <v>33</v>
      </c>
      <c r="M26" s="4">
        <v>19900</v>
      </c>
    </row>
    <row r="27" spans="1:13">
      <c r="A27" s="6"/>
      <c r="B27" s="6"/>
      <c r="C27" s="6"/>
      <c r="F27">
        <v>3</v>
      </c>
      <c r="G27" t="s">
        <v>34</v>
      </c>
      <c r="K27" s="16" t="s">
        <v>15</v>
      </c>
      <c r="L27" s="16" t="s">
        <v>35</v>
      </c>
      <c r="M27" s="4">
        <v>30200</v>
      </c>
    </row>
    <row r="28" spans="1:13">
      <c r="A28" s="6"/>
      <c r="B28" s="6"/>
      <c r="C28" s="6"/>
      <c r="F28">
        <v>4</v>
      </c>
      <c r="G28" t="s">
        <v>36</v>
      </c>
      <c r="K28" s="16" t="s">
        <v>17</v>
      </c>
      <c r="L28" s="16" t="s">
        <v>37</v>
      </c>
      <c r="M28" s="4">
        <v>32500</v>
      </c>
    </row>
    <row r="29" spans="1:13">
      <c r="A29" s="6"/>
      <c r="B29" s="6"/>
      <c r="C29" s="6"/>
      <c r="K29" s="16" t="s">
        <v>24</v>
      </c>
      <c r="L29" s="16" t="s">
        <v>38</v>
      </c>
      <c r="M29" s="4">
        <v>23600</v>
      </c>
    </row>
    <row r="30" spans="1:13">
      <c r="A30" s="6"/>
      <c r="B30" s="6"/>
      <c r="C30" s="6"/>
    </row>
    <row r="31" spans="1:13">
      <c r="A31" s="6"/>
      <c r="B31" s="6"/>
      <c r="C31" s="6"/>
      <c r="G31" s="21" t="s">
        <v>39</v>
      </c>
      <c r="H31" s="22"/>
      <c r="I31" s="23"/>
      <c r="K31" s="21" t="s">
        <v>40</v>
      </c>
      <c r="L31" s="22"/>
      <c r="M31" s="23"/>
    </row>
    <row r="32" spans="1:13">
      <c r="A32" s="6"/>
      <c r="B32" s="6"/>
      <c r="C32" s="6"/>
      <c r="G32" s="24" t="s">
        <v>41</v>
      </c>
      <c r="H32" s="24" t="s">
        <v>42</v>
      </c>
      <c r="I32" s="24" t="s">
        <v>13</v>
      </c>
      <c r="K32" s="24" t="s">
        <v>6</v>
      </c>
      <c r="L32" s="24" t="s">
        <v>27</v>
      </c>
      <c r="M32" s="24" t="s">
        <v>43</v>
      </c>
    </row>
    <row r="33" spans="7:13">
      <c r="G33" s="25">
        <v>1</v>
      </c>
      <c r="H33" s="26">
        <v>29</v>
      </c>
      <c r="I33" s="27" t="s">
        <v>44</v>
      </c>
      <c r="K33" s="15">
        <v>1</v>
      </c>
      <c r="L33" s="5" t="s">
        <v>16</v>
      </c>
      <c r="M33" s="1" t="s">
        <v>45</v>
      </c>
    </row>
    <row r="34" spans="7:13">
      <c r="G34" s="25">
        <v>30</v>
      </c>
      <c r="H34" s="26">
        <v>49</v>
      </c>
      <c r="I34" s="27" t="s">
        <v>46</v>
      </c>
      <c r="K34" s="15">
        <v>2</v>
      </c>
      <c r="L34" s="5" t="s">
        <v>14</v>
      </c>
      <c r="M34" s="1" t="s">
        <v>47</v>
      </c>
    </row>
    <row r="35" spans="7:13">
      <c r="G35" s="25">
        <v>50</v>
      </c>
      <c r="H35" s="26">
        <v>79</v>
      </c>
      <c r="I35" s="27" t="s">
        <v>48</v>
      </c>
      <c r="K35" s="15">
        <v>3</v>
      </c>
      <c r="L35" s="5" t="s">
        <v>18</v>
      </c>
      <c r="M35" s="1" t="s">
        <v>49</v>
      </c>
    </row>
    <row r="36" spans="7:13">
      <c r="G36" s="25">
        <v>80</v>
      </c>
      <c r="H36" s="26">
        <v>100</v>
      </c>
      <c r="I36" s="27" t="s">
        <v>50</v>
      </c>
    </row>
  </sheetData>
  <mergeCells count="1">
    <mergeCell ref="A5:C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2A5C-2257-46A0-BAB7-467EB43269A8}">
  <sheetPr codeName="Sheet4"/>
  <dimension ref="A1:M32"/>
  <sheetViews>
    <sheetView workbookViewId="0">
      <selection activeCell="I6" sqref="I6"/>
    </sheetView>
  </sheetViews>
  <sheetFormatPr defaultRowHeight="14.45"/>
  <cols>
    <col min="1" max="1" width="10.28515625" customWidth="1"/>
    <col min="2" max="3" width="13.28515625" customWidth="1"/>
    <col min="4" max="4" width="5.42578125" customWidth="1"/>
    <col min="5" max="5" width="10.85546875" customWidth="1"/>
    <col min="6" max="6" width="22.5703125" customWidth="1"/>
    <col min="7" max="7" width="25" customWidth="1"/>
    <col min="8" max="8" width="21.7109375" customWidth="1"/>
    <col min="9" max="9" width="23.42578125" customWidth="1"/>
    <col min="10" max="10" width="20.85546875" customWidth="1"/>
    <col min="11" max="11" width="14.7109375" customWidth="1"/>
    <col min="12" max="12" width="21.42578125" customWidth="1"/>
    <col min="13" max="13" width="20.7109375" customWidth="1"/>
    <col min="14" max="14" width="12.28515625" bestFit="1" customWidth="1"/>
    <col min="17" max="17" width="16.7109375" customWidth="1"/>
    <col min="18" max="18" width="18.140625" customWidth="1"/>
  </cols>
  <sheetData>
    <row r="1" spans="1:13">
      <c r="A1" s="6"/>
      <c r="B1" s="6"/>
      <c r="C1" s="6"/>
      <c r="E1" s="6"/>
      <c r="F1" s="6"/>
      <c r="G1" s="6"/>
      <c r="H1" s="6"/>
      <c r="I1" s="6"/>
      <c r="J1" s="6"/>
      <c r="K1" s="6"/>
      <c r="L1" s="6"/>
      <c r="M1" s="6"/>
    </row>
    <row r="2" spans="1:13" ht="29.45">
      <c r="A2" s="6"/>
      <c r="B2" s="6"/>
      <c r="C2" s="6"/>
      <c r="E2" s="6"/>
      <c r="F2" s="19" t="s">
        <v>4</v>
      </c>
      <c r="G2" s="6"/>
      <c r="H2" s="6"/>
      <c r="I2" s="6"/>
      <c r="J2" s="6"/>
      <c r="K2" s="6"/>
      <c r="L2" s="6"/>
      <c r="M2" s="6"/>
    </row>
    <row r="3" spans="1:13">
      <c r="A3" s="6"/>
      <c r="B3" s="6"/>
      <c r="C3" s="6"/>
      <c r="E3" s="6"/>
      <c r="F3" s="6"/>
      <c r="G3" s="6"/>
      <c r="H3" s="6"/>
      <c r="I3" s="6"/>
      <c r="J3" s="6"/>
      <c r="K3" s="6"/>
      <c r="L3" s="6"/>
      <c r="M3" s="6"/>
    </row>
    <row r="4" spans="1:13">
      <c r="A4" s="6"/>
      <c r="B4" s="6"/>
      <c r="C4" s="6"/>
      <c r="I4" s="31">
        <v>5</v>
      </c>
    </row>
    <row r="5" spans="1:13" ht="34.9" customHeight="1">
      <c r="A5" s="38" t="s">
        <v>5</v>
      </c>
      <c r="B5" s="38"/>
      <c r="C5" s="38"/>
      <c r="F5" s="10" t="s">
        <v>6</v>
      </c>
      <c r="G5" s="11" t="s">
        <v>7</v>
      </c>
      <c r="H5" s="11" t="s">
        <v>9</v>
      </c>
      <c r="I5" s="10" t="s">
        <v>13</v>
      </c>
    </row>
    <row r="6" spans="1:13" ht="18" customHeight="1">
      <c r="A6" s="6"/>
      <c r="B6" s="6"/>
      <c r="C6" s="6"/>
      <c r="F6" s="8">
        <v>1</v>
      </c>
      <c r="G6" s="8" t="s">
        <v>14</v>
      </c>
      <c r="H6" s="8" t="s">
        <v>15</v>
      </c>
      <c r="I6" s="9" t="str" cm="1">
        <f t="array" ref="I6">VLOOKUP(G6&amp;H6,CHOOSE({1,2},VLOOKUP!$G$6:$G$20&amp;VLOOKUP!$I$6:$I$20,VLOOKUP!$M$6:$M$20),2,0)</f>
        <v>Smartphone</v>
      </c>
    </row>
    <row r="7" spans="1:13" ht="18" customHeight="1">
      <c r="A7" s="6"/>
      <c r="B7" s="6"/>
      <c r="C7" s="6"/>
      <c r="F7" s="8">
        <v>2</v>
      </c>
      <c r="G7" s="8" t="s">
        <v>16</v>
      </c>
      <c r="H7" s="8" t="s">
        <v>17</v>
      </c>
      <c r="I7" s="9" t="str" cm="1">
        <f t="array" ref="I7">VLOOKUP(G7&amp;H7,CHOOSE({1,2},VLOOKUP!$G$6:$G$20&amp;VLOOKUP!$I$6:$I$20,VLOOKUP!$M$6:$M$20),2,0)</f>
        <v>Televisi</v>
      </c>
    </row>
    <row r="8" spans="1:13" ht="18" customHeight="1">
      <c r="A8" s="6"/>
      <c r="B8" s="6"/>
      <c r="C8" s="6"/>
      <c r="F8" s="8">
        <v>3</v>
      </c>
      <c r="G8" s="8" t="s">
        <v>18</v>
      </c>
      <c r="H8" s="8" t="s">
        <v>19</v>
      </c>
      <c r="I8" s="9" t="str" cm="1">
        <f t="array" ref="I8">VLOOKUP(G8&amp;H8,CHOOSE({1,2},VLOOKUP!$G$6:$G$20&amp;VLOOKUP!$I$6:$I$20,VLOOKUP!$M$6:$M$20),2,0)</f>
        <v>Televisi</v>
      </c>
    </row>
    <row r="9" spans="1:13" ht="18" customHeight="1">
      <c r="A9" s="6"/>
      <c r="B9" s="6"/>
      <c r="C9" s="6"/>
      <c r="F9" s="8">
        <v>4</v>
      </c>
      <c r="G9" s="8" t="s">
        <v>14</v>
      </c>
      <c r="H9" s="8" t="s">
        <v>20</v>
      </c>
      <c r="I9" s="9" t="str" cm="1">
        <f t="array" ref="I9">VLOOKUP(G9&amp;H9,CHOOSE({1,2},VLOOKUP!$G$6:$G$20&amp;VLOOKUP!$I$6:$I$20,VLOOKUP!$M$6:$M$20),2,0)</f>
        <v>Setrika</v>
      </c>
    </row>
    <row r="10" spans="1:13" ht="18" customHeight="1">
      <c r="A10" s="6"/>
      <c r="B10" s="20" t="s">
        <v>51</v>
      </c>
      <c r="C10" s="6"/>
      <c r="F10" s="8">
        <v>5</v>
      </c>
      <c r="G10" s="8" t="s">
        <v>16</v>
      </c>
      <c r="H10" s="8" t="s">
        <v>15</v>
      </c>
      <c r="I10" s="9" t="str" cm="1">
        <f t="array" ref="I10">VLOOKUP(G10&amp;H10,CHOOSE({1,2},VLOOKUP!$G$6:$G$20&amp;VLOOKUP!$I$6:$I$20,VLOOKUP!$M$6:$M$20),2,0)</f>
        <v>Smartphone</v>
      </c>
    </row>
    <row r="11" spans="1:13" ht="18" customHeight="1">
      <c r="A11" s="6"/>
      <c r="B11" s="6"/>
      <c r="C11" s="6"/>
      <c r="F11" s="8">
        <v>6</v>
      </c>
      <c r="G11" s="8" t="s">
        <v>14</v>
      </c>
      <c r="H11" s="8" t="s">
        <v>19</v>
      </c>
      <c r="I11" s="9" t="str" cm="1">
        <f t="array" ref="I11">VLOOKUP(G11&amp;H11,CHOOSE({1,2},VLOOKUP!$G$6:$G$20&amp;VLOOKUP!$I$6:$I$20,VLOOKUP!$M$6:$M$20),2,0)</f>
        <v>Smartphone</v>
      </c>
    </row>
    <row r="12" spans="1:13" ht="18" customHeight="1">
      <c r="A12" s="18">
        <v>3</v>
      </c>
      <c r="B12" s="18" t="s">
        <v>52</v>
      </c>
      <c r="C12" s="6"/>
      <c r="F12" s="8">
        <v>7</v>
      </c>
      <c r="G12" s="8" t="s">
        <v>16</v>
      </c>
      <c r="H12" s="8" t="s">
        <v>19</v>
      </c>
      <c r="I12" s="9" t="str" cm="1">
        <f t="array" ref="I12">VLOOKUP(G12&amp;H12,CHOOSE({1,2},VLOOKUP!$G$6:$G$20&amp;VLOOKUP!$I$6:$I$20,VLOOKUP!$M$6:$M$20),2,0)</f>
        <v>Setrika</v>
      </c>
    </row>
    <row r="13" spans="1:13" ht="18" customHeight="1">
      <c r="A13" s="17"/>
      <c r="B13" s="18"/>
      <c r="C13" s="6"/>
      <c r="F13" s="8">
        <v>8</v>
      </c>
      <c r="G13" s="8" t="s">
        <v>16</v>
      </c>
      <c r="H13" s="8" t="s">
        <v>20</v>
      </c>
      <c r="I13" s="9" t="str" cm="1">
        <f t="array" ref="I13">VLOOKUP(G13&amp;H13,CHOOSE({1,2},VLOOKUP!$G$6:$G$20&amp;VLOOKUP!$I$6:$I$20,VLOOKUP!$M$6:$M$20),2,0)</f>
        <v>Smartphone</v>
      </c>
    </row>
    <row r="14" spans="1:13" ht="18" customHeight="1">
      <c r="A14" s="6"/>
      <c r="B14" s="6"/>
      <c r="C14" s="6"/>
      <c r="F14" s="8">
        <v>9</v>
      </c>
      <c r="G14" s="8" t="s">
        <v>16</v>
      </c>
      <c r="H14" s="8" t="s">
        <v>24</v>
      </c>
      <c r="I14" s="9" t="str" cm="1">
        <f t="array" ref="I14">VLOOKUP(G14&amp;H14,CHOOSE({1,2},VLOOKUP!$G$6:$G$20&amp;VLOOKUP!$I$6:$I$20,VLOOKUP!$M$6:$M$20),2,0)</f>
        <v>Setrika</v>
      </c>
    </row>
    <row r="15" spans="1:13" ht="18" customHeight="1">
      <c r="A15" s="6"/>
      <c r="B15" s="6"/>
      <c r="C15" s="6"/>
      <c r="F15" s="8">
        <v>10</v>
      </c>
      <c r="G15" s="8" t="s">
        <v>18</v>
      </c>
      <c r="H15" s="8" t="s">
        <v>20</v>
      </c>
      <c r="I15" s="9" t="str" cm="1">
        <f t="array" ref="I15">VLOOKUP(G15&amp;H15,CHOOSE({1,2},VLOOKUP!$G$6:$G$20&amp;VLOOKUP!$I$6:$I$20,VLOOKUP!$M$6:$M$20),2,0)</f>
        <v>Smartphone</v>
      </c>
    </row>
    <row r="16" spans="1:13" ht="18" customHeight="1">
      <c r="A16" s="6"/>
      <c r="B16" s="6"/>
      <c r="C16" s="6"/>
      <c r="F16" s="8">
        <v>11</v>
      </c>
      <c r="G16" s="8" t="s">
        <v>18</v>
      </c>
      <c r="H16" s="8" t="s">
        <v>17</v>
      </c>
      <c r="I16" s="9" t="str" cm="1">
        <f t="array" ref="I16">VLOOKUP(G16&amp;H16,CHOOSE({1,2},VLOOKUP!$G$6:$G$20&amp;VLOOKUP!$I$6:$I$20,VLOOKUP!$M$6:$M$20),2,0)</f>
        <v>Smartphone</v>
      </c>
    </row>
    <row r="17" spans="1:9" ht="18" customHeight="1">
      <c r="A17" s="6"/>
      <c r="B17" s="6"/>
      <c r="C17" s="6"/>
      <c r="F17" s="8">
        <v>12</v>
      </c>
      <c r="G17" s="8" t="s">
        <v>14</v>
      </c>
      <c r="H17" s="8" t="s">
        <v>17</v>
      </c>
      <c r="I17" s="9" t="str" cm="1">
        <f t="array" ref="I17">VLOOKUP(G17&amp;H17,CHOOSE({1,2},VLOOKUP!$G$6:$G$20&amp;VLOOKUP!$I$6:$I$20,VLOOKUP!$M$6:$M$20),2,0)</f>
        <v>Setrika</v>
      </c>
    </row>
    <row r="18" spans="1:9" ht="18" customHeight="1">
      <c r="A18" s="6"/>
      <c r="B18" s="6"/>
      <c r="C18" s="6"/>
      <c r="F18" s="8">
        <v>13</v>
      </c>
      <c r="G18" s="8" t="s">
        <v>18</v>
      </c>
      <c r="H18" s="8" t="s">
        <v>24</v>
      </c>
      <c r="I18" s="9" t="str" cm="1">
        <f t="array" ref="I18">VLOOKUP(G18&amp;H18,CHOOSE({1,2},VLOOKUP!$G$6:$G$20&amp;VLOOKUP!$I$6:$I$20,VLOOKUP!$M$6:$M$20),2,0)</f>
        <v>Sepeda Motor</v>
      </c>
    </row>
    <row r="19" spans="1:9" ht="18" customHeight="1">
      <c r="A19" s="6"/>
      <c r="B19" s="6"/>
      <c r="C19" s="6"/>
      <c r="F19" s="8">
        <v>14</v>
      </c>
      <c r="G19" s="8" t="s">
        <v>14</v>
      </c>
      <c r="H19" s="8" t="s">
        <v>24</v>
      </c>
      <c r="I19" s="9" t="str" cm="1">
        <f t="array" ref="I19">VLOOKUP(G19&amp;H19,CHOOSE({1,2},VLOOKUP!$G$6:$G$20&amp;VLOOKUP!$I$6:$I$20,VLOOKUP!$M$6:$M$20),2,0)</f>
        <v>Smartphone</v>
      </c>
    </row>
    <row r="20" spans="1:9" ht="18" customHeight="1">
      <c r="A20" s="6"/>
      <c r="B20" s="6"/>
      <c r="C20" s="6"/>
      <c r="F20" s="8">
        <v>15</v>
      </c>
      <c r="G20" s="8" t="s">
        <v>18</v>
      </c>
      <c r="H20" s="8" t="s">
        <v>15</v>
      </c>
      <c r="I20" s="9" t="str" cm="1">
        <f t="array" ref="I20">VLOOKUP(G20&amp;H20,CHOOSE({1,2},VLOOKUP!$G$6:$G$20&amp;VLOOKUP!$I$6:$I$20,VLOOKUP!$M$6:$M$20),2,0)</f>
        <v>Smartphone</v>
      </c>
    </row>
    <row r="21" spans="1:9">
      <c r="A21" s="6"/>
      <c r="B21" s="6"/>
      <c r="C21" s="6"/>
    </row>
    <row r="22" spans="1:9">
      <c r="A22" s="6"/>
      <c r="B22" s="6"/>
      <c r="C22" s="6"/>
    </row>
    <row r="23" spans="1:9">
      <c r="A23" s="6"/>
      <c r="B23" s="6"/>
      <c r="C23" s="6"/>
      <c r="F23" s="30" t="s">
        <v>26</v>
      </c>
    </row>
    <row r="24" spans="1:9">
      <c r="A24" s="6"/>
      <c r="B24" s="6"/>
      <c r="C24" s="6"/>
      <c r="F24">
        <v>5</v>
      </c>
      <c r="G24" t="s">
        <v>53</v>
      </c>
    </row>
    <row r="25" spans="1:9">
      <c r="A25" s="6"/>
      <c r="B25" s="6"/>
      <c r="C25" s="6"/>
    </row>
    <row r="26" spans="1:9">
      <c r="A26" s="6"/>
      <c r="B26" s="6"/>
      <c r="C26" s="6"/>
    </row>
    <row r="27" spans="1:9">
      <c r="A27" s="6"/>
      <c r="B27" s="6"/>
      <c r="C27" s="6"/>
    </row>
    <row r="28" spans="1:9">
      <c r="A28" s="6"/>
      <c r="B28" s="6"/>
      <c r="C28" s="6"/>
    </row>
    <row r="29" spans="1:9">
      <c r="A29" s="6"/>
      <c r="B29" s="6"/>
      <c r="C29" s="6"/>
    </row>
    <row r="30" spans="1:9">
      <c r="A30" s="6"/>
      <c r="B30" s="6"/>
      <c r="C30" s="6"/>
    </row>
    <row r="31" spans="1:9">
      <c r="A31" s="6"/>
      <c r="B31" s="6"/>
      <c r="C31" s="6"/>
    </row>
    <row r="32" spans="1:9">
      <c r="A32" s="6"/>
      <c r="B32" s="6"/>
      <c r="C32" s="6"/>
    </row>
  </sheetData>
  <mergeCells count="1">
    <mergeCell ref="A5:C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6AE8-A9E8-4ACE-B64A-1DEF82E7ACE4}">
  <sheetPr codeName="Sheet5"/>
  <dimension ref="A1:Q33"/>
  <sheetViews>
    <sheetView topLeftCell="G11" workbookViewId="0">
      <selection activeCell="M18" sqref="M18"/>
    </sheetView>
  </sheetViews>
  <sheetFormatPr defaultRowHeight="14.45"/>
  <cols>
    <col min="1" max="1" width="10.28515625" customWidth="1"/>
    <col min="2" max="3" width="13.28515625" customWidth="1"/>
    <col min="4" max="4" width="5.42578125" customWidth="1"/>
    <col min="5" max="5" width="10.85546875" customWidth="1"/>
    <col min="6" max="6" width="22.5703125" customWidth="1"/>
    <col min="7" max="7" width="25" customWidth="1"/>
    <col min="8" max="8" width="21.7109375" customWidth="1"/>
    <col min="9" max="9" width="23.42578125" customWidth="1"/>
    <col min="10" max="10" width="20.85546875" customWidth="1"/>
    <col min="11" max="11" width="16.28515625" customWidth="1"/>
    <col min="12" max="12" width="21.42578125" customWidth="1"/>
    <col min="13" max="13" width="20.7109375" customWidth="1"/>
    <col min="14" max="14" width="12.28515625" bestFit="1" customWidth="1"/>
    <col min="15" max="15" width="10.7109375" customWidth="1"/>
    <col min="16" max="16" width="11.28515625" customWidth="1"/>
    <col min="17" max="17" width="16.7109375" customWidth="1"/>
    <col min="18" max="18" width="18.140625" customWidth="1"/>
  </cols>
  <sheetData>
    <row r="1" spans="1:13">
      <c r="A1" s="6"/>
      <c r="B1" s="6"/>
      <c r="C1" s="6"/>
      <c r="E1" s="6"/>
      <c r="F1" s="6"/>
      <c r="G1" s="6"/>
      <c r="H1" s="6"/>
      <c r="I1" s="6"/>
      <c r="J1" s="6"/>
      <c r="K1" s="6"/>
      <c r="L1" s="6"/>
      <c r="M1" s="6"/>
    </row>
    <row r="2" spans="1:13" ht="29.45">
      <c r="A2" s="6"/>
      <c r="B2" s="6"/>
      <c r="C2" s="6"/>
      <c r="E2" s="6"/>
      <c r="F2" s="19" t="s">
        <v>4</v>
      </c>
      <c r="G2" s="6"/>
      <c r="H2" s="6"/>
      <c r="I2" s="6"/>
      <c r="J2" s="6"/>
      <c r="K2" s="6"/>
      <c r="L2" s="6"/>
      <c r="M2" s="6"/>
    </row>
    <row r="3" spans="1:13">
      <c r="A3" s="6"/>
      <c r="B3" s="6"/>
      <c r="C3" s="6"/>
      <c r="E3" s="6"/>
      <c r="F3" s="6"/>
      <c r="G3" s="6"/>
      <c r="H3" s="6"/>
      <c r="I3" s="6"/>
      <c r="J3" s="6"/>
      <c r="K3" s="6"/>
      <c r="L3" s="6"/>
      <c r="M3" s="6"/>
    </row>
    <row r="4" spans="1:13">
      <c r="A4" s="6"/>
      <c r="B4" s="6"/>
      <c r="C4" s="6"/>
      <c r="H4" s="31">
        <v>6</v>
      </c>
      <c r="J4" s="31">
        <v>7</v>
      </c>
      <c r="L4" s="31">
        <v>8</v>
      </c>
      <c r="M4" s="31">
        <v>9</v>
      </c>
    </row>
    <row r="5" spans="1:13" ht="34.9" customHeight="1">
      <c r="A5" s="38" t="s">
        <v>5</v>
      </c>
      <c r="B5" s="38"/>
      <c r="C5" s="38"/>
      <c r="F5" s="10" t="s">
        <v>6</v>
      </c>
      <c r="G5" s="11" t="s">
        <v>10</v>
      </c>
      <c r="H5" s="10" t="s">
        <v>9</v>
      </c>
      <c r="I5" s="11" t="s">
        <v>7</v>
      </c>
      <c r="J5" s="10" t="s">
        <v>8</v>
      </c>
      <c r="K5" s="10" t="s">
        <v>12</v>
      </c>
      <c r="L5" s="10" t="s">
        <v>54</v>
      </c>
      <c r="M5" s="10" t="s">
        <v>13</v>
      </c>
    </row>
    <row r="6" spans="1:13" ht="18" customHeight="1">
      <c r="A6" s="6"/>
      <c r="B6" s="6"/>
      <c r="C6" s="6"/>
      <c r="F6" s="8">
        <v>1</v>
      </c>
      <c r="G6" s="8" t="s">
        <v>35</v>
      </c>
      <c r="H6" s="37" t="str">
        <f>VLOOKUP(G6,CHOOSE({1,2},$M$28:$M$32,$L$28:$L$32),2,FALSE)</f>
        <v>B003</v>
      </c>
      <c r="I6" s="8" t="s">
        <v>14</v>
      </c>
      <c r="J6" s="9" t="str" cm="1">
        <f t="array" ref="J6">VLOOKUP(I6,CHOOSE({1,2},TRANSPOSE($L$23:$N$23),TRANSPOSE($L$24:$N$24)),2,0)</f>
        <v>Toko Bagus</v>
      </c>
      <c r="K6" s="8">
        <v>68</v>
      </c>
      <c r="L6" s="33">
        <f>IFERROR(VLOOKUP("*"&amp;H6,$O$28:$Q$32,2,0),INDEX($Q$28:$Q$32,MATCH("*"&amp;H6&amp;"*",$O$28:$O$32,0)))</f>
        <v>30200</v>
      </c>
      <c r="M6" s="33">
        <f>VLOOKUP(K6,{1,25000;30,50000;50,100000;80,250000},2,1)</f>
        <v>100000</v>
      </c>
    </row>
    <row r="7" spans="1:13" ht="18" customHeight="1">
      <c r="A7" s="6"/>
      <c r="B7" s="6"/>
      <c r="C7" s="6"/>
      <c r="F7" s="8">
        <v>2</v>
      </c>
      <c r="G7" s="8" t="s">
        <v>37</v>
      </c>
      <c r="H7" s="37" t="str">
        <f>VLOOKUP(G7,CHOOSE({1,2},$M$28:$M$32,$L$28:$L$32),2,FALSE)</f>
        <v>B004</v>
      </c>
      <c r="I7" s="8" t="s">
        <v>16</v>
      </c>
      <c r="J7" s="9" t="str" cm="1">
        <f t="array" ref="J7">VLOOKUP(I7,CHOOSE({1,2},TRANSPOSE($L$23:$N$23),TRANSPOSE($L$24:$N$24)),2,0)</f>
        <v>Toko Cemerlang</v>
      </c>
      <c r="K7" s="8">
        <v>39</v>
      </c>
      <c r="L7" s="33">
        <f t="shared" ref="L7:L20" si="0">IFERROR(VLOOKUP("*"&amp;H7,$O$28:$Q$32,2,0),INDEX($Q$28:$Q$32,MATCH("*"&amp;H7&amp;"*",$O$28:$O$32,0)))</f>
        <v>32500</v>
      </c>
      <c r="M7" s="33">
        <f>VLOOKUP(K7,{1,25000;30,50000;50,100000;80,250000},2,1)</f>
        <v>50000</v>
      </c>
    </row>
    <row r="8" spans="1:13" ht="18" customHeight="1">
      <c r="A8" s="6"/>
      <c r="B8" s="6"/>
      <c r="C8" s="6"/>
      <c r="F8" s="8">
        <v>3</v>
      </c>
      <c r="G8" s="8" t="s">
        <v>33</v>
      </c>
      <c r="H8" s="37" t="str">
        <f>VLOOKUP(G8,CHOOSE({1,2},$M$28:$M$32,$L$28:$L$32),2,FALSE)</f>
        <v>B002</v>
      </c>
      <c r="I8" s="8" t="s">
        <v>18</v>
      </c>
      <c r="J8" s="9" t="str" cm="1">
        <f t="array" ref="J8">VLOOKUP(I8,CHOOSE({1,2},TRANSPOSE($L$23:$N$23),TRANSPOSE($L$24:$N$24)),2,0)</f>
        <v>Toko Bahagia</v>
      </c>
      <c r="K8" s="8">
        <v>31</v>
      </c>
      <c r="L8" s="33">
        <f t="shared" si="0"/>
        <v>19900</v>
      </c>
      <c r="M8" s="33">
        <f>VLOOKUP(K8,{1,25000;30,50000;50,100000;80,250000},2,1)</f>
        <v>50000</v>
      </c>
    </row>
    <row r="9" spans="1:13" ht="18" customHeight="1">
      <c r="A9" s="6"/>
      <c r="B9" s="6"/>
      <c r="C9" s="6"/>
      <c r="F9" s="8">
        <v>4</v>
      </c>
      <c r="G9" s="8" t="s">
        <v>31</v>
      </c>
      <c r="H9" s="37" t="str">
        <f>VLOOKUP(G9,CHOOSE({1,2},$M$28:$M$32,$L$28:$L$32),2,FALSE)</f>
        <v>B001</v>
      </c>
      <c r="I9" s="8" t="s">
        <v>14</v>
      </c>
      <c r="J9" s="9" t="str" cm="1">
        <f t="array" ref="J9">VLOOKUP(I9,CHOOSE({1,2},TRANSPOSE($L$23:$N$23),TRANSPOSE($L$24:$N$24)),2,0)</f>
        <v>Toko Bagus</v>
      </c>
      <c r="K9" s="8">
        <v>7</v>
      </c>
      <c r="L9" s="33">
        <f t="shared" si="0"/>
        <v>28000</v>
      </c>
      <c r="M9" s="33">
        <f>VLOOKUP(K9,{1,25000;30,50000;50,100000;80,250000},2,1)</f>
        <v>25000</v>
      </c>
    </row>
    <row r="10" spans="1:13" ht="18" customHeight="1">
      <c r="A10" s="6"/>
      <c r="B10" s="20" t="s">
        <v>55</v>
      </c>
      <c r="C10" s="6"/>
      <c r="F10" s="8">
        <v>5</v>
      </c>
      <c r="G10" s="8" t="s">
        <v>35</v>
      </c>
      <c r="H10" s="37" t="str">
        <f>VLOOKUP(G10,CHOOSE({1,2},$M$28:$M$32,$L$28:$L$32),2,FALSE)</f>
        <v>B003</v>
      </c>
      <c r="I10" s="8" t="s">
        <v>16</v>
      </c>
      <c r="J10" s="9" t="str" cm="1">
        <f t="array" ref="J10">VLOOKUP(I10,CHOOSE({1,2},TRANSPOSE($L$23:$N$23),TRANSPOSE($L$24:$N$24)),2,0)</f>
        <v>Toko Cemerlang</v>
      </c>
      <c r="K10" s="8">
        <v>53</v>
      </c>
      <c r="L10" s="33">
        <f t="shared" si="0"/>
        <v>30200</v>
      </c>
      <c r="M10" s="33">
        <f>VLOOKUP(K10,{1,25000;30,50000;50,100000;80,250000},2,1)</f>
        <v>100000</v>
      </c>
    </row>
    <row r="11" spans="1:13" ht="18" customHeight="1">
      <c r="A11" s="6"/>
      <c r="B11" s="6"/>
      <c r="C11" s="6"/>
      <c r="F11" s="8">
        <v>6</v>
      </c>
      <c r="G11" s="8" t="s">
        <v>33</v>
      </c>
      <c r="H11" s="37" t="str">
        <f>VLOOKUP(G11,CHOOSE({1,2},$M$28:$M$32,$L$28:$L$32),2,FALSE)</f>
        <v>B002</v>
      </c>
      <c r="I11" s="8" t="s">
        <v>14</v>
      </c>
      <c r="J11" s="9" t="str" cm="1">
        <f t="array" ref="J11">VLOOKUP(I11,CHOOSE({1,2},TRANSPOSE($L$23:$N$23),TRANSPOSE($L$24:$N$24)),2,0)</f>
        <v>Toko Bagus</v>
      </c>
      <c r="K11" s="8">
        <v>58</v>
      </c>
      <c r="L11" s="33">
        <f t="shared" si="0"/>
        <v>19900</v>
      </c>
      <c r="M11" s="33">
        <f>VLOOKUP(K11,{1,25000;30,50000;50,100000;80,250000},2,1)</f>
        <v>100000</v>
      </c>
    </row>
    <row r="12" spans="1:13" ht="18" customHeight="1">
      <c r="A12" s="18">
        <v>4</v>
      </c>
      <c r="B12" s="18" t="s">
        <v>56</v>
      </c>
      <c r="C12" s="6"/>
      <c r="F12" s="8">
        <v>7</v>
      </c>
      <c r="G12" s="8" t="s">
        <v>33</v>
      </c>
      <c r="H12" s="37" t="str">
        <f>VLOOKUP(G12,CHOOSE({1,2},$M$28:$M$32,$L$28:$L$32),2,FALSE)</f>
        <v>B002</v>
      </c>
      <c r="I12" s="8" t="s">
        <v>16</v>
      </c>
      <c r="J12" s="9" t="str" cm="1">
        <f t="array" ref="J12">VLOOKUP(I12,CHOOSE({1,2},TRANSPOSE($L$23:$N$23),TRANSPOSE($L$24:$N$24)),2,0)</f>
        <v>Toko Cemerlang</v>
      </c>
      <c r="K12" s="8">
        <v>27</v>
      </c>
      <c r="L12" s="33">
        <f t="shared" si="0"/>
        <v>19900</v>
      </c>
      <c r="M12" s="33">
        <f>VLOOKUP(K12,{1,25000;30,50000;50,100000;80,250000},2,1)</f>
        <v>25000</v>
      </c>
    </row>
    <row r="13" spans="1:13" ht="18" customHeight="1">
      <c r="A13" s="18">
        <v>5</v>
      </c>
      <c r="B13" s="39" t="s">
        <v>57</v>
      </c>
      <c r="C13" s="39"/>
      <c r="F13" s="8">
        <v>8</v>
      </c>
      <c r="G13" s="8" t="s">
        <v>31</v>
      </c>
      <c r="H13" s="37" t="str">
        <f>VLOOKUP(G13,CHOOSE({1,2},$M$28:$M$32,$L$28:$L$32),2,FALSE)</f>
        <v>B001</v>
      </c>
      <c r="I13" s="8" t="s">
        <v>16</v>
      </c>
      <c r="J13" s="9" t="str" cm="1">
        <f t="array" ref="J13">VLOOKUP(I13,CHOOSE({1,2},TRANSPOSE($L$23:$N$23),TRANSPOSE($L$24:$N$24)),2,0)</f>
        <v>Toko Cemerlang</v>
      </c>
      <c r="K13" s="8">
        <v>57</v>
      </c>
      <c r="L13" s="33">
        <f t="shared" si="0"/>
        <v>28000</v>
      </c>
      <c r="M13" s="33">
        <f>VLOOKUP(K13,{1,25000;30,50000;50,100000;80,250000},2,1)</f>
        <v>100000</v>
      </c>
    </row>
    <row r="14" spans="1:13" ht="18" customHeight="1">
      <c r="A14" s="6"/>
      <c r="B14" s="39"/>
      <c r="C14" s="39"/>
      <c r="F14" s="8">
        <v>9</v>
      </c>
      <c r="G14" s="8" t="s">
        <v>38</v>
      </c>
      <c r="H14" s="37" t="str">
        <f>VLOOKUP(G14,CHOOSE({1,2},$M$28:$M$32,$L$28:$L$32),2,FALSE)</f>
        <v>B005</v>
      </c>
      <c r="I14" s="8" t="s">
        <v>16</v>
      </c>
      <c r="J14" s="9" t="str" cm="1">
        <f t="array" ref="J14">VLOOKUP(I14,CHOOSE({1,2},TRANSPOSE($L$23:$N$23),TRANSPOSE($L$24:$N$24)),2,0)</f>
        <v>Toko Cemerlang</v>
      </c>
      <c r="K14" s="8">
        <v>15</v>
      </c>
      <c r="L14" s="33">
        <f t="shared" si="0"/>
        <v>23600</v>
      </c>
      <c r="M14" s="33">
        <f>VLOOKUP(K14,{1,25000;30,50000;50,100000;80,250000},2,1)</f>
        <v>25000</v>
      </c>
    </row>
    <row r="15" spans="1:13" ht="18" customHeight="1">
      <c r="A15" s="18">
        <v>6</v>
      </c>
      <c r="B15" s="18" t="s">
        <v>58</v>
      </c>
      <c r="C15" s="6"/>
      <c r="F15" s="8">
        <v>10</v>
      </c>
      <c r="G15" s="8" t="s">
        <v>31</v>
      </c>
      <c r="H15" s="37" t="str">
        <f>VLOOKUP(G15,CHOOSE({1,2},$M$28:$M$32,$L$28:$L$32),2,FALSE)</f>
        <v>B001</v>
      </c>
      <c r="I15" s="8" t="s">
        <v>18</v>
      </c>
      <c r="J15" s="9" t="str" cm="1">
        <f t="array" ref="J15">VLOOKUP(I15,CHOOSE({1,2},TRANSPOSE($L$23:$N$23),TRANSPOSE($L$24:$N$24)),2,0)</f>
        <v>Toko Bahagia</v>
      </c>
      <c r="K15" s="8">
        <v>56</v>
      </c>
      <c r="L15" s="33">
        <f t="shared" si="0"/>
        <v>28000</v>
      </c>
      <c r="M15" s="33">
        <f>VLOOKUP(K15,{1,25000;30,50000;50,100000;80,250000},2,1)</f>
        <v>100000</v>
      </c>
    </row>
    <row r="16" spans="1:13" ht="18" customHeight="1">
      <c r="A16" s="18">
        <v>7</v>
      </c>
      <c r="B16" s="18" t="s">
        <v>59</v>
      </c>
      <c r="C16" s="6"/>
      <c r="F16" s="8">
        <v>11</v>
      </c>
      <c r="G16" s="8" t="s">
        <v>37</v>
      </c>
      <c r="H16" s="37" t="str">
        <f>VLOOKUP(G16,CHOOSE({1,2},$M$28:$M$32,$L$28:$L$32),2,FALSE)</f>
        <v>B004</v>
      </c>
      <c r="I16" s="8" t="s">
        <v>18</v>
      </c>
      <c r="J16" s="9" t="str" cm="1">
        <f t="array" ref="J16">VLOOKUP(I16,CHOOSE({1,2},TRANSPOSE($L$23:$N$23),TRANSPOSE($L$24:$N$24)),2,0)</f>
        <v>Toko Bahagia</v>
      </c>
      <c r="K16" s="8">
        <v>63</v>
      </c>
      <c r="L16" s="33">
        <f t="shared" si="0"/>
        <v>32500</v>
      </c>
      <c r="M16" s="33">
        <f>VLOOKUP(K16,{1,25000;30,50000;50,100000;80,250000},2,1)</f>
        <v>100000</v>
      </c>
    </row>
    <row r="17" spans="1:17" ht="18" customHeight="1">
      <c r="A17" s="6"/>
      <c r="B17" s="6"/>
      <c r="C17" s="6"/>
      <c r="F17" s="8">
        <v>12</v>
      </c>
      <c r="G17" s="8" t="s">
        <v>37</v>
      </c>
      <c r="H17" s="37" t="str">
        <f>VLOOKUP(G17,CHOOSE({1,2},$M$28:$M$32,$L$28:$L$32),2,FALSE)</f>
        <v>B004</v>
      </c>
      <c r="I17" s="8" t="s">
        <v>14</v>
      </c>
      <c r="J17" s="9" t="str" cm="1">
        <f t="array" ref="J17">VLOOKUP(I17,CHOOSE({1,2},TRANSPOSE($L$23:$N$23),TRANSPOSE($L$24:$N$24)),2,0)</f>
        <v>Toko Bagus</v>
      </c>
      <c r="K17" s="8">
        <v>19</v>
      </c>
      <c r="L17" s="33">
        <f t="shared" si="0"/>
        <v>32500</v>
      </c>
      <c r="M17" s="33">
        <f>VLOOKUP(K17,{1,25000;30,50000;50,100000;80,250000},2,1)</f>
        <v>25000</v>
      </c>
    </row>
    <row r="18" spans="1:17" ht="18" customHeight="1">
      <c r="A18" s="6"/>
      <c r="B18" s="6"/>
      <c r="C18" s="6"/>
      <c r="F18" s="8">
        <v>13</v>
      </c>
      <c r="G18" s="8" t="s">
        <v>38</v>
      </c>
      <c r="H18" s="37" t="str">
        <f>VLOOKUP(G18,CHOOSE({1,2},$M$28:$M$32,$L$28:$L$32),2,FALSE)</f>
        <v>B005</v>
      </c>
      <c r="I18" s="8" t="s">
        <v>18</v>
      </c>
      <c r="J18" s="9" t="str" cm="1">
        <f t="array" ref="J18">VLOOKUP(I18,CHOOSE({1,2},TRANSPOSE($L$23:$N$23),TRANSPOSE($L$24:$N$24)),2,0)</f>
        <v>Toko Bahagia</v>
      </c>
      <c r="K18" s="8">
        <v>95</v>
      </c>
      <c r="L18" s="33">
        <f t="shared" si="0"/>
        <v>23600</v>
      </c>
      <c r="M18" s="33">
        <f>VLOOKUP(K18,{1,25000;30,50000;50,100000;80,250000},2,1)</f>
        <v>250000</v>
      </c>
    </row>
    <row r="19" spans="1:17" ht="18" customHeight="1">
      <c r="A19" s="6"/>
      <c r="B19" s="6"/>
      <c r="C19" s="6"/>
      <c r="F19" s="8">
        <v>14</v>
      </c>
      <c r="G19" s="8" t="s">
        <v>38</v>
      </c>
      <c r="H19" s="37" t="str">
        <f>VLOOKUP(G19,CHOOSE({1,2},$M$28:$M$32,$L$28:$L$32),2,FALSE)</f>
        <v>B005</v>
      </c>
      <c r="I19" s="8" t="s">
        <v>14</v>
      </c>
      <c r="J19" s="9" t="str" cm="1">
        <f t="array" ref="J19">VLOOKUP(I19,CHOOSE({1,2},TRANSPOSE($L$23:$N$23),TRANSPOSE($L$24:$N$24)),2,0)</f>
        <v>Toko Bagus</v>
      </c>
      <c r="K19" s="8">
        <v>66</v>
      </c>
      <c r="L19" s="33">
        <f t="shared" si="0"/>
        <v>23600</v>
      </c>
      <c r="M19" s="33">
        <f>VLOOKUP(K19,{1,25000;30,50000;50,100000;80,250000},2,1)</f>
        <v>100000</v>
      </c>
    </row>
    <row r="20" spans="1:17" ht="18" customHeight="1">
      <c r="A20" s="6"/>
      <c r="B20" s="6"/>
      <c r="C20" s="6"/>
      <c r="F20" s="8">
        <v>15</v>
      </c>
      <c r="G20" s="8" t="s">
        <v>35</v>
      </c>
      <c r="H20" s="37" t="str">
        <f>VLOOKUP(G20,CHOOSE({1,2},$M$28:$M$32,$L$28:$L$32),2,FALSE)</f>
        <v>B003</v>
      </c>
      <c r="I20" s="8" t="s">
        <v>18</v>
      </c>
      <c r="J20" s="9" t="str" cm="1">
        <f t="array" ref="J20">VLOOKUP(I20,CHOOSE({1,2},TRANSPOSE($L$23:$N$23),TRANSPOSE($L$24:$N$24)),2,0)</f>
        <v>Toko Bahagia</v>
      </c>
      <c r="K20" s="8">
        <v>62</v>
      </c>
      <c r="L20" s="33">
        <f t="shared" si="0"/>
        <v>30200</v>
      </c>
      <c r="M20" s="33">
        <f>VLOOKUP(K20,{1,25000;30,50000;50,100000;80,250000},2,1)</f>
        <v>100000</v>
      </c>
    </row>
    <row r="21" spans="1:17">
      <c r="A21" s="6"/>
      <c r="B21" s="6"/>
      <c r="C21" s="6"/>
    </row>
    <row r="22" spans="1:17">
      <c r="A22" s="6"/>
      <c r="B22" s="6"/>
      <c r="C22" s="6"/>
      <c r="K22" s="42" t="s">
        <v>60</v>
      </c>
      <c r="L22" s="43"/>
      <c r="M22" s="43"/>
      <c r="N22" s="44"/>
    </row>
    <row r="23" spans="1:17">
      <c r="A23" s="6"/>
      <c r="B23" s="6"/>
      <c r="C23" s="6"/>
      <c r="K23" s="3" t="s">
        <v>27</v>
      </c>
      <c r="L23" s="5" t="s">
        <v>16</v>
      </c>
      <c r="M23" s="5" t="s">
        <v>14</v>
      </c>
      <c r="N23" s="5" t="s">
        <v>18</v>
      </c>
    </row>
    <row r="24" spans="1:17">
      <c r="A24" s="6"/>
      <c r="B24" s="6"/>
      <c r="C24" s="6"/>
      <c r="F24" s="30" t="s">
        <v>26</v>
      </c>
      <c r="K24" s="2" t="s">
        <v>43</v>
      </c>
      <c r="L24" s="1" t="s">
        <v>45</v>
      </c>
      <c r="M24" s="1" t="s">
        <v>47</v>
      </c>
      <c r="N24" s="1" t="s">
        <v>49</v>
      </c>
    </row>
    <row r="25" spans="1:17">
      <c r="A25" s="6"/>
      <c r="B25" s="6"/>
      <c r="C25" s="6"/>
      <c r="F25">
        <v>6</v>
      </c>
      <c r="G25" t="s">
        <v>61</v>
      </c>
    </row>
    <row r="26" spans="1:17">
      <c r="A26" s="6"/>
      <c r="B26" s="6"/>
      <c r="C26" s="6"/>
      <c r="F26">
        <v>7</v>
      </c>
      <c r="G26" t="s">
        <v>62</v>
      </c>
      <c r="K26" s="21" t="s">
        <v>63</v>
      </c>
      <c r="L26" s="22"/>
      <c r="M26" s="23"/>
      <c r="O26" s="12" t="s">
        <v>64</v>
      </c>
      <c r="P26" s="13"/>
      <c r="Q26" s="14"/>
    </row>
    <row r="27" spans="1:17">
      <c r="A27" s="6"/>
      <c r="B27" s="6"/>
      <c r="C27" s="6"/>
      <c r="F27">
        <v>8</v>
      </c>
      <c r="G27" t="s">
        <v>65</v>
      </c>
      <c r="K27" s="28" t="s">
        <v>6</v>
      </c>
      <c r="L27" s="28" t="s">
        <v>27</v>
      </c>
      <c r="M27" s="28" t="s">
        <v>28</v>
      </c>
      <c r="O27" s="42" t="s">
        <v>27</v>
      </c>
      <c r="P27" s="44"/>
      <c r="Q27" s="29" t="s">
        <v>29</v>
      </c>
    </row>
    <row r="28" spans="1:17">
      <c r="A28" s="6"/>
      <c r="B28" s="6"/>
      <c r="C28" s="6"/>
      <c r="F28">
        <v>9</v>
      </c>
      <c r="G28" t="s">
        <v>66</v>
      </c>
      <c r="K28" s="1">
        <v>1</v>
      </c>
      <c r="L28" s="16" t="s">
        <v>20</v>
      </c>
      <c r="M28" s="16" t="s">
        <v>31</v>
      </c>
      <c r="O28" s="40" t="s">
        <v>67</v>
      </c>
      <c r="P28" s="41"/>
      <c r="Q28" s="4">
        <v>19900</v>
      </c>
    </row>
    <row r="29" spans="1:17">
      <c r="A29" s="6"/>
      <c r="B29" s="6"/>
      <c r="C29" s="6"/>
      <c r="G29" t="s">
        <v>68</v>
      </c>
      <c r="K29" s="1">
        <v>2</v>
      </c>
      <c r="L29" s="16" t="s">
        <v>19</v>
      </c>
      <c r="M29" s="16" t="s">
        <v>33</v>
      </c>
      <c r="O29" s="40" t="s">
        <v>69</v>
      </c>
      <c r="P29" s="41"/>
      <c r="Q29" s="4">
        <v>23600</v>
      </c>
    </row>
    <row r="30" spans="1:17">
      <c r="A30" s="6"/>
      <c r="B30" s="6"/>
      <c r="C30" s="6"/>
      <c r="G30" t="s">
        <v>70</v>
      </c>
      <c r="K30" s="1">
        <v>3</v>
      </c>
      <c r="L30" s="16" t="s">
        <v>15</v>
      </c>
      <c r="M30" s="16" t="s">
        <v>35</v>
      </c>
      <c r="O30" s="40" t="s">
        <v>71</v>
      </c>
      <c r="P30" s="41"/>
      <c r="Q30" s="4">
        <v>28000</v>
      </c>
    </row>
    <row r="31" spans="1:17">
      <c r="A31" s="6"/>
      <c r="B31" s="6"/>
      <c r="C31" s="6"/>
      <c r="G31" t="s">
        <v>72</v>
      </c>
      <c r="K31" s="1">
        <v>4</v>
      </c>
      <c r="L31" s="16" t="s">
        <v>17</v>
      </c>
      <c r="M31" s="16" t="s">
        <v>37</v>
      </c>
      <c r="O31" s="40" t="s">
        <v>73</v>
      </c>
      <c r="P31" s="41"/>
      <c r="Q31" s="4">
        <v>30200</v>
      </c>
    </row>
    <row r="32" spans="1:17">
      <c r="A32" s="6"/>
      <c r="B32" s="6"/>
      <c r="C32" s="6"/>
      <c r="G32" t="s">
        <v>74</v>
      </c>
      <c r="K32" s="1">
        <v>5</v>
      </c>
      <c r="L32" s="16" t="s">
        <v>24</v>
      </c>
      <c r="M32" s="16" t="s">
        <v>38</v>
      </c>
      <c r="O32" s="40" t="s">
        <v>75</v>
      </c>
      <c r="P32" s="41"/>
      <c r="Q32" s="4">
        <v>32500</v>
      </c>
    </row>
    <row r="33" spans="1:3">
      <c r="A33" s="6"/>
      <c r="B33" s="6"/>
      <c r="C33" s="6"/>
    </row>
  </sheetData>
  <mergeCells count="9">
    <mergeCell ref="O29:P29"/>
    <mergeCell ref="O30:P30"/>
    <mergeCell ref="O31:P31"/>
    <mergeCell ref="O32:P32"/>
    <mergeCell ref="A5:C5"/>
    <mergeCell ref="B13:C14"/>
    <mergeCell ref="K22:N22"/>
    <mergeCell ref="O27:P27"/>
    <mergeCell ref="O28:P2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69AC-7CD4-493F-A8AA-7F5E29F7288E}">
  <sheetPr codeName="Sheet6"/>
  <dimension ref="A1:O32"/>
  <sheetViews>
    <sheetView workbookViewId="0">
      <selection activeCell="H6" sqref="H6"/>
    </sheetView>
  </sheetViews>
  <sheetFormatPr defaultRowHeight="14.45"/>
  <cols>
    <col min="1" max="1" width="10.28515625" customWidth="1"/>
    <col min="2" max="3" width="13.28515625" customWidth="1"/>
    <col min="4" max="4" width="5.42578125" customWidth="1"/>
    <col min="5" max="5" width="10.85546875" customWidth="1"/>
    <col min="6" max="6" width="22.5703125" customWidth="1"/>
    <col min="7" max="7" width="25" customWidth="1"/>
    <col min="8" max="8" width="21.7109375" customWidth="1"/>
    <col min="9" max="9" width="23.42578125" customWidth="1"/>
    <col min="10" max="10" width="20.85546875" customWidth="1"/>
    <col min="11" max="11" width="16.28515625" customWidth="1"/>
    <col min="12" max="12" width="21.42578125" customWidth="1"/>
    <col min="13" max="13" width="20.7109375" customWidth="1"/>
    <col min="14" max="14" width="12.28515625" bestFit="1" customWidth="1"/>
    <col min="15" max="15" width="10.28515625" customWidth="1"/>
    <col min="17" max="17" width="16.7109375" customWidth="1"/>
    <col min="18" max="18" width="18.140625" customWidth="1"/>
  </cols>
  <sheetData>
    <row r="1" spans="1:15">
      <c r="A1" s="6"/>
      <c r="B1" s="6"/>
      <c r="C1" s="6"/>
      <c r="E1" s="6"/>
      <c r="F1" s="6"/>
      <c r="G1" s="6"/>
      <c r="H1" s="6"/>
      <c r="I1" s="6"/>
      <c r="J1" s="6"/>
      <c r="K1" s="6"/>
      <c r="L1" s="6"/>
      <c r="M1" s="6"/>
    </row>
    <row r="2" spans="1:15" ht="29.45">
      <c r="A2" s="6"/>
      <c r="B2" s="6"/>
      <c r="C2" s="6"/>
      <c r="E2" s="6"/>
      <c r="F2" s="19" t="s">
        <v>4</v>
      </c>
      <c r="G2" s="6"/>
      <c r="H2" s="6"/>
      <c r="I2" s="6"/>
      <c r="J2" s="6"/>
      <c r="K2" s="6"/>
      <c r="L2" s="6"/>
      <c r="M2" s="6"/>
    </row>
    <row r="3" spans="1:15">
      <c r="A3" s="6"/>
      <c r="B3" s="6"/>
      <c r="C3" s="6"/>
      <c r="E3" s="6"/>
      <c r="F3" s="6"/>
      <c r="G3" s="6"/>
      <c r="H3" s="6"/>
      <c r="I3" s="6"/>
      <c r="J3" s="6"/>
      <c r="K3" s="6"/>
      <c r="L3" s="6"/>
      <c r="M3" s="6"/>
    </row>
    <row r="4" spans="1:15">
      <c r="A4" s="6"/>
      <c r="B4" s="6"/>
      <c r="C4" s="6"/>
      <c r="H4" s="31" t="s">
        <v>13</v>
      </c>
    </row>
    <row r="5" spans="1:15" ht="34.9" customHeight="1">
      <c r="A5" s="38" t="s">
        <v>5</v>
      </c>
      <c r="B5" s="38"/>
      <c r="C5" s="38"/>
      <c r="F5" s="10" t="s">
        <v>6</v>
      </c>
      <c r="G5" s="11" t="s">
        <v>9</v>
      </c>
      <c r="H5" s="10" t="s">
        <v>28</v>
      </c>
      <c r="I5" s="11" t="s">
        <v>29</v>
      </c>
      <c r="J5" s="10" t="s">
        <v>76</v>
      </c>
    </row>
    <row r="6" spans="1:15" ht="18" customHeight="1">
      <c r="A6" s="6"/>
      <c r="B6" s="6"/>
      <c r="C6" s="6"/>
      <c r="F6" s="8">
        <v>1</v>
      </c>
      <c r="G6" s="8" t="s">
        <v>15</v>
      </c>
      <c r="H6" s="9" t="str" cm="1">
        <f t="array" ref="H6:J6">VLOOKUP(G6,$L$8:$O$12,{2,3,4},FALSE)</f>
        <v>Pembersih Lantai</v>
      </c>
      <c r="I6" s="33">
        <v>30200</v>
      </c>
      <c r="J6" s="9" t="str">
        <v>Botol</v>
      </c>
      <c r="L6" s="21" t="s">
        <v>25</v>
      </c>
      <c r="M6" s="22"/>
      <c r="N6" s="23"/>
      <c r="O6" s="23"/>
    </row>
    <row r="7" spans="1:15" ht="18" customHeight="1">
      <c r="A7" s="6"/>
      <c r="B7" s="6"/>
      <c r="C7" s="6"/>
      <c r="F7" s="8">
        <v>2</v>
      </c>
      <c r="G7" s="8" t="s">
        <v>17</v>
      </c>
      <c r="H7" s="9" t="str" cm="1">
        <f t="array" ref="H7:J7">VLOOKUP(G7,$L$8:$O$12,{2,3,4},FALSE)</f>
        <v>Pewangi Pakaian</v>
      </c>
      <c r="I7" s="33">
        <v>32500</v>
      </c>
      <c r="J7" s="9" t="str">
        <v>Pcs</v>
      </c>
      <c r="L7" s="28" t="s">
        <v>27</v>
      </c>
      <c r="M7" s="28" t="s">
        <v>28</v>
      </c>
      <c r="N7" s="29" t="s">
        <v>29</v>
      </c>
      <c r="O7" s="29" t="s">
        <v>76</v>
      </c>
    </row>
    <row r="8" spans="1:15" ht="18" customHeight="1">
      <c r="A8" s="6"/>
      <c r="B8" s="6"/>
      <c r="C8" s="6"/>
      <c r="F8" s="8">
        <v>3</v>
      </c>
      <c r="G8" s="8" t="s">
        <v>19</v>
      </c>
      <c r="H8" s="9" t="str" cm="1">
        <f t="array" ref="H8:J8">VLOOKUP(G8,$L$8:$O$12,{2,3,4},FALSE)</f>
        <v>Sabun Cuci Piring</v>
      </c>
      <c r="I8" s="33">
        <v>19900</v>
      </c>
      <c r="J8" s="9" t="str">
        <v>Pcs</v>
      </c>
      <c r="L8" s="16" t="s">
        <v>20</v>
      </c>
      <c r="M8" s="16" t="s">
        <v>31</v>
      </c>
      <c r="N8" s="4">
        <v>28000</v>
      </c>
      <c r="O8" s="4" t="s">
        <v>77</v>
      </c>
    </row>
    <row r="9" spans="1:15" ht="18" customHeight="1">
      <c r="A9" s="6"/>
      <c r="B9" s="6"/>
      <c r="C9" s="6"/>
      <c r="F9" s="8">
        <v>4</v>
      </c>
      <c r="G9" s="8" t="s">
        <v>20</v>
      </c>
      <c r="H9" s="9" t="str" cm="1">
        <f t="array" ref="H9:J9">VLOOKUP(G9,$L$8:$O$12,{2,3,4},FALSE)</f>
        <v>Detergen</v>
      </c>
      <c r="I9" s="33">
        <v>28000</v>
      </c>
      <c r="J9" s="9" t="str">
        <v>Pcs</v>
      </c>
      <c r="L9" s="16" t="s">
        <v>19</v>
      </c>
      <c r="M9" s="16" t="s">
        <v>33</v>
      </c>
      <c r="N9" s="4">
        <v>19900</v>
      </c>
      <c r="O9" s="4" t="s">
        <v>77</v>
      </c>
    </row>
    <row r="10" spans="1:15" ht="18" customHeight="1">
      <c r="A10" s="6"/>
      <c r="B10" s="20" t="s">
        <v>78</v>
      </c>
      <c r="C10" s="6"/>
      <c r="F10" s="8">
        <v>5</v>
      </c>
      <c r="G10" s="8" t="s">
        <v>15</v>
      </c>
      <c r="H10" s="9" t="str" cm="1">
        <f t="array" ref="H10:J10">VLOOKUP(G10,$L$8:$O$12,{2,3,4},FALSE)</f>
        <v>Pembersih Lantai</v>
      </c>
      <c r="I10" s="33">
        <v>30200</v>
      </c>
      <c r="J10" s="9" t="str">
        <v>Botol</v>
      </c>
      <c r="L10" s="16" t="s">
        <v>15</v>
      </c>
      <c r="M10" s="16" t="s">
        <v>35</v>
      </c>
      <c r="N10" s="4">
        <v>30200</v>
      </c>
      <c r="O10" s="4" t="s">
        <v>79</v>
      </c>
    </row>
    <row r="11" spans="1:15" ht="18" customHeight="1">
      <c r="A11" s="6"/>
      <c r="B11" s="6"/>
      <c r="C11" s="6"/>
      <c r="F11" s="8">
        <v>6</v>
      </c>
      <c r="G11" s="8" t="s">
        <v>19</v>
      </c>
      <c r="H11" s="9" t="str" cm="1">
        <f t="array" ref="H11:J11">VLOOKUP(G11,$L$8:$O$12,{2,3,4},FALSE)</f>
        <v>Sabun Cuci Piring</v>
      </c>
      <c r="I11" s="33">
        <v>19900</v>
      </c>
      <c r="J11" s="9" t="str">
        <v>Pcs</v>
      </c>
      <c r="L11" s="16" t="s">
        <v>17</v>
      </c>
      <c r="M11" s="16" t="s">
        <v>37</v>
      </c>
      <c r="N11" s="4">
        <v>32500</v>
      </c>
      <c r="O11" s="4" t="s">
        <v>77</v>
      </c>
    </row>
    <row r="12" spans="1:15" ht="18" customHeight="1">
      <c r="A12" s="18">
        <v>8</v>
      </c>
      <c r="B12" s="18" t="s">
        <v>80</v>
      </c>
      <c r="C12" s="6"/>
      <c r="F12" s="8">
        <v>7</v>
      </c>
      <c r="G12" s="8" t="s">
        <v>19</v>
      </c>
      <c r="H12" s="9" t="str" cm="1">
        <f t="array" ref="H12:J12">VLOOKUP(G12,$L$8:$O$12,{2,3,4},FALSE)</f>
        <v>Sabun Cuci Piring</v>
      </c>
      <c r="I12" s="33">
        <v>19900</v>
      </c>
      <c r="J12" s="9" t="str">
        <v>Pcs</v>
      </c>
      <c r="L12" s="16" t="s">
        <v>24</v>
      </c>
      <c r="M12" s="16" t="s">
        <v>38</v>
      </c>
      <c r="N12" s="4">
        <v>23600</v>
      </c>
      <c r="O12" s="4" t="s">
        <v>81</v>
      </c>
    </row>
    <row r="13" spans="1:15" ht="18" customHeight="1">
      <c r="A13" s="18"/>
      <c r="B13" s="39"/>
      <c r="C13" s="39"/>
      <c r="F13" s="8">
        <v>8</v>
      </c>
      <c r="G13" s="8" t="s">
        <v>20</v>
      </c>
      <c r="H13" s="9" t="str" cm="1">
        <f t="array" ref="H13:J13">VLOOKUP(G13,$L$8:$O$12,{2,3,4},FALSE)</f>
        <v>Detergen</v>
      </c>
      <c r="I13" s="33">
        <v>28000</v>
      </c>
      <c r="J13" s="9" t="str">
        <v>Pcs</v>
      </c>
    </row>
    <row r="14" spans="1:15" ht="18" customHeight="1">
      <c r="A14" s="6"/>
      <c r="B14" s="39"/>
      <c r="C14" s="39"/>
      <c r="F14" s="8">
        <v>9</v>
      </c>
      <c r="G14" s="8" t="s">
        <v>24</v>
      </c>
      <c r="H14" s="9" t="str" cm="1">
        <f t="array" ref="H14:J14">VLOOKUP(G14,$L$8:$O$12,{2,3,4},FALSE)</f>
        <v>Minyak Goreng</v>
      </c>
      <c r="I14" s="33">
        <v>23600</v>
      </c>
      <c r="J14" s="9" t="str">
        <v>Liter</v>
      </c>
    </row>
    <row r="15" spans="1:15" ht="18" customHeight="1">
      <c r="A15" s="18"/>
      <c r="B15" s="36" t="s">
        <v>82</v>
      </c>
      <c r="C15" s="6"/>
      <c r="F15" s="8">
        <v>10</v>
      </c>
      <c r="G15" s="8" t="s">
        <v>20</v>
      </c>
      <c r="H15" s="9" t="str" cm="1">
        <f t="array" ref="H15:J15">VLOOKUP(G15,$L$8:$O$12,{2,3,4},FALSE)</f>
        <v>Detergen</v>
      </c>
      <c r="I15" s="33">
        <v>28000</v>
      </c>
      <c r="J15" s="9" t="str">
        <v>Pcs</v>
      </c>
    </row>
    <row r="16" spans="1:15" ht="18" customHeight="1">
      <c r="A16" s="18"/>
      <c r="B16" s="36"/>
      <c r="C16" s="6"/>
      <c r="F16" s="8">
        <v>11</v>
      </c>
      <c r="G16" s="8" t="s">
        <v>17</v>
      </c>
      <c r="H16" s="9" t="str" cm="1">
        <f t="array" ref="H16:J16">VLOOKUP(G16,$L$8:$O$12,{2,3,4},FALSE)</f>
        <v>Pewangi Pakaian</v>
      </c>
      <c r="I16" s="33">
        <v>32500</v>
      </c>
      <c r="J16" s="9" t="str">
        <v>Pcs</v>
      </c>
    </row>
    <row r="17" spans="1:10" ht="18" customHeight="1">
      <c r="A17" s="6"/>
      <c r="B17" s="36"/>
      <c r="C17" s="6"/>
      <c r="F17" s="8">
        <v>12</v>
      </c>
      <c r="G17" s="8" t="s">
        <v>17</v>
      </c>
      <c r="H17" s="9" t="str" cm="1">
        <f t="array" ref="H17:J17">VLOOKUP(G17,$L$8:$O$12,{2,3,4},FALSE)</f>
        <v>Pewangi Pakaian</v>
      </c>
      <c r="I17" s="33">
        <v>32500</v>
      </c>
      <c r="J17" s="9" t="str">
        <v>Pcs</v>
      </c>
    </row>
    <row r="18" spans="1:10" ht="18" customHeight="1">
      <c r="A18" s="6"/>
      <c r="B18" s="6"/>
      <c r="C18" s="6"/>
      <c r="F18" s="8">
        <v>13</v>
      </c>
      <c r="G18" s="8" t="s">
        <v>24</v>
      </c>
      <c r="H18" s="9" t="str" cm="1">
        <f t="array" ref="H18:J18">VLOOKUP(G18,$L$8:$O$12,{2,3,4},FALSE)</f>
        <v>Minyak Goreng</v>
      </c>
      <c r="I18" s="33">
        <v>23600</v>
      </c>
      <c r="J18" s="9" t="str">
        <v>Liter</v>
      </c>
    </row>
    <row r="19" spans="1:10" ht="18" customHeight="1">
      <c r="A19" s="6"/>
      <c r="B19" s="6"/>
      <c r="C19" s="6"/>
      <c r="F19" s="8">
        <v>14</v>
      </c>
      <c r="G19" s="8" t="s">
        <v>24</v>
      </c>
      <c r="H19" s="9" t="str" cm="1">
        <f t="array" ref="H19:J19">VLOOKUP(G19,$L$8:$O$12,{2,3,4},FALSE)</f>
        <v>Minyak Goreng</v>
      </c>
      <c r="I19" s="33">
        <v>23600</v>
      </c>
      <c r="J19" s="9" t="str">
        <v>Liter</v>
      </c>
    </row>
    <row r="20" spans="1:10" ht="18" customHeight="1">
      <c r="A20" s="6"/>
      <c r="B20" s="6"/>
      <c r="C20" s="6"/>
      <c r="F20" s="8">
        <v>15</v>
      </c>
      <c r="G20" s="8" t="s">
        <v>15</v>
      </c>
      <c r="H20" s="9" t="str" cm="1">
        <f t="array" ref="H20:J20">VLOOKUP(G20,$L$8:$O$12,{2,3,4},FALSE)</f>
        <v>Pembersih Lantai</v>
      </c>
      <c r="I20" s="33">
        <v>30200</v>
      </c>
      <c r="J20" s="9" t="str">
        <v>Botol</v>
      </c>
    </row>
    <row r="21" spans="1:10">
      <c r="A21" s="6"/>
      <c r="B21" s="6"/>
      <c r="C21" s="6"/>
    </row>
    <row r="22" spans="1:10">
      <c r="A22" s="6"/>
      <c r="B22" s="6"/>
      <c r="C22" s="6"/>
    </row>
    <row r="23" spans="1:10">
      <c r="A23" s="6"/>
      <c r="B23" s="6"/>
      <c r="C23" s="6"/>
      <c r="F23" s="30" t="s">
        <v>26</v>
      </c>
    </row>
    <row r="24" spans="1:10">
      <c r="A24" s="6"/>
      <c r="B24" s="6"/>
      <c r="C24" s="6"/>
      <c r="F24">
        <v>10</v>
      </c>
      <c r="G24" t="s">
        <v>83</v>
      </c>
    </row>
    <row r="25" spans="1:10">
      <c r="A25" s="6"/>
      <c r="B25" s="6"/>
      <c r="C25" s="6"/>
    </row>
    <row r="26" spans="1:10">
      <c r="A26" s="6"/>
      <c r="B26" s="6"/>
      <c r="C26" s="6"/>
    </row>
    <row r="27" spans="1:10">
      <c r="A27" s="6"/>
      <c r="B27" s="6"/>
      <c r="C27" s="6"/>
    </row>
    <row r="28" spans="1:10">
      <c r="A28" s="6"/>
      <c r="B28" s="6"/>
      <c r="C28" s="6"/>
    </row>
    <row r="29" spans="1:10">
      <c r="A29" s="6"/>
      <c r="B29" s="6"/>
      <c r="C29" s="6"/>
    </row>
    <row r="30" spans="1:10">
      <c r="A30" s="6"/>
      <c r="B30" s="6"/>
      <c r="C30" s="6"/>
    </row>
    <row r="31" spans="1:10">
      <c r="A31" s="6"/>
      <c r="B31" s="6"/>
      <c r="C31" s="6"/>
    </row>
    <row r="32" spans="1:10">
      <c r="A32" s="6"/>
      <c r="B32" s="6"/>
      <c r="C32" s="6"/>
    </row>
  </sheetData>
  <mergeCells count="2">
    <mergeCell ref="A5:C5"/>
    <mergeCell ref="B13:C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627B-B476-4AE3-BF08-1F5E04D408B3}">
  <sheetPr codeName="Sheet1"/>
  <dimension ref="A1:N22"/>
  <sheetViews>
    <sheetView workbookViewId="0">
      <selection activeCell="G33" sqref="G33"/>
    </sheetView>
  </sheetViews>
  <sheetFormatPr defaultRowHeight="14.45"/>
  <cols>
    <col min="3" max="3" width="11.85546875" customWidth="1"/>
    <col min="4" max="4" width="16" customWidth="1"/>
    <col min="5" max="5" width="13.42578125" customWidth="1"/>
  </cols>
  <sheetData>
    <row r="1" spans="1:14">
      <c r="A1" t="s">
        <v>84</v>
      </c>
      <c r="C1" t="s">
        <v>85</v>
      </c>
    </row>
    <row r="2" spans="1:14">
      <c r="A2" t="s">
        <v>86</v>
      </c>
      <c r="B2">
        <v>1</v>
      </c>
      <c r="C2" t="str">
        <f>VLOOKUP!H6</f>
        <v>Toko Bagus</v>
      </c>
      <c r="D2" t="str">
        <f>VLOOKUP!J6</f>
        <v>Pembersih Lantai</v>
      </c>
      <c r="E2">
        <f>VLOOKUP!K6</f>
        <v>30200</v>
      </c>
      <c r="F2" t="str">
        <f>VLOOKUP!M6</f>
        <v>Smartphone</v>
      </c>
      <c r="G2" t="str">
        <f>'VLOOKUP Multi Value'!I6</f>
        <v>Smartphone</v>
      </c>
      <c r="H2" t="str">
        <f>'VLOOKUP Advanced'!H6</f>
        <v>B003</v>
      </c>
      <c r="I2" t="str">
        <f>'VLOOKUP Advanced'!J6</f>
        <v>Toko Bagus</v>
      </c>
      <c r="J2">
        <f>'VLOOKUP Advanced'!L6</f>
        <v>30200</v>
      </c>
      <c r="K2">
        <f>'VLOOKUP Advanced'!M6</f>
        <v>100000</v>
      </c>
      <c r="M2">
        <v>1</v>
      </c>
      <c r="N2" t="str">
        <f ca="1">_xlfn.FORMULATEXT(VLOOKUP!H6)</f>
        <v>=VLOOKUP(G6;$L$33:$M$35;2;0)</v>
      </c>
    </row>
    <row r="3" spans="1:14">
      <c r="B3">
        <v>2</v>
      </c>
      <c r="C3" t="str">
        <f>VLOOKUP!H12</f>
        <v>Toko Cemerlang</v>
      </c>
      <c r="D3" t="str">
        <f>VLOOKUP!J12</f>
        <v>Sabun Cuci Piring</v>
      </c>
      <c r="E3">
        <f>VLOOKUP!K12</f>
        <v>19900</v>
      </c>
      <c r="F3" t="str">
        <f>VLOOKUP!M12</f>
        <v>Setrika</v>
      </c>
      <c r="G3" t="str">
        <f>'VLOOKUP Multi Value'!I12</f>
        <v>Setrika</v>
      </c>
      <c r="H3" t="str">
        <f>'VLOOKUP Advanced'!H12</f>
        <v>B002</v>
      </c>
      <c r="I3" t="str">
        <f>'VLOOKUP Advanced'!J12</f>
        <v>Toko Cemerlang</v>
      </c>
      <c r="J3">
        <f>'VLOOKUP Advanced'!L13</f>
        <v>28000</v>
      </c>
      <c r="K3">
        <f>'VLOOKUP Advanced'!M12</f>
        <v>25000</v>
      </c>
      <c r="M3">
        <v>2</v>
      </c>
      <c r="N3" t="str">
        <f ca="1">_xlfn.FORMULATEXT(VLOOKUP!J6)</f>
        <v>=VLOOKUP(I6;$K$25:$M$29;2;FALSE)</v>
      </c>
    </row>
    <row r="4" spans="1:14">
      <c r="B4">
        <v>3</v>
      </c>
      <c r="C4" t="str">
        <f>VLOOKUP!H20</f>
        <v>Toko Bahagia</v>
      </c>
      <c r="D4" t="str">
        <f>VLOOKUP!J20</f>
        <v>Pembersih Lantai</v>
      </c>
      <c r="E4">
        <f>VLOOKUP!K20</f>
        <v>30200</v>
      </c>
      <c r="F4" t="str">
        <f>VLOOKUP!M20</f>
        <v>Smartphone</v>
      </c>
      <c r="G4" t="str">
        <f>'VLOOKUP Multi Value'!I18</f>
        <v>Sepeda Motor</v>
      </c>
      <c r="H4" t="str">
        <f>'VLOOKUP Advanced'!H20</f>
        <v>B003</v>
      </c>
      <c r="I4" t="str">
        <f>'VLOOKUP Advanced'!J20</f>
        <v>Toko Bahagia</v>
      </c>
      <c r="J4">
        <f>'VLOOKUP Advanced'!L20</f>
        <v>30200</v>
      </c>
      <c r="K4">
        <f>'VLOOKUP Advanced'!M20</f>
        <v>100000</v>
      </c>
      <c r="M4">
        <v>3</v>
      </c>
      <c r="N4" t="str">
        <f ca="1">_xlfn.FORMULATEXT(VLOOKUP!K6)</f>
        <v>=VLOOKUP(I6;$K$25:$M$29;3;FALSE)</v>
      </c>
    </row>
    <row r="5" spans="1:14">
      <c r="B5">
        <v>4</v>
      </c>
      <c r="M5">
        <v>4</v>
      </c>
      <c r="N5" t="str">
        <f ca="1">_xlfn.FORMULATEXT(VLOOKUP!M6)</f>
        <v>=VLOOKUP(L6;$G$33:$I$36;3;TRUE)</v>
      </c>
    </row>
    <row r="6" spans="1:14"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M6">
        <v>5</v>
      </c>
      <c r="N6" t="str">
        <f ca="1">_xlfn.FORMULATEXT('VLOOKUP Multi Value'!I6)</f>
        <v>=VLOOKUP(G6&amp;H6;CHOOSE({1\2};VLOOKUP!$G$6:$G$20&amp;VLOOKUP!$I$6:$I$20;VLOOKUP!$M$6:$M$20);2;0)</v>
      </c>
    </row>
    <row r="7" spans="1:14">
      <c r="M7">
        <v>6</v>
      </c>
      <c r="N7" t="str">
        <f ca="1">_xlfn.FORMULATEXT('VLOOKUP Advanced'!H6)</f>
        <v>=VLOOKUP(G6;CHOOSE({1\2};$M$28:$M$32;$L$28:$L$32);2;FALSE)</v>
      </c>
    </row>
    <row r="8" spans="1:14">
      <c r="B8">
        <v>1</v>
      </c>
      <c r="C8" t="str">
        <f>RIGHT(C2,2)</f>
        <v>us</v>
      </c>
      <c r="D8" t="str">
        <f>RIGHT(D2,2)</f>
        <v>ai</v>
      </c>
      <c r="E8">
        <f>E2/100</f>
        <v>302</v>
      </c>
      <c r="F8" t="str">
        <f>RIGHT(F2,2)</f>
        <v>ne</v>
      </c>
      <c r="G8" t="str">
        <f>RIGHT(G2,2)</f>
        <v>ne</v>
      </c>
      <c r="H8">
        <f>RIGHT(H2,3)+0</f>
        <v>3</v>
      </c>
      <c r="I8" t="str">
        <f>RIGHT(I2,2)</f>
        <v>us</v>
      </c>
      <c r="J8">
        <f t="shared" ref="J8:K10" si="0">J2/100</f>
        <v>302</v>
      </c>
      <c r="K8">
        <f t="shared" si="0"/>
        <v>1000</v>
      </c>
      <c r="M8">
        <v>7</v>
      </c>
      <c r="N8" t="str">
        <f ca="1">_xlfn.FORMULATEXT('VLOOKUP Advanced'!J6)</f>
        <v>=VLOOKUP(I6;CHOOSE({1\2};TRANSPOSE($L$23:$N$23);TRANSPOSE($L$24:$N$24));2;0)</v>
      </c>
    </row>
    <row r="9" spans="1:14">
      <c r="B9">
        <v>2</v>
      </c>
      <c r="C9" t="str">
        <f>MID(C3,7,2)</f>
        <v>em</v>
      </c>
      <c r="D9" t="str">
        <f>LEFT(D3,2)</f>
        <v>Sa</v>
      </c>
      <c r="E9">
        <f>E3/100</f>
        <v>199</v>
      </c>
      <c r="F9" t="str">
        <f>LEFT(F3,2)</f>
        <v>Se</v>
      </c>
      <c r="G9" t="str">
        <f>LEFT(G3,2)</f>
        <v>Se</v>
      </c>
      <c r="H9">
        <f t="shared" ref="H9:H10" si="1">RIGHT(H3,3)+0</f>
        <v>2</v>
      </c>
      <c r="I9" t="str">
        <f>MID(I3,7,2)</f>
        <v>em</v>
      </c>
      <c r="J9">
        <f t="shared" si="0"/>
        <v>280</v>
      </c>
      <c r="K9">
        <f t="shared" si="0"/>
        <v>250</v>
      </c>
      <c r="M9">
        <v>8</v>
      </c>
      <c r="N9" t="str">
        <f ca="1">_xlfn.FORMULATEXT('VLOOKUP Advanced'!L6)</f>
        <v>=IFERROR(VLOOKUP("*"&amp;H6;$O$28:$Q$32;2;0);INDEX($Q$28:$Q$32;MATCH("*"&amp;H6&amp;"*";$O$28:$O$32;0)))</v>
      </c>
    </row>
    <row r="10" spans="1:14">
      <c r="B10">
        <v>3</v>
      </c>
      <c r="C10" t="str">
        <f>MID(C4,7,2)</f>
        <v>ah</v>
      </c>
      <c r="D10" t="str">
        <f>LEFT(D4)</f>
        <v>P</v>
      </c>
      <c r="E10">
        <f>E4/100</f>
        <v>302</v>
      </c>
      <c r="F10" t="str">
        <f>LEFT(F4)</f>
        <v>S</v>
      </c>
      <c r="G10" t="str">
        <f>LEFT(G4)</f>
        <v>S</v>
      </c>
      <c r="H10">
        <f t="shared" si="1"/>
        <v>3</v>
      </c>
      <c r="I10" t="str">
        <f>MID(I4,7,2)</f>
        <v>ah</v>
      </c>
      <c r="J10">
        <f t="shared" si="0"/>
        <v>302</v>
      </c>
      <c r="K10">
        <f t="shared" si="0"/>
        <v>1000</v>
      </c>
      <c r="M10">
        <v>9</v>
      </c>
      <c r="N10" t="str">
        <f ca="1">_xlfn.FORMULATEXT('VLOOKUP Advanced'!M6)</f>
        <v>=VLOOKUP(K6;{1\25000;30\50000;50\100000;80\250000};2;1)</v>
      </c>
    </row>
    <row r="11" spans="1:14">
      <c r="B11">
        <v>4</v>
      </c>
      <c r="C11" t="str">
        <f>MID(C2,6,1)&amp;MID(C3,6,1)&amp;MID(C4,6,1)</f>
        <v>BCB</v>
      </c>
      <c r="D11" t="str">
        <f>MID(D2,2,1)&amp;MID(D3,2,1)&amp;MID(D4,2,1)</f>
        <v>eae</v>
      </c>
      <c r="E11">
        <f>SUM(E8:E10)</f>
        <v>803</v>
      </c>
      <c r="F11" t="str">
        <f>MID(F2,2,1)&amp;MID(F3,2,1)&amp;MID(F4,2,1)</f>
        <v>mem</v>
      </c>
      <c r="G11" t="str">
        <f>MID(G2,2,1)&amp;MID(G3,2,1)&amp;MID(G4,2,1)</f>
        <v>mee</v>
      </c>
      <c r="H11">
        <f>SUM(H8:H10)</f>
        <v>8</v>
      </c>
      <c r="I11" t="str">
        <f>MID(I2,6,1)&amp;MID(I3,6,1)&amp;MID(I4,6,1)</f>
        <v>BCB</v>
      </c>
      <c r="J11">
        <f>SUM(J8:J10)</f>
        <v>884</v>
      </c>
      <c r="K11">
        <f>SUM(K8:K10)</f>
        <v>2250</v>
      </c>
    </row>
    <row r="12" spans="1:14">
      <c r="B12">
        <v>5</v>
      </c>
      <c r="C12" t="str">
        <f>IF(C2=0,"AGEBSFGA",UPPER(C8&amp;C9&amp;C10&amp;C11))</f>
        <v>USEMAHBCB</v>
      </c>
      <c r="D12" t="str">
        <f>IF(D2=0,"A231A2",UPPER(D8&amp;D9&amp;D10&amp;D11))</f>
        <v>AISAPEAE</v>
      </c>
      <c r="E12" t="str">
        <f>IF(E2=0,"155AG1",DEC2HEX(SUM(E8:E11)+SUM(VLOOKUP!K6:K20)))</f>
        <v>62AEE</v>
      </c>
      <c r="F12" t="str">
        <f>IF(F2=0,"HAG12",UPPER(F8&amp;F9&amp;F10&amp;F11))</f>
        <v>NESESMEM</v>
      </c>
      <c r="G12" t="str">
        <f>IF(G2=0,"65EF2",UPPER(G8&amp;G9&amp;G10&amp;G11))</f>
        <v>NESESMEE</v>
      </c>
      <c r="H12" t="str">
        <f>IF(H2=0,"9CV42A",DEC2HEX(UPPER(H8&amp;H9&amp;H10&amp;H11))&amp;"B23A")</f>
        <v>CA6B23A</v>
      </c>
      <c r="I12" t="str">
        <f>IF(I2=0,"12VA1",UPPER(I8&amp;I9&amp;I10&amp;I11))</f>
        <v>USEMAHBCB</v>
      </c>
      <c r="J12" t="str">
        <f>IF(J2=0,"71BX2",DEC2HEX(SUM(J8:J11)+SUM('VLOOKUP Advanced'!L6:L20)))</f>
        <v>62B90</v>
      </c>
      <c r="K12" t="str">
        <f>IF(K2=0,"RT12",DEC2HEX(SUM(K8:K11)+SUM('VLOOKUP Advanced'!M6:M20)))</f>
        <v>132464</v>
      </c>
    </row>
    <row r="14" spans="1:14">
      <c r="B14" t="s">
        <v>87</v>
      </c>
      <c r="C14">
        <f ca="1">ISNUMBER(FIND("VL",N2))+0</f>
        <v>1</v>
      </c>
      <c r="D14">
        <f ca="1">ISNUMBER(FIND("VL",N3))+0</f>
        <v>1</v>
      </c>
      <c r="E14">
        <f ca="1">ISNUMBER(FIND("VL",N4))+0</f>
        <v>1</v>
      </c>
      <c r="F14">
        <f ca="1">ISNUMBER(FIND("VL",N5))+0</f>
        <v>1</v>
      </c>
      <c r="G14">
        <f ca="1">AND(ISNUMBER(FIND("VL",N6)),ISNUMBER(FIND(CHAR(123),N6)))+0</f>
        <v>1</v>
      </c>
      <c r="H14">
        <f ca="1">AND(ISNUMBER(FIND("VL",N7)),ISNUMBER(FIND(CHAR(123),N7)))+0</f>
        <v>1</v>
      </c>
      <c r="I14">
        <f ca="1">ISNUMBER(FIND("VL",N8))+0</f>
        <v>1</v>
      </c>
      <c r="J14">
        <f ca="1">AND(ISNUMBER(FIND("VL",N9)),ISNUMBER(FIND(CHAR(42),N9)))+0</f>
        <v>1</v>
      </c>
      <c r="K14">
        <f ca="1">AND(ISNUMBER(FIND("VL",N10)),ISNUMBER(FIND(CHAR(123),N10)))+0</f>
        <v>1</v>
      </c>
    </row>
    <row r="16" spans="1:14">
      <c r="B16" t="b">
        <v>1</v>
      </c>
      <c r="C16" t="str">
        <f>RIGHT(C12,3)</f>
        <v>BCB</v>
      </c>
      <c r="D16" t="str">
        <f t="shared" ref="D16:K16" si="2">RIGHT(D12,3)</f>
        <v>EAE</v>
      </c>
      <c r="E16" t="str">
        <f t="shared" si="2"/>
        <v>AEE</v>
      </c>
      <c r="F16" t="str">
        <f t="shared" si="2"/>
        <v>MEM</v>
      </c>
      <c r="G16" t="str">
        <f t="shared" si="2"/>
        <v>MEE</v>
      </c>
      <c r="H16" t="str">
        <f t="shared" si="2"/>
        <v>23A</v>
      </c>
      <c r="I16" t="str">
        <f t="shared" si="2"/>
        <v>BCB</v>
      </c>
      <c r="J16" t="str">
        <f t="shared" si="2"/>
        <v>B90</v>
      </c>
      <c r="K16" t="str">
        <f t="shared" si="2"/>
        <v>464</v>
      </c>
    </row>
    <row r="17" spans="2:11">
      <c r="B17" t="b">
        <v>0</v>
      </c>
      <c r="C17" t="str">
        <f>LEFT(C12,3)</f>
        <v>USE</v>
      </c>
      <c r="D17" t="str">
        <f t="shared" ref="D17:K17" si="3">LEFT(D12,3)</f>
        <v>AIS</v>
      </c>
      <c r="E17" t="str">
        <f t="shared" si="3"/>
        <v>62A</v>
      </c>
      <c r="F17" t="str">
        <f t="shared" si="3"/>
        <v>NES</v>
      </c>
      <c r="G17" t="str">
        <f t="shared" si="3"/>
        <v>NES</v>
      </c>
      <c r="H17" t="str">
        <f t="shared" si="3"/>
        <v>CA6</v>
      </c>
      <c r="I17" t="str">
        <f t="shared" si="3"/>
        <v>USE</v>
      </c>
      <c r="J17" t="str">
        <f t="shared" si="3"/>
        <v>62B</v>
      </c>
      <c r="K17" t="str">
        <f t="shared" si="3"/>
        <v>132</v>
      </c>
    </row>
    <row r="19" spans="2:11">
      <c r="C19" t="str">
        <f ca="1">IF(ISNUMBER(FIND("VL",N2)),C16,C17)</f>
        <v>BCB</v>
      </c>
      <c r="D19" t="str">
        <f ca="1">IF(ISNUMBER(FIND("VL",N3)),D16,D17)</f>
        <v>EAE</v>
      </c>
      <c r="E19" t="str">
        <f ca="1">IF(ISNUMBER(FIND("VL",N4)),E16,E17)</f>
        <v>AEE</v>
      </c>
      <c r="F19" t="str">
        <f ca="1">IF(ISNUMBER(FIND("VL",N5)),F16,F17)</f>
        <v>MEM</v>
      </c>
      <c r="G19" t="str">
        <f ca="1">IF(ISNUMBER(FIND("VL",N6)),G16,G17)</f>
        <v>MEE</v>
      </c>
      <c r="H19" t="str">
        <f ca="1">IF(ISNUMBER(FIND("VL",N7)),H16,H17)</f>
        <v>23A</v>
      </c>
      <c r="I19" t="str">
        <f ca="1">IF(ISNUMBER(FIND("VL",N7)),I16,I17)</f>
        <v>BCB</v>
      </c>
      <c r="J19" t="str">
        <f ca="1">IF(ISNUMBER(FIND("VL",N9)),J16,J17)</f>
        <v>B90</v>
      </c>
      <c r="K19" t="str">
        <f ca="1">IF(ISNUMBER(FIND("VL",N10)),K16,K17)</f>
        <v>464</v>
      </c>
    </row>
    <row r="20" spans="2:11">
      <c r="C20" t="str">
        <f t="shared" ref="C20:J20" ca="1" si="4">C19&amp;"-"&amp;C12&amp;C14&amp;";"</f>
        <v>BCB-USEMAHBCB1;</v>
      </c>
      <c r="D20" t="str">
        <f t="shared" ca="1" si="4"/>
        <v>EAE-AISAPEAE1;</v>
      </c>
      <c r="E20" t="str">
        <f t="shared" ca="1" si="4"/>
        <v>AEE-62AEE1;</v>
      </c>
      <c r="F20" t="str">
        <f t="shared" ca="1" si="4"/>
        <v>MEM-NESESMEM1;</v>
      </c>
      <c r="G20" t="str">
        <f t="shared" ca="1" si="4"/>
        <v>MEE-NESESMEE1;</v>
      </c>
      <c r="H20" t="str">
        <f t="shared" ca="1" si="4"/>
        <v>23A-CA6B23A1;</v>
      </c>
      <c r="I20" t="str">
        <f t="shared" ca="1" si="4"/>
        <v>BCB-USEMAHBCB1;</v>
      </c>
      <c r="J20" t="str">
        <f t="shared" ca="1" si="4"/>
        <v>B90-62B901;</v>
      </c>
      <c r="K20" t="str">
        <f ca="1">K19&amp;"-"&amp;K12&amp;K14</f>
        <v>464-1324641</v>
      </c>
    </row>
    <row r="22" spans="2:11">
      <c r="C22" t="str">
        <f ca="1">A2&amp;"|"&amp;C20&amp;D20&amp;E20&amp;F20&amp;G20&amp;H20&amp;I20&amp;J20&amp;K20</f>
        <v>DEF1|BCB-USEMAHBCB1;EAE-AISAPEAE1;AEE-62AEE1;MEM-NESESMEM1;MEE-NESESMEE1;23A-CA6B23A1;BCB-USEMAHBCB1;B90-62B901;464-1324641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Siti Rukoyah Al Munazalah</cp:lastModifiedBy>
  <cp:revision/>
  <dcterms:created xsi:type="dcterms:W3CDTF">2006-09-16T00:00:00Z</dcterms:created>
  <dcterms:modified xsi:type="dcterms:W3CDTF">2026-06-12T19:15:48Z</dcterms:modified>
  <cp:category/>
  <cp:contentStatus/>
</cp:coreProperties>
</file>