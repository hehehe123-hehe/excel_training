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05D2947C-682E-4CDF-B75B-CCF33F8A1CB6}" xr6:coauthVersionLast="47" xr6:coauthVersionMax="47" xr10:uidLastSave="{00000000-0000-0000-0000-000000000000}"/>
  <workbookProtection workbookAlgorithmName="SHA-512" workbookHashValue="/jJsufqeT75LJXqxRNzziRdhYr6HViR0pmXLp93nSl5W0yIQ+045maXA8wVRaPig0mlyVEtjWiT/YFa8q3RDyw==" workbookSaltValue="dnYDBnMZcvmZisizbBdIsA==" workbookSpinCount="100000" lockStructure="1"/>
  <bookViews>
    <workbookView xWindow="-120" yWindow="-120" windowWidth="20730" windowHeight="11760" xr2:uid="{33C94010-728B-4A0E-9113-63E2DDFDB85C}"/>
  </bookViews>
  <sheets>
    <sheet name="XL-Test" sheetId="1" r:id="rId1"/>
    <sheet name="About" sheetId="6" r:id="rId2"/>
    <sheet name="DF" sheetId="5" state="veryHidden" r:id="rId3"/>
    <sheet name="LS" sheetId="2" r:id="rId4"/>
    <sheet name="SA" sheetId="3" r:id="rId5"/>
    <sheet name="PS" sheetId="4" r:id="rId6"/>
  </sheets>
  <definedNames>
    <definedName name="budi" localSheetId="2">DF!$O$75</definedName>
    <definedName name="eko" localSheetId="2">DF!$D$85</definedName>
    <definedName name="kode_jawaban">DF!$D$86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G7" i="1" a="1"/>
  <c r="H7" i="1"/>
  <c r="G8" i="1" a="1"/>
  <c r="H8" i="1"/>
  <c r="G9" i="1" a="1"/>
  <c r="H9" i="1"/>
  <c r="I9" i="1"/>
  <c r="G10" i="1" a="1"/>
  <c r="H10" i="1"/>
  <c r="G11" i="1" a="1"/>
  <c r="H11" i="1"/>
  <c r="G12" i="1" a="1"/>
  <c r="H12" i="1"/>
  <c r="G13" i="1" a="1"/>
  <c r="H13" i="1"/>
  <c r="G14" i="1" a="1"/>
  <c r="H14" i="1"/>
  <c r="G15" i="1" a="1"/>
  <c r="H15" i="1"/>
  <c r="G16" i="1" a="1"/>
  <c r="H16" i="1"/>
  <c r="G17" i="1" a="1"/>
  <c r="H17" i="1"/>
  <c r="G18" i="1" a="1"/>
  <c r="H18" i="1"/>
  <c r="G19" i="1" a="1"/>
  <c r="H19" i="1"/>
  <c r="G20" i="1" a="1"/>
  <c r="H20" i="1"/>
  <c r="G21" i="1" a="1"/>
  <c r="H21" i="1"/>
  <c r="G22" i="1" a="1"/>
  <c r="H22" i="1"/>
  <c r="G23" i="1" a="1"/>
  <c r="H23" i="1"/>
  <c r="G24" i="1" a="1"/>
  <c r="H24" i="1"/>
  <c r="G25" i="1" a="1"/>
  <c r="H25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N6" i="1"/>
  <c r="M6" i="1"/>
  <c r="L6" i="1"/>
  <c r="K6" i="1"/>
  <c r="I6" i="1"/>
  <c r="H6" i="1"/>
  <c r="G6" i="1" a="1"/>
  <c r="E6" i="1"/>
  <c r="D6" i="1"/>
  <c r="C6" i="1"/>
  <c r="L45" i="5"/>
  <c r="M45" i="5"/>
  <c r="L46" i="5"/>
  <c r="M46" i="5"/>
  <c r="L47" i="5"/>
  <c r="M47" i="5"/>
  <c r="L48" i="5"/>
  <c r="M48" i="5"/>
  <c r="L49" i="5"/>
  <c r="L69" i="5" s="1"/>
  <c r="L70" i="5" s="1"/>
  <c r="M49" i="5"/>
  <c r="M69" i="5" s="1"/>
  <c r="M70" i="5" s="1"/>
  <c r="L50" i="5"/>
  <c r="M50" i="5"/>
  <c r="L51" i="5"/>
  <c r="M51" i="5"/>
  <c r="L52" i="5"/>
  <c r="M52" i="5"/>
  <c r="L53" i="5"/>
  <c r="M53" i="5"/>
  <c r="L54" i="5"/>
  <c r="M54" i="5"/>
  <c r="L55" i="5"/>
  <c r="M55" i="5"/>
  <c r="L56" i="5"/>
  <c r="M56" i="5"/>
  <c r="L57" i="5"/>
  <c r="M57" i="5"/>
  <c r="L58" i="5"/>
  <c r="M58" i="5"/>
  <c r="L59" i="5"/>
  <c r="M59" i="5"/>
  <c r="L60" i="5"/>
  <c r="M60" i="5"/>
  <c r="L61" i="5"/>
  <c r="M61" i="5"/>
  <c r="L62" i="5"/>
  <c r="M62" i="5"/>
  <c r="L63" i="5"/>
  <c r="M63" i="5"/>
  <c r="L64" i="5"/>
  <c r="M64" i="5"/>
  <c r="E45" i="5"/>
  <c r="F45" i="5"/>
  <c r="G45" i="5"/>
  <c r="H45" i="5"/>
  <c r="I45" i="5"/>
  <c r="J45" i="5"/>
  <c r="K45" i="5"/>
  <c r="E46" i="5"/>
  <c r="F46" i="5"/>
  <c r="G46" i="5"/>
  <c r="H46" i="5"/>
  <c r="I46" i="5"/>
  <c r="J46" i="5"/>
  <c r="K46" i="5"/>
  <c r="E47" i="5"/>
  <c r="F47" i="5"/>
  <c r="G47" i="5"/>
  <c r="H47" i="5"/>
  <c r="I47" i="5"/>
  <c r="J47" i="5"/>
  <c r="K47" i="5"/>
  <c r="E48" i="5"/>
  <c r="F48" i="5"/>
  <c r="G48" i="5"/>
  <c r="H48" i="5"/>
  <c r="I48" i="5"/>
  <c r="J48" i="5"/>
  <c r="K48" i="5"/>
  <c r="E49" i="5"/>
  <c r="E69" i="5" s="1"/>
  <c r="E70" i="5" s="1"/>
  <c r="F49" i="5"/>
  <c r="F69" i="5" s="1"/>
  <c r="F70" i="5" s="1"/>
  <c r="G49" i="5"/>
  <c r="G69" i="5" s="1"/>
  <c r="G70" i="5" s="1"/>
  <c r="H49" i="5"/>
  <c r="H69" i="5" s="1"/>
  <c r="H70" i="5" s="1"/>
  <c r="I49" i="5"/>
  <c r="I69" i="5" s="1"/>
  <c r="I70" i="5" s="1"/>
  <c r="J49" i="5"/>
  <c r="J69" i="5" s="1"/>
  <c r="J70" i="5" s="1"/>
  <c r="K49" i="5"/>
  <c r="K69" i="5" s="1"/>
  <c r="K70" i="5" s="1"/>
  <c r="E50" i="5"/>
  <c r="F50" i="5"/>
  <c r="G50" i="5"/>
  <c r="H50" i="5"/>
  <c r="I50" i="5"/>
  <c r="J50" i="5"/>
  <c r="K50" i="5"/>
  <c r="E51" i="5"/>
  <c r="F51" i="5"/>
  <c r="G51" i="5"/>
  <c r="H51" i="5"/>
  <c r="I51" i="5"/>
  <c r="J51" i="5"/>
  <c r="K51" i="5"/>
  <c r="E52" i="5"/>
  <c r="F52" i="5"/>
  <c r="G52" i="5"/>
  <c r="H52" i="5"/>
  <c r="I52" i="5"/>
  <c r="J52" i="5"/>
  <c r="K52" i="5"/>
  <c r="E53" i="5"/>
  <c r="F53" i="5"/>
  <c r="G53" i="5"/>
  <c r="H53" i="5"/>
  <c r="I53" i="5"/>
  <c r="J53" i="5"/>
  <c r="K53" i="5"/>
  <c r="E54" i="5"/>
  <c r="F54" i="5"/>
  <c r="G54" i="5"/>
  <c r="H54" i="5"/>
  <c r="I54" i="5"/>
  <c r="J54" i="5"/>
  <c r="K54" i="5"/>
  <c r="E55" i="5"/>
  <c r="F55" i="5"/>
  <c r="G55" i="5"/>
  <c r="H55" i="5"/>
  <c r="I55" i="5"/>
  <c r="J55" i="5"/>
  <c r="K55" i="5"/>
  <c r="E56" i="5"/>
  <c r="F56" i="5"/>
  <c r="G56" i="5"/>
  <c r="H56" i="5"/>
  <c r="I56" i="5"/>
  <c r="J56" i="5"/>
  <c r="K56" i="5"/>
  <c r="E57" i="5"/>
  <c r="F57" i="5"/>
  <c r="G57" i="5"/>
  <c r="H57" i="5"/>
  <c r="I57" i="5"/>
  <c r="J57" i="5"/>
  <c r="K57" i="5"/>
  <c r="E58" i="5"/>
  <c r="F58" i="5"/>
  <c r="G58" i="5"/>
  <c r="H58" i="5"/>
  <c r="I58" i="5"/>
  <c r="J58" i="5"/>
  <c r="K58" i="5"/>
  <c r="E59" i="5"/>
  <c r="F59" i="5"/>
  <c r="G59" i="5"/>
  <c r="H59" i="5"/>
  <c r="I59" i="5"/>
  <c r="J59" i="5"/>
  <c r="K59" i="5"/>
  <c r="E60" i="5"/>
  <c r="F60" i="5"/>
  <c r="G60" i="5"/>
  <c r="H60" i="5"/>
  <c r="I60" i="5"/>
  <c r="J60" i="5"/>
  <c r="K60" i="5"/>
  <c r="E61" i="5"/>
  <c r="F61" i="5"/>
  <c r="G61" i="5"/>
  <c r="H61" i="5"/>
  <c r="I61" i="5"/>
  <c r="J61" i="5"/>
  <c r="K61" i="5"/>
  <c r="E62" i="5"/>
  <c r="F62" i="5"/>
  <c r="G62" i="5"/>
  <c r="H62" i="5"/>
  <c r="I62" i="5"/>
  <c r="J62" i="5"/>
  <c r="K62" i="5"/>
  <c r="E63" i="5"/>
  <c r="F63" i="5"/>
  <c r="G63" i="5"/>
  <c r="H63" i="5"/>
  <c r="I63" i="5"/>
  <c r="J63" i="5"/>
  <c r="K63" i="5"/>
  <c r="E64" i="5"/>
  <c r="F64" i="5"/>
  <c r="G64" i="5"/>
  <c r="H64" i="5"/>
  <c r="I64" i="5"/>
  <c r="J64" i="5"/>
  <c r="K64" i="5"/>
  <c r="D46" i="5"/>
  <c r="D47" i="5"/>
  <c r="D48" i="5"/>
  <c r="D49" i="5"/>
  <c r="D69" i="5" s="1"/>
  <c r="D70" i="5" s="1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45" i="5"/>
  <c r="E29" i="5"/>
  <c r="F29" i="5"/>
  <c r="G29" i="5"/>
  <c r="H29" i="5"/>
  <c r="I29" i="5"/>
  <c r="J29" i="5"/>
  <c r="K29" i="5"/>
  <c r="L29" i="5"/>
  <c r="M29" i="5"/>
  <c r="D29" i="5"/>
  <c r="E32" i="5"/>
  <c r="F32" i="5"/>
  <c r="G32" i="5"/>
  <c r="H32" i="5"/>
  <c r="I32" i="5"/>
  <c r="J32" i="5"/>
  <c r="K32" i="5"/>
  <c r="L32" i="5"/>
  <c r="M32" i="5"/>
  <c r="D32" i="5"/>
  <c r="E31" i="5"/>
  <c r="F31" i="5"/>
  <c r="G31" i="5"/>
  <c r="H31" i="5"/>
  <c r="I31" i="5"/>
  <c r="J31" i="5"/>
  <c r="K31" i="5"/>
  <c r="L31" i="5"/>
  <c r="M31" i="5"/>
  <c r="D31" i="5"/>
  <c r="T2" i="5"/>
  <c r="E39" i="5" s="1"/>
  <c r="U2" i="5"/>
  <c r="F39" i="5" s="1"/>
  <c r="V2" i="5"/>
  <c r="G39" i="5" s="1"/>
  <c r="W2" i="5"/>
  <c r="X2" i="5"/>
  <c r="Y2" i="5"/>
  <c r="Z2" i="5"/>
  <c r="AA2" i="5"/>
  <c r="AB2" i="5"/>
  <c r="S2" i="5"/>
  <c r="D40" i="5" s="1"/>
  <c r="D42" i="5" s="1"/>
  <c r="I19" i="1" l="1"/>
  <c r="I20" i="1"/>
  <c r="I21" i="1"/>
  <c r="I24" i="1"/>
  <c r="I7" i="1"/>
  <c r="I8" i="1"/>
  <c r="I10" i="1"/>
  <c r="I15" i="1"/>
  <c r="I16" i="1"/>
  <c r="I22" i="1"/>
  <c r="I25" i="1"/>
  <c r="I11" i="1"/>
  <c r="I12" i="1"/>
  <c r="I13" i="1"/>
  <c r="I14" i="1"/>
  <c r="I17" i="1"/>
  <c r="I18" i="1"/>
  <c r="I23" i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J3" i="5"/>
  <c r="K3" i="5"/>
  <c r="L3" i="5"/>
  <c r="J4" i="5"/>
  <c r="K4" i="5"/>
  <c r="L4" i="5"/>
  <c r="J5" i="5"/>
  <c r="K5" i="5"/>
  <c r="L5" i="5"/>
  <c r="J6" i="5"/>
  <c r="K6" i="5"/>
  <c r="L6" i="5"/>
  <c r="L7" i="5"/>
  <c r="J8" i="5"/>
  <c r="L8" i="5"/>
  <c r="J9" i="5"/>
  <c r="L9" i="5"/>
  <c r="K10" i="5"/>
  <c r="J11" i="5"/>
  <c r="L11" i="5"/>
  <c r="K12" i="5"/>
  <c r="J13" i="5"/>
  <c r="L13" i="5"/>
  <c r="J14" i="5"/>
  <c r="L14" i="5"/>
  <c r="J16" i="5"/>
  <c r="J17" i="5"/>
  <c r="L17" i="5"/>
  <c r="K18" i="5"/>
  <c r="J19" i="5"/>
  <c r="K19" i="5"/>
  <c r="J20" i="5"/>
  <c r="J7" i="5"/>
  <c r="K7" i="5"/>
  <c r="K8" i="5"/>
  <c r="K9" i="5"/>
  <c r="J10" i="5"/>
  <c r="L10" i="5"/>
  <c r="K11" i="5"/>
  <c r="J12" i="5"/>
  <c r="L12" i="5"/>
  <c r="K13" i="5"/>
  <c r="K14" i="5"/>
  <c r="J15" i="5"/>
  <c r="L15" i="5"/>
  <c r="K16" i="5"/>
  <c r="L16" i="5"/>
  <c r="K17" i="5"/>
  <c r="J18" i="5"/>
  <c r="L18" i="5"/>
  <c r="L19" i="5"/>
  <c r="K20" i="5"/>
  <c r="K15" i="5"/>
  <c r="L20" i="5"/>
  <c r="J21" i="5"/>
  <c r="K21" i="5"/>
  <c r="L21" i="5"/>
  <c r="I14" i="5"/>
  <c r="I15" i="5"/>
  <c r="I16" i="5"/>
  <c r="I7" i="5"/>
  <c r="I8" i="5"/>
  <c r="I9" i="5"/>
  <c r="I18" i="5"/>
  <c r="I21" i="5"/>
  <c r="H3" i="5"/>
  <c r="H4" i="5"/>
  <c r="G5" i="5"/>
  <c r="H6" i="5"/>
  <c r="H7" i="5"/>
  <c r="H8" i="5"/>
  <c r="G9" i="5"/>
  <c r="G10" i="5"/>
  <c r="G11" i="5"/>
  <c r="H12" i="5"/>
  <c r="G13" i="5"/>
  <c r="H15" i="5"/>
  <c r="G16" i="5"/>
  <c r="G17" i="5"/>
  <c r="G19" i="5"/>
  <c r="I5" i="5"/>
  <c r="I13" i="5"/>
  <c r="I20" i="5"/>
  <c r="G3" i="5"/>
  <c r="G4" i="5"/>
  <c r="H5" i="5"/>
  <c r="G6" i="5"/>
  <c r="G8" i="5"/>
  <c r="H9" i="5"/>
  <c r="H10" i="5"/>
  <c r="H11" i="5"/>
  <c r="G12" i="5"/>
  <c r="H13" i="5"/>
  <c r="G14" i="5"/>
  <c r="H14" i="5"/>
  <c r="G15" i="5"/>
  <c r="H16" i="5"/>
  <c r="H17" i="5"/>
  <c r="H18" i="5"/>
  <c r="H19" i="5"/>
  <c r="I10" i="5"/>
  <c r="I11" i="5"/>
  <c r="I17" i="5"/>
  <c r="G7" i="5"/>
  <c r="G18" i="5"/>
  <c r="I4" i="5"/>
  <c r="I6" i="5"/>
  <c r="G20" i="5"/>
  <c r="H20" i="5"/>
  <c r="G21" i="5"/>
  <c r="H21" i="5"/>
  <c r="I19" i="5"/>
  <c r="I12" i="5"/>
  <c r="I3" i="5"/>
  <c r="E3" i="5"/>
  <c r="F3" i="5"/>
  <c r="E4" i="5"/>
  <c r="F4" i="5"/>
  <c r="E5" i="5"/>
  <c r="F5" i="5"/>
  <c r="E6" i="5"/>
  <c r="F6" i="5"/>
  <c r="E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E16" i="5"/>
  <c r="F16" i="5"/>
  <c r="F17" i="5"/>
  <c r="F18" i="5"/>
  <c r="F19" i="5"/>
  <c r="F20" i="5"/>
  <c r="F21" i="5"/>
  <c r="D3" i="5"/>
  <c r="D5" i="5"/>
  <c r="D6" i="5"/>
  <c r="D10" i="5"/>
  <c r="D8" i="5"/>
  <c r="F7" i="5"/>
  <c r="F15" i="5"/>
  <c r="E17" i="5"/>
  <c r="E18" i="5"/>
  <c r="E19" i="5"/>
  <c r="E20" i="5"/>
  <c r="E21" i="5"/>
  <c r="D4" i="5"/>
  <c r="D7" i="5"/>
  <c r="D9" i="5"/>
  <c r="D72" i="5" s="1"/>
  <c r="D11" i="5"/>
  <c r="D12" i="5"/>
  <c r="D13" i="5"/>
  <c r="D14" i="5"/>
  <c r="D15" i="5"/>
  <c r="D16" i="5"/>
  <c r="D17" i="5"/>
  <c r="D18" i="5"/>
  <c r="D19" i="5"/>
  <c r="D20" i="5"/>
  <c r="D21" i="5"/>
  <c r="M2" i="5"/>
  <c r="M36" i="5" s="1"/>
  <c r="L2" i="5"/>
  <c r="L36" i="5" s="1"/>
  <c r="K2" i="5"/>
  <c r="K36" i="5" s="1"/>
  <c r="J2" i="5"/>
  <c r="J36" i="5" s="1"/>
  <c r="I2" i="5"/>
  <c r="I36" i="5" s="1"/>
  <c r="H2" i="5"/>
  <c r="H36" i="5" s="1"/>
  <c r="G2" i="5"/>
  <c r="G36" i="5" s="1"/>
  <c r="F2" i="5"/>
  <c r="F36" i="5" s="1"/>
  <c r="E2" i="5"/>
  <c r="E36" i="5" s="1"/>
  <c r="D2" i="5"/>
  <c r="D23" i="5"/>
  <c r="D25" i="5" s="1"/>
  <c r="D26" i="5" s="1"/>
  <c r="D36" i="5"/>
  <c r="L67" i="5"/>
  <c r="L68" i="5" s="1"/>
  <c r="L71" i="5" s="1"/>
  <c r="M67" i="5"/>
  <c r="M68" i="5" s="1"/>
  <c r="M71" i="5" s="1"/>
  <c r="E67" i="5"/>
  <c r="E68" i="5" s="1"/>
  <c r="E71" i="5" s="1"/>
  <c r="E72" i="5"/>
  <c r="F67" i="5"/>
  <c r="F68" i="5" s="1"/>
  <c r="F71" i="5" s="1"/>
  <c r="F72" i="5"/>
  <c r="G67" i="5"/>
  <c r="G68" i="5" s="1"/>
  <c r="G71" i="5" s="1"/>
  <c r="H67" i="5"/>
  <c r="H68" i="5" s="1"/>
  <c r="H71" i="5" s="1"/>
  <c r="I67" i="5"/>
  <c r="I68" i="5" s="1"/>
  <c r="I71" i="5" s="1"/>
  <c r="J67" i="5"/>
  <c r="J68" i="5" s="1"/>
  <c r="J71" i="5" s="1"/>
  <c r="K67" i="5"/>
  <c r="K68" i="5" s="1"/>
  <c r="K71" i="5" s="1"/>
  <c r="K72" i="5"/>
  <c r="D67" i="5"/>
  <c r="D68" i="5" s="1"/>
  <c r="D71" i="5" s="1"/>
  <c r="F23" i="5"/>
  <c r="F25" i="5" s="1"/>
  <c r="F26" i="5" s="1"/>
  <c r="E23" i="5"/>
  <c r="E25" i="5" s="1"/>
  <c r="E26" i="5" s="1"/>
  <c r="E40" i="5"/>
  <c r="E42" i="5" s="1"/>
  <c r="F40" i="5"/>
  <c r="F42" i="5" s="1"/>
  <c r="G40" i="5"/>
  <c r="G42" i="5" s="1"/>
  <c r="H39" i="5"/>
  <c r="H40" i="5"/>
  <c r="H42" i="5" s="1"/>
  <c r="I39" i="5"/>
  <c r="I40" i="5"/>
  <c r="I42" i="5" s="1"/>
  <c r="J39" i="5"/>
  <c r="J40" i="5"/>
  <c r="J42" i="5" s="1"/>
  <c r="K39" i="5"/>
  <c r="K40" i="5"/>
  <c r="K42" i="5" s="1"/>
  <c r="L39" i="5"/>
  <c r="L40" i="5"/>
  <c r="L42" i="5" s="1"/>
  <c r="M39" i="5"/>
  <c r="M40" i="5"/>
  <c r="M42" i="5" s="1"/>
  <c r="D34" i="5"/>
  <c r="D39" i="5"/>
  <c r="D43" i="5" s="1"/>
  <c r="D79" i="5" s="1"/>
  <c r="S3" i="5"/>
  <c r="E34" i="5"/>
  <c r="S4" i="5"/>
  <c r="F34" i="5"/>
  <c r="S5" i="5"/>
  <c r="G34" i="5"/>
  <c r="S6" i="5"/>
  <c r="H34" i="5"/>
  <c r="S7" i="5"/>
  <c r="I34" i="5"/>
  <c r="S8" i="5"/>
  <c r="J34" i="5"/>
  <c r="S9" i="5"/>
  <c r="K34" i="5"/>
  <c r="S10" i="5"/>
  <c r="L34" i="5"/>
  <c r="S11" i="5"/>
  <c r="M34" i="5"/>
  <c r="H23" i="5" l="1"/>
  <c r="H25" i="5" s="1"/>
  <c r="H26" i="5" s="1"/>
  <c r="G72" i="5"/>
  <c r="H72" i="5"/>
  <c r="I72" i="5"/>
  <c r="G23" i="5"/>
  <c r="G25" i="5" s="1"/>
  <c r="G26" i="5" s="1"/>
  <c r="K23" i="5"/>
  <c r="K25" i="5" s="1"/>
  <c r="K26" i="5" s="1"/>
  <c r="M23" i="5"/>
  <c r="M25" i="5" s="1"/>
  <c r="M26" i="5" s="1"/>
  <c r="M72" i="5"/>
  <c r="J72" i="5"/>
  <c r="J23" i="5"/>
  <c r="J25" i="5" s="1"/>
  <c r="J26" i="5" s="1"/>
  <c r="L72" i="5"/>
  <c r="D74" i="5"/>
  <c r="D35" i="5" s="1"/>
  <c r="L23" i="5"/>
  <c r="I23" i="5"/>
  <c r="E43" i="5"/>
  <c r="E79" i="5" s="1"/>
  <c r="G43" i="5"/>
  <c r="G79" i="5" s="1"/>
  <c r="H43" i="5"/>
  <c r="H79" i="5" s="1"/>
  <c r="I74" i="5"/>
  <c r="I35" i="5" s="1"/>
  <c r="I37" i="5" s="1"/>
  <c r="I43" i="5"/>
  <c r="I79" i="5" s="1"/>
  <c r="J43" i="5"/>
  <c r="J79" i="5" s="1"/>
  <c r="K43" i="5"/>
  <c r="K79" i="5" s="1"/>
  <c r="L43" i="5"/>
  <c r="L79" i="5" s="1"/>
  <c r="F43" i="5"/>
  <c r="F79" i="5" s="1"/>
  <c r="M43" i="5"/>
  <c r="M79" i="5" s="1"/>
  <c r="K74" i="5"/>
  <c r="K35" i="5" s="1"/>
  <c r="K37" i="5" s="1"/>
  <c r="K77" i="5" s="1"/>
  <c r="K78" i="5" s="1"/>
  <c r="F74" i="5"/>
  <c r="F35" i="5" s="1"/>
  <c r="F37" i="5" s="1"/>
  <c r="F77" i="5" s="1"/>
  <c r="F78" i="5" s="1"/>
  <c r="E74" i="5"/>
  <c r="E35" i="5" s="1"/>
  <c r="E37" i="5" s="1"/>
  <c r="E77" i="5" s="1"/>
  <c r="H74" i="5" l="1"/>
  <c r="H35" i="5" s="1"/>
  <c r="H37" i="5" s="1"/>
  <c r="H77" i="5" s="1"/>
  <c r="G74" i="5"/>
  <c r="G35" i="5" s="1"/>
  <c r="G37" i="5" s="1"/>
  <c r="G77" i="5" s="1"/>
  <c r="M74" i="5"/>
  <c r="M35" i="5" s="1"/>
  <c r="M37" i="5" s="1"/>
  <c r="M77" i="5" s="1"/>
  <c r="M78" i="5" s="1"/>
  <c r="D37" i="5"/>
  <c r="D77" i="5" s="1"/>
  <c r="D81" i="5" s="1"/>
  <c r="J74" i="5"/>
  <c r="J35" i="5" s="1"/>
  <c r="J37" i="5" s="1"/>
  <c r="J77" i="5" s="1"/>
  <c r="J78" i="5" s="1"/>
  <c r="L74" i="5"/>
  <c r="L35" i="5" s="1"/>
  <c r="L37" i="5" s="1"/>
  <c r="L25" i="5"/>
  <c r="L26" i="5"/>
  <c r="I25" i="5"/>
  <c r="I26" i="5"/>
  <c r="I77" i="5" s="1"/>
  <c r="F81" i="5"/>
  <c r="K81" i="5"/>
  <c r="E78" i="5"/>
  <c r="E81" i="5"/>
  <c r="H78" i="5" l="1"/>
  <c r="H81" i="5"/>
  <c r="G78" i="5"/>
  <c r="G81" i="5"/>
  <c r="J81" i="5"/>
  <c r="L77" i="5"/>
  <c r="M81" i="5"/>
  <c r="D78" i="5"/>
  <c r="I81" i="5"/>
  <c r="I78" i="5"/>
  <c r="L78" i="5" l="1"/>
  <c r="L81" i="5"/>
  <c r="D82" i="5"/>
  <c r="D83" i="5" s="1"/>
  <c r="D85" i="5" s="1" a="1"/>
  <c r="D86" i="5" s="1"/>
  <c r="G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<sst xmlns="http://schemas.openxmlformats.org/spreadsheetml/2006/main" count="3878" uniqueCount="869">
  <si>
    <t>KODE SOAL</t>
  </si>
  <si>
    <t>KODE JAWABAN</t>
  </si>
  <si>
    <t>Team</t>
  </si>
  <si>
    <t>SoT</t>
  </si>
  <si>
    <t>Torino</t>
  </si>
  <si>
    <t>Fiorentina</t>
  </si>
  <si>
    <t>Bologna</t>
  </si>
  <si>
    <t>Como</t>
  </si>
  <si>
    <t>Empoli</t>
  </si>
  <si>
    <t>Genoa</t>
  </si>
  <si>
    <t>Udinese</t>
  </si>
  <si>
    <t>Juventus</t>
  </si>
  <si>
    <t>Monza</t>
  </si>
  <si>
    <t>Napoli</t>
  </si>
  <si>
    <t>Lecce</t>
  </si>
  <si>
    <t>Cagliari</t>
  </si>
  <si>
    <t>Venezia</t>
  </si>
  <si>
    <t>Inter Milan</t>
  </si>
  <si>
    <t>Lazio</t>
  </si>
  <si>
    <t>Parma</t>
  </si>
  <si>
    <t>AS Roma</t>
  </si>
  <si>
    <t>AC Milan</t>
  </si>
  <si>
    <t>Atalanta</t>
  </si>
  <si>
    <t>Hellas Verona</t>
  </si>
  <si>
    <t>Soal 1</t>
  </si>
  <si>
    <t>Tentukan peringkat klasemen setiap tim berdasarkan jumlah PTS.</t>
  </si>
  <si>
    <r>
      <t xml:space="preserve">Contoh : Peringkat pertama ditempati oleh </t>
    </r>
    <r>
      <rPr>
        <b/>
        <sz val="11"/>
        <color theme="1"/>
        <rFont val="Aptos Narrow"/>
        <family val="2"/>
        <scheme val="minor"/>
      </rPr>
      <t>Napoli</t>
    </r>
    <r>
      <rPr>
        <sz val="11"/>
        <color theme="1"/>
        <rFont val="Aptos Narrow"/>
        <family val="2"/>
        <scheme val="minor"/>
      </rPr>
      <t xml:space="preserve"> karena memiliki poin tertinggi </t>
    </r>
    <r>
      <rPr>
        <b/>
        <sz val="11"/>
        <color theme="1"/>
        <rFont val="Aptos Narrow"/>
        <family val="2"/>
        <scheme val="minor"/>
      </rPr>
      <t>(lihat Sheet LS)</t>
    </r>
    <r>
      <rPr>
        <sz val="11"/>
        <color theme="1"/>
        <rFont val="Aptos Narrow"/>
        <family val="2"/>
        <scheme val="minor"/>
      </rPr>
      <t>.</t>
    </r>
  </si>
  <si>
    <t>Soal 2</t>
  </si>
  <si>
    <t>Berapa persentase tembakan tepat sasaran (SoT%) untuk setiap tim?</t>
  </si>
  <si>
    <r>
      <t xml:space="preserve">Contoh: Total tembakan tepat sasaran (SoT) tim Torino adalah 123, sedangkan total tembakan (SH) adalah 383 </t>
    </r>
    <r>
      <rPr>
        <b/>
        <sz val="11"/>
        <color theme="1"/>
        <rFont val="Aptos Narrow"/>
        <family val="2"/>
        <scheme val="minor"/>
      </rPr>
      <t>(lihat Sheet LS)</t>
    </r>
    <r>
      <rPr>
        <sz val="11"/>
        <color theme="1"/>
        <rFont val="Aptos Narrow"/>
        <family val="2"/>
        <scheme val="minor"/>
      </rPr>
      <t xml:space="preserve">.
Maka, persentase tembakan tepat sasaran (SoT%) tim Torino adalah </t>
    </r>
    <r>
      <rPr>
        <b/>
        <sz val="11"/>
        <color theme="1"/>
        <rFont val="Aptos Narrow"/>
        <family val="2"/>
        <scheme val="minor"/>
      </rPr>
      <t>32%</t>
    </r>
    <r>
      <rPr>
        <sz val="11"/>
        <color theme="1"/>
        <rFont val="Aptos Narrow"/>
        <family val="2"/>
        <scheme val="minor"/>
      </rPr>
      <t xml:space="preserve"> (setelah pembulatan).</t>
    </r>
  </si>
  <si>
    <t>Soal 3</t>
  </si>
  <si>
    <t>Berapa rata-rata gol yang dicetak per tembakan tepat sasaran (G/SoT) untuk setiap tim?</t>
  </si>
  <si>
    <r>
      <t xml:space="preserve">Contoh: Total tembakan tepat sasaran (SoT) tim Torino adalah 123, total gol (G) adalah 36, dan tendangan penalti (PK) adalah 2 </t>
    </r>
    <r>
      <rPr>
        <b/>
        <sz val="11"/>
        <color theme="1"/>
        <rFont val="Aptos Narrow"/>
        <family val="2"/>
        <scheme val="minor"/>
      </rPr>
      <t>(lihat Sheet LS)</t>
    </r>
    <r>
      <rPr>
        <sz val="11"/>
        <color theme="1"/>
        <rFont val="Aptos Narrow"/>
        <family val="2"/>
        <scheme val="minor"/>
      </rPr>
      <t xml:space="preserve">.
Maka, rata-rata gol yang dicetak per tembakan tepat sasaran (G/SoT) tim Torino adalah </t>
    </r>
    <r>
      <rPr>
        <b/>
        <sz val="11"/>
        <color theme="1"/>
        <rFont val="Aptos Narrow"/>
        <family val="2"/>
        <scheme val="minor"/>
      </rPr>
      <t>0.28</t>
    </r>
    <r>
      <rPr>
        <sz val="11"/>
        <color theme="1"/>
        <rFont val="Aptos Narrow"/>
        <family val="2"/>
        <scheme val="minor"/>
      </rPr>
      <t xml:space="preserve"> (setelah pembulatan).
</t>
    </r>
    <r>
      <rPr>
        <b/>
        <sz val="11"/>
        <color theme="1"/>
        <rFont val="Aptos Narrow"/>
        <family val="2"/>
        <scheme val="minor"/>
      </rPr>
      <t>Note : G/SoT dihitung dari gol per tembakan tepat sasaran, tidak termasuk gol dari penalti.</t>
    </r>
  </si>
  <si>
    <t>Soal 4</t>
  </si>
  <si>
    <t>Berapa besarnya poin yang dihasilkan oleh setiap tim pada 5 laga terakhir?</t>
  </si>
  <si>
    <r>
      <t xml:space="preserve">Contoh : Hasil 5 laga terakhir tim Torino adalah LDLLL. Setiap kemenangan (W) mendapatkan 3 poin, kekalahan (L) mendapatkan 0 poin, dan jika imbang (D) mendapatkan 1 poin. Dengan demikian, di 5 laga terakhir Torino memperoleh poin 0,1,0,0,0.
Maka, total poin untuk tim Torino adalah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.</t>
    </r>
  </si>
  <si>
    <t>Soal 5</t>
  </si>
  <si>
    <t>Berapa rata-rata jumlah penonton di masing-masing stadion pada laga kandang?</t>
  </si>
  <si>
    <r>
      <t xml:space="preserve">Contoh : Penonton tim Torino sepanjang musim adalah 443155 dan jumlah pertandingan kandang adalah 19 </t>
    </r>
    <r>
      <rPr>
        <b/>
        <sz val="11"/>
        <color theme="1"/>
        <rFont val="Aptos Narrow"/>
        <family val="2"/>
        <scheme val="minor"/>
      </rPr>
      <t>(lihat Sheet SA)</t>
    </r>
    <r>
      <rPr>
        <sz val="11"/>
        <color theme="1"/>
        <rFont val="Aptos Narrow"/>
        <family val="2"/>
        <scheme val="minor"/>
      </rPr>
      <t xml:space="preserve">.
Maka, rata-rata penonton tim Torino adalah </t>
    </r>
    <r>
      <rPr>
        <b/>
        <sz val="11"/>
        <color theme="1"/>
        <rFont val="Aptos Narrow"/>
        <family val="2"/>
        <scheme val="minor"/>
      </rPr>
      <t xml:space="preserve">23324 </t>
    </r>
    <r>
      <rPr>
        <sz val="11"/>
        <color theme="1"/>
        <rFont val="Aptos Narrow"/>
        <family val="2"/>
        <scheme val="minor"/>
      </rPr>
      <t>(setelah pembulatan)</t>
    </r>
    <r>
      <rPr>
        <b/>
        <sz val="11"/>
        <color theme="1"/>
        <rFont val="Aptos Narrow"/>
        <family val="2"/>
        <scheme val="minor"/>
      </rPr>
      <t>.</t>
    </r>
  </si>
  <si>
    <t>Soal 6</t>
  </si>
  <si>
    <t>Berapa persentase keterisian bangku pada setiap laga kandang?</t>
  </si>
  <si>
    <r>
      <t xml:space="preserve">Contoh : Rata-rata penonton tim Torino dalam setiap laga adalah 23324 dan kapasitas stadion tim Torino adalah 28177 </t>
    </r>
    <r>
      <rPr>
        <b/>
        <sz val="11"/>
        <color theme="1"/>
        <rFont val="Aptos Narrow"/>
        <family val="2"/>
        <scheme val="minor"/>
      </rPr>
      <t>(lihat Sheet SA)</t>
    </r>
    <r>
      <rPr>
        <sz val="11"/>
        <color theme="1"/>
        <rFont val="Aptos Narrow"/>
        <family val="2"/>
        <scheme val="minor"/>
      </rPr>
      <t xml:space="preserve">.
Maka persentase keterisian bangku tim Torino adalah </t>
    </r>
    <r>
      <rPr>
        <b/>
        <sz val="11"/>
        <color theme="1"/>
        <rFont val="Aptos Narrow"/>
        <family val="2"/>
        <scheme val="minor"/>
      </rPr>
      <t xml:space="preserve">83% </t>
    </r>
    <r>
      <rPr>
        <sz val="11"/>
        <color theme="1"/>
        <rFont val="Aptos Narrow"/>
        <family val="2"/>
        <scheme val="minor"/>
      </rPr>
      <t>(setelah pembulatan)</t>
    </r>
    <r>
      <rPr>
        <b/>
        <sz val="11"/>
        <color theme="1"/>
        <rFont val="Aptos Narrow"/>
        <family val="2"/>
        <scheme val="minor"/>
      </rPr>
      <t>.</t>
    </r>
  </si>
  <si>
    <t>Soal 7</t>
  </si>
  <si>
    <t>Berapa besar pendapatan yang diperoleh setiap tim dari laga kandang di stadion?</t>
  </si>
  <si>
    <r>
      <t xml:space="preserve">Contoh : Penonton tim Torino sepanjang musim adalah 443155 dan harga tiket musimannya adalah 230 </t>
    </r>
    <r>
      <rPr>
        <b/>
        <sz val="11"/>
        <color theme="1"/>
        <rFont val="Aptos Narrow"/>
        <family val="2"/>
        <scheme val="minor"/>
      </rPr>
      <t>(lihat Sheet SA)</t>
    </r>
    <r>
      <rPr>
        <sz val="11"/>
        <color theme="1"/>
        <rFont val="Aptos Narrow"/>
        <family val="2"/>
        <scheme val="minor"/>
      </rPr>
      <t xml:space="preserve">.
Maka, total pendapatan tim Torino dari stadion adalah </t>
    </r>
    <r>
      <rPr>
        <b/>
        <sz val="11"/>
        <color theme="1"/>
        <rFont val="Aptos Narrow"/>
        <family val="2"/>
        <scheme val="minor"/>
      </rPr>
      <t>101925650</t>
    </r>
    <r>
      <rPr>
        <sz val="11"/>
        <color theme="1"/>
        <rFont val="Aptos Narrow"/>
        <family val="2"/>
        <scheme val="minor"/>
      </rPr>
      <t>.</t>
    </r>
  </si>
  <si>
    <t>Soal 8</t>
  </si>
  <si>
    <t>Berapa jumlah kartu kuning yang diterima oleh setiap tim?</t>
  </si>
  <si>
    <r>
      <t xml:space="preserve">Contoh : Kartu kuning yang diterima oleh Torino adalah 1,1,1,2,2,2,3,3,3,4,4,4,4,5,5,6,6,6,8,10 </t>
    </r>
    <r>
      <rPr>
        <b/>
        <sz val="11"/>
        <color theme="1"/>
        <rFont val="Aptos Narrow"/>
        <family val="2"/>
        <scheme val="minor"/>
      </rPr>
      <t>(lihat Sheet PS).</t>
    </r>
    <r>
      <rPr>
        <sz val="11"/>
        <color theme="1"/>
        <rFont val="Aptos Narrow"/>
        <family val="2"/>
        <scheme val="minor"/>
      </rPr>
      <t xml:space="preserve">
Maka, total kartu kuning tim Torino adalah </t>
    </r>
    <r>
      <rPr>
        <b/>
        <sz val="11"/>
        <color theme="1"/>
        <rFont val="Aptos Narrow"/>
        <family val="2"/>
        <scheme val="minor"/>
      </rPr>
      <t>80</t>
    </r>
    <r>
      <rPr>
        <sz val="11"/>
        <color theme="1"/>
        <rFont val="Aptos Narrow"/>
        <family val="2"/>
        <scheme val="minor"/>
      </rPr>
      <t>.</t>
    </r>
  </si>
  <si>
    <t>Soal 9</t>
  </si>
  <si>
    <t>Berapa jumlah gol terbanyak yang dicetak oleh seorang pemain dalam sebuah tim?</t>
  </si>
  <si>
    <r>
      <t xml:space="preserve">Contoh : Gol yang dicetak pemain Torino adalah 9,5,4,3,3,2,2,1,1,1,1,1,1,1,1 </t>
    </r>
    <r>
      <rPr>
        <b/>
        <sz val="11"/>
        <color theme="1"/>
        <rFont val="Aptos Narrow"/>
        <family val="2"/>
        <scheme val="minor"/>
      </rPr>
      <t>(lihat Sheet PS).</t>
    </r>
    <r>
      <rPr>
        <sz val="11"/>
        <color theme="1"/>
        <rFont val="Aptos Narrow"/>
        <family val="2"/>
        <scheme val="minor"/>
      </rPr>
      <t xml:space="preserve">
Maka, jumlah gol terbanyak yang dicetak tim Torino adalah </t>
    </r>
    <r>
      <rPr>
        <b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>.</t>
    </r>
  </si>
  <si>
    <t>Soal 10</t>
  </si>
  <si>
    <t>Berapa banyak pemain berkewarganegaraan Italia (ITA) pada masing-masing tim?</t>
  </si>
  <si>
    <r>
      <t xml:space="preserve">Contoh: Kewarganegaraan pemain tim Torino adalah </t>
    </r>
    <r>
      <rPr>
        <b/>
        <sz val="11"/>
        <color theme="1"/>
        <rFont val="Aptos Narrow"/>
        <family val="2"/>
        <scheme val="minor"/>
      </rPr>
      <t>(lihat Sheet PS)</t>
    </r>
    <r>
      <rPr>
        <sz val="11"/>
        <color theme="1"/>
        <rFont val="Aptos Narrow"/>
        <family val="2"/>
        <scheme val="minor"/>
      </rPr>
      <t xml:space="preserve"> :
SCO,ITA,ITA,ITA,ITA,ITA,EQG,FRA,MKD,ITA,LTU,SRB,FRA,AUT,POL,CHI,MAR,SRB,SWE,ITA,NOR,MDA,ITA,PAR,GEO,CRO,CMR,CRO,KVX,POL,COL
Maka, jumlah pemain dengan kewarganegaraan Italia (ITA) adalah </t>
    </r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.</t>
    </r>
  </si>
  <si>
    <t>Last 5 Results</t>
  </si>
  <si>
    <t>LDLLL</t>
  </si>
  <si>
    <t>WLLWW</t>
  </si>
  <si>
    <t>DDLLL</t>
  </si>
  <si>
    <t>WWWDL</t>
  </si>
  <si>
    <t>LLWWL</t>
  </si>
  <si>
    <t>LLDLW</t>
  </si>
  <si>
    <t>DWLLL</t>
  </si>
  <si>
    <t>WDDWW</t>
  </si>
  <si>
    <t>LLWLL</t>
  </si>
  <si>
    <t>WWDDW</t>
  </si>
  <si>
    <t>DLDWW</t>
  </si>
  <si>
    <t>WLLWL</t>
  </si>
  <si>
    <t>LDWLL</t>
  </si>
  <si>
    <t>LWWDW</t>
  </si>
  <si>
    <t>DWDDL</t>
  </si>
  <si>
    <t>DLLDW</t>
  </si>
  <si>
    <t>WWLWW</t>
  </si>
  <si>
    <t>WWWLW</t>
  </si>
  <si>
    <t>DWWWL</t>
  </si>
  <si>
    <t>LLDDW</t>
  </si>
  <si>
    <t>Ticket Price</t>
  </si>
  <si>
    <t>Goals</t>
  </si>
  <si>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</si>
  <si>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SBEH010</t>
  </si>
  <si>
    <r>
      <t xml:space="preserve">Rank </t>
    </r>
    <r>
      <rPr>
        <b/>
        <vertAlign val="superscript"/>
        <sz val="11"/>
        <color rgb="FFFFC000"/>
        <rFont val="Aptos Narrow"/>
        <family val="2"/>
        <scheme val="minor"/>
      </rPr>
      <t>1</t>
    </r>
    <r>
      <rPr>
        <b/>
        <sz val="11"/>
        <color theme="0"/>
        <rFont val="Aptos Narrow"/>
        <family val="2"/>
        <scheme val="minor"/>
      </rPr>
      <t xml:space="preserve"> (n)</t>
    </r>
  </si>
  <si>
    <r>
      <t xml:space="preserve">SoT </t>
    </r>
    <r>
      <rPr>
        <b/>
        <vertAlign val="superscript"/>
        <sz val="11"/>
        <color rgb="FFFFC000"/>
        <rFont val="Aptos Narrow"/>
        <family val="2"/>
        <scheme val="minor"/>
      </rPr>
      <t xml:space="preserve">2 </t>
    </r>
    <r>
      <rPr>
        <b/>
        <sz val="11"/>
        <color theme="0"/>
        <rFont val="Aptos Narrow"/>
        <family val="2"/>
        <scheme val="minor"/>
      </rPr>
      <t>(%)</t>
    </r>
  </si>
  <si>
    <r>
      <t xml:space="preserve">Last 5 Points </t>
    </r>
    <r>
      <rPr>
        <b/>
        <vertAlign val="superscript"/>
        <sz val="11"/>
        <color rgb="FFFFC000"/>
        <rFont val="Aptos Narrow"/>
        <family val="2"/>
        <scheme val="minor"/>
      </rPr>
      <t>4</t>
    </r>
    <r>
      <rPr>
        <b/>
        <sz val="11"/>
        <color theme="0"/>
        <rFont val="Aptos Narrow"/>
        <family val="2"/>
        <scheme val="minor"/>
      </rPr>
      <t xml:space="preserve"> (n)</t>
    </r>
  </si>
  <si>
    <r>
      <t xml:space="preserve">Average Attendance </t>
    </r>
    <r>
      <rPr>
        <b/>
        <vertAlign val="superscript"/>
        <sz val="11"/>
        <color rgb="FFFFC000"/>
        <rFont val="Aptos Narrow"/>
        <family val="2"/>
        <scheme val="minor"/>
      </rPr>
      <t>5</t>
    </r>
    <r>
      <rPr>
        <b/>
        <sz val="11"/>
        <color theme="0"/>
        <rFont val="Aptos Narrow"/>
        <family val="2"/>
        <scheme val="minor"/>
      </rPr>
      <t xml:space="preserve"> (n)</t>
    </r>
  </si>
  <si>
    <r>
      <t xml:space="preserve">Occupancy </t>
    </r>
    <r>
      <rPr>
        <b/>
        <vertAlign val="superscript"/>
        <sz val="11"/>
        <color rgb="FFFFC000"/>
        <rFont val="Aptos Narrow"/>
        <family val="2"/>
        <scheme val="minor"/>
      </rPr>
      <t xml:space="preserve">6 </t>
    </r>
    <r>
      <rPr>
        <b/>
        <sz val="11"/>
        <color theme="0"/>
        <rFont val="Aptos Narrow"/>
        <family val="2"/>
        <scheme val="minor"/>
      </rPr>
      <t>(%)</t>
    </r>
  </si>
  <si>
    <r>
      <t>Stadium Revenue</t>
    </r>
    <r>
      <rPr>
        <b/>
        <vertAlign val="superscript"/>
        <sz val="11"/>
        <color rgb="FFFFC000"/>
        <rFont val="Aptos Narrow"/>
        <family val="2"/>
        <scheme val="minor"/>
      </rPr>
      <t xml:space="preserve"> 7</t>
    </r>
    <r>
      <rPr>
        <b/>
        <sz val="11"/>
        <color theme="0"/>
        <rFont val="Aptos Narrow"/>
        <family val="2"/>
        <scheme val="minor"/>
      </rPr>
      <t xml:space="preserve"> (€)</t>
    </r>
  </si>
  <si>
    <r>
      <t>Goals</t>
    </r>
    <r>
      <rPr>
        <b/>
        <vertAlign val="superscript"/>
        <sz val="11"/>
        <color rgb="FFFFC000"/>
        <rFont val="Aptos Narrow"/>
        <family val="2"/>
        <scheme val="minor"/>
      </rPr>
      <t xml:space="preserve"> 9</t>
    </r>
    <r>
      <rPr>
        <b/>
        <sz val="11"/>
        <color theme="0"/>
        <rFont val="Aptos Narrow"/>
        <family val="2"/>
        <scheme val="minor"/>
      </rPr>
      <t xml:space="preserve"> (n)</t>
    </r>
  </si>
  <si>
    <r>
      <t xml:space="preserve">ITA Players </t>
    </r>
    <r>
      <rPr>
        <b/>
        <vertAlign val="superscript"/>
        <sz val="11"/>
        <color rgb="FFFFC000"/>
        <rFont val="Aptos Narrow"/>
        <family val="2"/>
        <scheme val="minor"/>
      </rPr>
      <t>10</t>
    </r>
    <r>
      <rPr>
        <b/>
        <sz val="11"/>
        <color theme="0"/>
        <rFont val="Aptos Narrow"/>
        <family val="2"/>
        <scheme val="minor"/>
      </rPr>
      <t xml:space="preserve"> (n)</t>
    </r>
  </si>
  <si>
    <t>Sudah selesai mengerjakan?</t>
  </si>
  <si>
    <r>
      <t xml:space="preserve">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benar/salah</t>
    </r>
  </si>
  <si>
    <t>League Summary</t>
  </si>
  <si>
    <t>P</t>
  </si>
  <si>
    <t>W</t>
  </si>
  <si>
    <t>D</t>
  </si>
  <si>
    <t>L</t>
  </si>
  <si>
    <t>PTS</t>
  </si>
  <si>
    <t>G</t>
  </si>
  <si>
    <t>SH</t>
  </si>
  <si>
    <t>PK</t>
  </si>
  <si>
    <t>Label</t>
  </si>
  <si>
    <t>Description</t>
  </si>
  <si>
    <t>Played</t>
  </si>
  <si>
    <t>Win</t>
  </si>
  <si>
    <t>Draw</t>
  </si>
  <si>
    <t>Lose</t>
  </si>
  <si>
    <t>Points</t>
  </si>
  <si>
    <t>Shoot</t>
  </si>
  <si>
    <t>Shoot on Target</t>
  </si>
  <si>
    <t>Penalty Kick</t>
  </si>
  <si>
    <r>
      <t xml:space="preserve">G/SoT </t>
    </r>
    <r>
      <rPr>
        <b/>
        <vertAlign val="superscript"/>
        <sz val="11"/>
        <color rgb="FFFFC000"/>
        <rFont val="Aptos Narrow"/>
        <family val="2"/>
        <scheme val="minor"/>
      </rPr>
      <t>3</t>
    </r>
    <r>
      <rPr>
        <b/>
        <sz val="11"/>
        <color theme="0"/>
        <rFont val="Aptos Narrow"/>
        <family val="2"/>
        <scheme val="minor"/>
      </rPr>
      <t xml:space="preserve"> (n)</t>
    </r>
  </si>
  <si>
    <t>Stadium Attendance</t>
  </si>
  <si>
    <t>Date</t>
  </si>
  <si>
    <t>Opponent</t>
  </si>
  <si>
    <t>Stadium</t>
  </si>
  <si>
    <t>Capacity</t>
  </si>
  <si>
    <t>Attendance</t>
  </si>
  <si>
    <t>Giuseppe Meazza</t>
  </si>
  <si>
    <t>Luigi Ferraris</t>
  </si>
  <si>
    <t>Ennio Tardini</t>
  </si>
  <si>
    <t>Stadio Carlo Castellani</t>
  </si>
  <si>
    <t>Stadio Olimpico</t>
  </si>
  <si>
    <t>Renato Dall'Ara</t>
  </si>
  <si>
    <t>Stadio Marcantonio Bentegodi</t>
  </si>
  <si>
    <t>Unipol Domus</t>
  </si>
  <si>
    <t>Allianz Stadium</t>
  </si>
  <si>
    <t>Stadio Via del Mare</t>
  </si>
  <si>
    <t>Bluenergy Stadium</t>
  </si>
  <si>
    <t>Stadio Brianteo</t>
  </si>
  <si>
    <t>Diego Armando Maradona</t>
  </si>
  <si>
    <t>Artemio Franchi</t>
  </si>
  <si>
    <t>Olimpico Grande Torino</t>
  </si>
  <si>
    <t>Pier Luigi Penzo</t>
  </si>
  <si>
    <t>Giuseppe Sinigaglia</t>
  </si>
  <si>
    <t>New Balance Arena</t>
  </si>
  <si>
    <t>Player Stats</t>
  </si>
  <si>
    <t>Player</t>
  </si>
  <si>
    <t>Nation</t>
  </si>
  <si>
    <t>Pos</t>
  </si>
  <si>
    <t>Age</t>
  </si>
  <si>
    <t>Assists</t>
  </si>
  <si>
    <t>James Abankwah</t>
  </si>
  <si>
    <t>IRL</t>
  </si>
  <si>
    <t>DF,MF</t>
  </si>
  <si>
    <t>Saud Abdulhamid</t>
  </si>
  <si>
    <t>KSA</t>
  </si>
  <si>
    <t>DF</t>
  </si>
  <si>
    <t>Oliver Abildgaard</t>
  </si>
  <si>
    <t>DEN</t>
  </si>
  <si>
    <t>MF</t>
  </si>
  <si>
    <t>Tammy Abraham</t>
  </si>
  <si>
    <t>ENG</t>
  </si>
  <si>
    <t>FW</t>
  </si>
  <si>
    <t>Federico Accornero</t>
  </si>
  <si>
    <t>ITA</t>
  </si>
  <si>
    <t>Francesco Acerbi</t>
  </si>
  <si>
    <t>Che Adams</t>
  </si>
  <si>
    <t>SCO</t>
  </si>
  <si>
    <t>Yacine Adli</t>
  </si>
  <si>
    <t>FRA</t>
  </si>
  <si>
    <t>Vasilije Adžić</t>
  </si>
  <si>
    <t>MNE</t>
  </si>
  <si>
    <t>MF,FW</t>
  </si>
  <si>
    <t>Michel Aebischer</t>
  </si>
  <si>
    <t>SUI</t>
  </si>
  <si>
    <t>Honest Ahanor</t>
  </si>
  <si>
    <t>Junior Ajayi</t>
  </si>
  <si>
    <t>CIV</t>
  </si>
  <si>
    <t>Jean-Daniel Akpa-Akpro</t>
  </si>
  <si>
    <t>David Akpan Ankeye</t>
  </si>
  <si>
    <t>NGA</t>
  </si>
  <si>
    <t>FW,MF</t>
  </si>
  <si>
    <t>Faride Alidou</t>
  </si>
  <si>
    <t>GER</t>
  </si>
  <si>
    <t>Dele Alli</t>
  </si>
  <si>
    <t>Pontus Almqvist</t>
  </si>
  <si>
    <t>SWE</t>
  </si>
  <si>
    <t>Giorgio Altare</t>
  </si>
  <si>
    <t>Sofyan Amrabat</t>
  </si>
  <si>
    <t>MAR</t>
  </si>
  <si>
    <t>Angeliño</t>
  </si>
  <si>
    <t>ESP</t>
  </si>
  <si>
    <t>Lorenzo Anghelè</t>
  </si>
  <si>
    <t>Faustino Anjorin</t>
  </si>
  <si>
    <t>Marko Arnautović</t>
  </si>
  <si>
    <t>AUT</t>
  </si>
  <si>
    <t>Kristjan Asllani</t>
  </si>
  <si>
    <t>ALB</t>
  </si>
  <si>
    <t>Arthur Atta</t>
  </si>
  <si>
    <t>Emil Audero</t>
  </si>
  <si>
    <t>IDN</t>
  </si>
  <si>
    <t>GK</t>
  </si>
  <si>
    <t>Tommaso Augello</t>
  </si>
  <si>
    <t>Carlos Augusto</t>
  </si>
  <si>
    <t>BRA</t>
  </si>
  <si>
    <t>Yann Aurel Bisseck</t>
  </si>
  <si>
    <t>Paulo Azzi</t>
  </si>
  <si>
    <t>Oussama El Azzouzi</t>
  </si>
  <si>
    <t>Jacopo Bacci</t>
  </si>
  <si>
    <t>Milan Badelj</t>
  </si>
  <si>
    <t>CRO</t>
  </si>
  <si>
    <t>Mitchel Bakker</t>
  </si>
  <si>
    <t>NED</t>
  </si>
  <si>
    <t>Tommaso Baldanzi</t>
  </si>
  <si>
    <t>Keita Baldé</t>
  </si>
  <si>
    <t>SEN</t>
  </si>
  <si>
    <t>Botond Balogh</t>
  </si>
  <si>
    <t>HUN</t>
  </si>
  <si>
    <t>Mario Balotelli</t>
  </si>
  <si>
    <t>Lameck Banda</t>
  </si>
  <si>
    <t>ZAM</t>
  </si>
  <si>
    <t>Daniel Bandeira</t>
  </si>
  <si>
    <t>POR</t>
  </si>
  <si>
    <t>Mattia Bani</t>
  </si>
  <si>
    <t>Antonín Barák</t>
  </si>
  <si>
    <t>CZE</t>
  </si>
  <si>
    <t>Federico Barba</t>
  </si>
  <si>
    <t>Nicolò Barella</t>
  </si>
  <si>
    <t>Davide Bartesaghi</t>
  </si>
  <si>
    <t>Federico Baschirotto</t>
  </si>
  <si>
    <t>Daniele Baselli</t>
  </si>
  <si>
    <t>Alessandro Bastoni</t>
  </si>
  <si>
    <t>Reda Belahyane</t>
  </si>
  <si>
    <t>Raoul Bellanova</t>
  </si>
  <si>
    <t>Andrea Belotti</t>
  </si>
  <si>
    <t>Lucas Beltrán</t>
  </si>
  <si>
    <t>ARG</t>
  </si>
  <si>
    <t>Adrian Benedyczak</t>
  </si>
  <si>
    <t>POL</t>
  </si>
  <si>
    <t>Ismaël Bennacer</t>
  </si>
  <si>
    <t>ALG</t>
  </si>
  <si>
    <t>Medon Berisha</t>
  </si>
  <si>
    <t>Adrian Bernabe</t>
  </si>
  <si>
    <t>Antoine Bernede</t>
  </si>
  <si>
    <t>Sam Beukema</t>
  </si>
  <si>
    <t>Alessandro Bianco</t>
  </si>
  <si>
    <t>Jaka Bijol</t>
  </si>
  <si>
    <t>SVN</t>
  </si>
  <si>
    <t>Philip Billing</t>
  </si>
  <si>
    <t>Cristiano Biraghi</t>
  </si>
  <si>
    <t>Samuele Birindelli</t>
  </si>
  <si>
    <t>Bjarki Bjarkason</t>
  </si>
  <si>
    <t>ISL</t>
  </si>
  <si>
    <t>Emil Bohinen</t>
  </si>
  <si>
    <t>NOR</t>
  </si>
  <si>
    <t>Warren Bondo</t>
  </si>
  <si>
    <t>Kevin Bonifazi</t>
  </si>
  <si>
    <t>Ange-Yoan Bonny</t>
  </si>
  <si>
    <t>Edoardo Bove</t>
  </si>
  <si>
    <t>Domagoj Bradarić</t>
  </si>
  <si>
    <t>Matthias Braunöder</t>
  </si>
  <si>
    <t>Iker Bravo</t>
  </si>
  <si>
    <t>Gleison Bremer</t>
  </si>
  <si>
    <t>Brenner</t>
  </si>
  <si>
    <t>Marco Brescianini</t>
  </si>
  <si>
    <t>Arvid Brorsson</t>
  </si>
  <si>
    <t>Tajon Buchanan</t>
  </si>
  <si>
    <t>CAN</t>
  </si>
  <si>
    <t>DF,FW</t>
  </si>
  <si>
    <t>Alessandro Buongiorno</t>
  </si>
  <si>
    <t>Rareș-Cătălin Burnete</t>
  </si>
  <si>
    <t>ROU</t>
  </si>
  <si>
    <t>Gianluca Busio</t>
  </si>
  <si>
    <t>USA</t>
  </si>
  <si>
    <t>Jean Butez</t>
  </si>
  <si>
    <t>Liberato Cacace</t>
  </si>
  <si>
    <t>NZL</t>
  </si>
  <si>
    <t>MF,DF</t>
  </si>
  <si>
    <t>Alessio Cacciamani</t>
  </si>
  <si>
    <t>Davide Calabria</t>
  </si>
  <si>
    <t>Luca Caldirola</t>
  </si>
  <si>
    <t>Hakan Çalhanoğlu</t>
  </si>
  <si>
    <t>TUR</t>
  </si>
  <si>
    <t>Drissa Camara</t>
  </si>
  <si>
    <t>Francesco Camarda</t>
  </si>
  <si>
    <t>Nicolò Cambiaghi</t>
  </si>
  <si>
    <t>Andrea Cambiaso</t>
  </si>
  <si>
    <t>Thomas Campaniello</t>
  </si>
  <si>
    <t>Matteo Cancellieri</t>
  </si>
  <si>
    <t>Fali Candé</t>
  </si>
  <si>
    <t>GNB</t>
  </si>
  <si>
    <t>Antonio Candela</t>
  </si>
  <si>
    <t>Gianluca Caprari</t>
  </si>
  <si>
    <t>Elia Caprile</t>
  </si>
  <si>
    <t>Francesco Caputo</t>
  </si>
  <si>
    <t>Maxence Caqueret</t>
  </si>
  <si>
    <t>Andrea Carboni</t>
  </si>
  <si>
    <t>Franco Carboni</t>
  </si>
  <si>
    <t>Marco Carnesecchi</t>
  </si>
  <si>
    <t>Cesare Casadei</t>
  </si>
  <si>
    <t>Nicolò Casale</t>
  </si>
  <si>
    <t>Federico Cassa</t>
  </si>
  <si>
    <t>Valentín Castellanos</t>
  </si>
  <si>
    <t>Santiago Castro</t>
  </si>
  <si>
    <t>Gaetano Castrovilli</t>
  </si>
  <si>
    <t>Danilo Cataldi</t>
  </si>
  <si>
    <t>Zeki Çelik</t>
  </si>
  <si>
    <t>Alberto Cerri</t>
  </si>
  <si>
    <t>Gabriel Charpentier</t>
  </si>
  <si>
    <t>CGO</t>
  </si>
  <si>
    <t>Walid Cheddira</t>
  </si>
  <si>
    <t>Leandro Chichizola</t>
  </si>
  <si>
    <t>Samuel Chukwueze</t>
  </si>
  <si>
    <t>Aaron Ciammaglichella</t>
  </si>
  <si>
    <t>Giuseppe Ciocci</t>
  </si>
  <si>
    <t>Alessandro Circati</t>
  </si>
  <si>
    <t>AUS</t>
  </si>
  <si>
    <t>Alphadjo Cissè</t>
  </si>
  <si>
    <t>Patrick Ciurria</t>
  </si>
  <si>
    <t>Saúl Coco</t>
  </si>
  <si>
    <t>EQG</t>
  </si>
  <si>
    <t>Lorenzo Colombo</t>
  </si>
  <si>
    <t>Andrea Colpani</t>
  </si>
  <si>
    <t>Florinel Coman</t>
  </si>
  <si>
    <t>Pietro Comuzzo</t>
  </si>
  <si>
    <t>Francisco Conceição</t>
  </si>
  <si>
    <t>Diego Coppola</t>
  </si>
  <si>
    <t>Maxwel Cornet</t>
  </si>
  <si>
    <t>Joaquín Correa</t>
  </si>
  <si>
    <t>Alberto costa</t>
  </si>
  <si>
    <t>Lassana Coulibaly</t>
  </si>
  <si>
    <t>MLI</t>
  </si>
  <si>
    <t>Woyo Coulibaly</t>
  </si>
  <si>
    <t>Bryan Cristante</t>
  </si>
  <si>
    <t>Domen Črnigoj</t>
  </si>
  <si>
    <t>Juan Cuadrado</t>
  </si>
  <si>
    <t>COL</t>
  </si>
  <si>
    <t>Patrick Cutrone</t>
  </si>
  <si>
    <t>Wylan Cyprien</t>
  </si>
  <si>
    <t>Danilo D'Ambrosio</t>
  </si>
  <si>
    <t>Lucas Da Cunha</t>
  </si>
  <si>
    <t>Samuel Dahl</t>
  </si>
  <si>
    <t>Thijs Dallinga</t>
  </si>
  <si>
    <t>Maat Daniel Caprini</t>
  </si>
  <si>
    <t>Flavius Daniliuc</t>
  </si>
  <si>
    <t>Danilo</t>
  </si>
  <si>
    <t>Matteo Darmian</t>
  </si>
  <si>
    <t>Juan David Cabal</t>
  </si>
  <si>
    <t>Keinan Davis</t>
  </si>
  <si>
    <t>Paweł Dawidowicz</t>
  </si>
  <si>
    <t>Charles De Ketelaere</t>
  </si>
  <si>
    <t>BEL</t>
  </si>
  <si>
    <t>Mattia De Sciglio</t>
  </si>
  <si>
    <t>Lorenzo De Silvestri</t>
  </si>
  <si>
    <t>Koni De Winter</t>
  </si>
  <si>
    <t>Alessandro Deiola</t>
  </si>
  <si>
    <t>Enrico Del Prato</t>
  </si>
  <si>
    <t>Fisayo Dele-Bashiru</t>
  </si>
  <si>
    <t>Ali Dembélé</t>
  </si>
  <si>
    <t>Michele Di Gregorio</t>
  </si>
  <si>
    <t>Giovanni Di Lorenzo</t>
  </si>
  <si>
    <t>Boulaye Dia</t>
  </si>
  <si>
    <t>Assane Diao</t>
  </si>
  <si>
    <t>Federico Dimarco</t>
  </si>
  <si>
    <t>Berat Djimsiti</t>
  </si>
  <si>
    <t>Dodô</t>
  </si>
  <si>
    <t>Benjamín Domínguez</t>
  </si>
  <si>
    <t>Patrick Dorgu</t>
  </si>
  <si>
    <t>Alberto Dossena</t>
  </si>
  <si>
    <t>Issa Doumbia</t>
  </si>
  <si>
    <t>Anastasios Douvikas</t>
  </si>
  <si>
    <t>GRE</t>
  </si>
  <si>
    <t>Artem Dovbyk</t>
  </si>
  <si>
    <t>UKR</t>
  </si>
  <si>
    <t>Ondrej Duda</t>
  </si>
  <si>
    <t>SVK</t>
  </si>
  <si>
    <t>Denzel Dumfries</t>
  </si>
  <si>
    <t>Alfred Duncan</t>
  </si>
  <si>
    <t>GHA</t>
  </si>
  <si>
    <t>Paulo Dybala</t>
  </si>
  <si>
    <t>Enzo Ebosse</t>
  </si>
  <si>
    <t>CMR</t>
  </si>
  <si>
    <t>Tyronne Ebuehi</t>
  </si>
  <si>
    <t>Éderson</t>
  </si>
  <si>
    <t>Kingsley Ehizibue</t>
  </si>
  <si>
    <t>Jeff Ekhator</t>
  </si>
  <si>
    <t>Jurgen Ekkelenkamp</t>
  </si>
  <si>
    <t>Emmanuel Ekong</t>
  </si>
  <si>
    <t>Caleb Ekuban</t>
  </si>
  <si>
    <t>Mikael Ellertsson</t>
  </si>
  <si>
    <t>Elif Elmas</t>
  </si>
  <si>
    <t>MKD</t>
  </si>
  <si>
    <t>Emerson</t>
  </si>
  <si>
    <t>Yannik Engelhardt</t>
  </si>
  <si>
    <t>Martin Erlic</t>
  </si>
  <si>
    <t>Sebastiano Esposito</t>
  </si>
  <si>
    <t>Estanis</t>
  </si>
  <si>
    <t>Nahuel Estévez</t>
  </si>
  <si>
    <t>Giovanni Fabbian</t>
  </si>
  <si>
    <t>Alieu Fadera</t>
  </si>
  <si>
    <t>GAM</t>
  </si>
  <si>
    <t>FW,DF</t>
  </si>
  <si>
    <t>Nicolò Fagioli</t>
  </si>
  <si>
    <t>Wladimiro Falcone</t>
  </si>
  <si>
    <t>Davide Faraoni</t>
  </si>
  <si>
    <t>Jacopo Fazzini</t>
  </si>
  <si>
    <t>Mattia Felici</t>
  </si>
  <si>
    <t>João Félix</t>
  </si>
  <si>
    <t>Lewis Ferguson</t>
  </si>
  <si>
    <t>Daniel Fila</t>
  </si>
  <si>
    <t>Alessandro Florenzi</t>
  </si>
  <si>
    <t>Youssouf Fofana</t>
  </si>
  <si>
    <t>Michael Folorunsho</t>
  </si>
  <si>
    <t>Omari Forson</t>
  </si>
  <si>
    <t>Davide Frattesi</t>
  </si>
  <si>
    <t>Morten Frendrup</t>
  </si>
  <si>
    <t>Martin Frese</t>
  </si>
  <si>
    <t>Remo Freuler</t>
  </si>
  <si>
    <t>Matteo Gabbia</t>
  </si>
  <si>
    <t>Tommaso Gabellini</t>
  </si>
  <si>
    <t>Tiago Gabriel</t>
  </si>
  <si>
    <t>Alessandro Gabrielloni</t>
  </si>
  <si>
    <t>Gianluca Gaetano</t>
  </si>
  <si>
    <t>Roberto Gagliardini</t>
  </si>
  <si>
    <t>Antonino Gallo</t>
  </si>
  <si>
    <t>Silvère Ganvoula M'Boussy</t>
  </si>
  <si>
    <t>Federico Gatti</t>
  </si>
  <si>
    <t>David de Gea</t>
  </si>
  <si>
    <t>Valentin Gendrey</t>
  </si>
  <si>
    <t>Daniele Ghilardi</t>
  </si>
  <si>
    <t>Lautaro Gianetti</t>
  </si>
  <si>
    <t>Samuel Gigot</t>
  </si>
  <si>
    <t>Mario Gila</t>
  </si>
  <si>
    <t>Billy Gilmour</t>
  </si>
  <si>
    <t>Santiago Giménez</t>
  </si>
  <si>
    <t>MEX</t>
  </si>
  <si>
    <t>Gvidas Gineitis</t>
  </si>
  <si>
    <t>LTU</t>
  </si>
  <si>
    <t>Ben Godfrey</t>
  </si>
  <si>
    <t>Saba Goglichidze</t>
  </si>
  <si>
    <t>GEO</t>
  </si>
  <si>
    <t>Edoardo Goldaniga</t>
  </si>
  <si>
    <t>Pierluigi Gollini</t>
  </si>
  <si>
    <t>Nicolás González</t>
  </si>
  <si>
    <t>Robin Gosens</t>
  </si>
  <si>
    <t>Lucas Gourna-Douath</t>
  </si>
  <si>
    <t>Alberto Grassi</t>
  </si>
  <si>
    <t>Mattéo Guendouzi</t>
  </si>
  <si>
    <t>Frederic Guilbert</t>
  </si>
  <si>
    <t>Albert Guðmundsson</t>
  </si>
  <si>
    <t>Emmanuel Gyasi</t>
  </si>
  <si>
    <t>Christian Gytkjær</t>
  </si>
  <si>
    <t>Nicolas Haas</t>
  </si>
  <si>
    <t>Saad El Haddad</t>
  </si>
  <si>
    <t>Antoine Hainaut</t>
  </si>
  <si>
    <t>Mohamed Haj</t>
  </si>
  <si>
    <t>TUN</t>
  </si>
  <si>
    <t>Ridgeciano Haps</t>
  </si>
  <si>
    <t>SUR</t>
  </si>
  <si>
    <t>Abdou Harroui</t>
  </si>
  <si>
    <t>Liam Henderson</t>
  </si>
  <si>
    <t>Mario Hermoso</t>
  </si>
  <si>
    <t>Theo Hernández</t>
  </si>
  <si>
    <t>Hernani</t>
  </si>
  <si>
    <t>Isak Hien</t>
  </si>
  <si>
    <t>Emil Holm</t>
  </si>
  <si>
    <t>Mats Hummels</t>
  </si>
  <si>
    <t>Elseid Hysaj</t>
  </si>
  <si>
    <t>Arijon Ibrahimović</t>
  </si>
  <si>
    <t>Jay Idzes</t>
  </si>
  <si>
    <t>Jonathan Ikone</t>
  </si>
  <si>
    <t>Ivan Ilić</t>
  </si>
  <si>
    <t>SRB</t>
  </si>
  <si>
    <t>Samuel Iling-Junior</t>
  </si>
  <si>
    <t>Alessio Iovine</t>
  </si>
  <si>
    <t>Gustav Isaksen</t>
  </si>
  <si>
    <t>Ardian Ismajli</t>
  </si>
  <si>
    <t>Armando Izzo</t>
  </si>
  <si>
    <t>Fellipe Jack</t>
  </si>
  <si>
    <t>Ali Jasim</t>
  </si>
  <si>
    <t>IRQ</t>
  </si>
  <si>
    <t>Gaby Jean</t>
  </si>
  <si>
    <t>Juan Jesus</t>
  </si>
  <si>
    <t>Álex Jiménez</t>
  </si>
  <si>
    <t>Þórir Jóhann Helgason</t>
  </si>
  <si>
    <t>Jesse Joronen</t>
  </si>
  <si>
    <t>FIN</t>
  </si>
  <si>
    <t>Luka Jović</t>
  </si>
  <si>
    <t>Mohamed Kaba</t>
  </si>
  <si>
    <t>Christian Kabasele</t>
  </si>
  <si>
    <t>Pierre Kalulu</t>
  </si>
  <si>
    <t>Hassane Kamara</t>
  </si>
  <si>
    <t>Yann Karamoh</t>
  </si>
  <si>
    <t>Jesper Karlsson</t>
  </si>
  <si>
    <t>Jesper Karlström</t>
  </si>
  <si>
    <t>Lior Kasa</t>
  </si>
  <si>
    <t>ISR</t>
  </si>
  <si>
    <t>Grigoris Kastanos</t>
  </si>
  <si>
    <t>CYP</t>
  </si>
  <si>
    <t>Michael Kayode</t>
  </si>
  <si>
    <t>Moise Kean</t>
  </si>
  <si>
    <t>Mandela Keita</t>
  </si>
  <si>
    <t>Lloyd Kelly</t>
  </si>
  <si>
    <t>Marc-Oliver Kempf</t>
  </si>
  <si>
    <t>Kialonda</t>
  </si>
  <si>
    <t>ANG</t>
  </si>
  <si>
    <t>Magnus Kofod Andersen</t>
  </si>
  <si>
    <t>Sead Kolašinac</t>
  </si>
  <si>
    <t>BIH</t>
  </si>
  <si>
    <t>Randal Kolo Muani</t>
  </si>
  <si>
    <t>Ismael Konate</t>
  </si>
  <si>
    <t>Manu Koné</t>
  </si>
  <si>
    <t>Teun Koopmeiners</t>
  </si>
  <si>
    <t>Odilon Kossounou</t>
  </si>
  <si>
    <t>Christian Kouamé</t>
  </si>
  <si>
    <t>Viktor Kovalenko</t>
  </si>
  <si>
    <t>Mateusz Kowalski</t>
  </si>
  <si>
    <t>Thomas Kristensen</t>
  </si>
  <si>
    <t>Nikola Krstović</t>
  </si>
  <si>
    <t>Khvicha Kvaratskhelia</t>
  </si>
  <si>
    <t>Giorgos Kyriakopoulos</t>
  </si>
  <si>
    <t>Mathis Lambourde</t>
  </si>
  <si>
    <t>Gianluca Lapadula</t>
  </si>
  <si>
    <t>PER</t>
  </si>
  <si>
    <t>Valentino Lazaro</t>
  </si>
  <si>
    <t>Darko Lazović</t>
  </si>
  <si>
    <t>Manuel Lazzari</t>
  </si>
  <si>
    <t>Enzo Le Fée</t>
  </si>
  <si>
    <t>Nicola Leali</t>
  </si>
  <si>
    <t>Rafael Leão</t>
  </si>
  <si>
    <t>Stefan Lekovic</t>
  </si>
  <si>
    <t>Nunzio Lella</t>
  </si>
  <si>
    <t>Giovanni Leoni</t>
  </si>
  <si>
    <t>Ben Lhassine Kone</t>
  </si>
  <si>
    <t>Mattia Liberali</t>
  </si>
  <si>
    <t>Karol Linetty</t>
  </si>
  <si>
    <t>Dailon Livramento</t>
  </si>
  <si>
    <t>CPV</t>
  </si>
  <si>
    <t>Stanislav Lobotka</t>
  </si>
  <si>
    <t>Manuel Locatelli</t>
  </si>
  <si>
    <t>Ruben Loftus-Cheek</t>
  </si>
  <si>
    <t>Ademola Lookman</t>
  </si>
  <si>
    <t>Sandi Lovrić</t>
  </si>
  <si>
    <t>Lorenzo Lucca</t>
  </si>
  <si>
    <t>Jhon Lucumí</t>
  </si>
  <si>
    <t>José Luis Palomino</t>
  </si>
  <si>
    <t>Douglas Luiz</t>
  </si>
  <si>
    <t>Romelu Lukaku</t>
  </si>
  <si>
    <t>Sebastiano Luperto</t>
  </si>
  <si>
    <t>Zito Luvumbo</t>
  </si>
  <si>
    <t>Charalampos Lykogiannis</t>
  </si>
  <si>
    <t>Mathias Løvik</t>
  </si>
  <si>
    <t>Giangiacomo Magnani</t>
  </si>
  <si>
    <t>Mike Maignan</t>
  </si>
  <si>
    <t>Antoine Makoumbou</t>
  </si>
  <si>
    <t>Daniel Maldini</t>
  </si>
  <si>
    <t>Youssef Maleh</t>
  </si>
  <si>
    <t>Ruslan Malinovskyi</t>
  </si>
  <si>
    <t>Dennis Man</t>
  </si>
  <si>
    <t>Gianluca Mancini</t>
  </si>
  <si>
    <t>Christos Mandas</t>
  </si>
  <si>
    <t>Rolando Mandragora</t>
  </si>
  <si>
    <t>Alberto Manzoni</t>
  </si>
  <si>
    <t>Alessandro Marcandalli</t>
  </si>
  <si>
    <t>Filip Marchwiński</t>
  </si>
  <si>
    <t>Pablo Marí</t>
  </si>
  <si>
    <t>Luca Marianucci</t>
  </si>
  <si>
    <t>Mirko Marić</t>
  </si>
  <si>
    <t>Rafa Marín</t>
  </si>
  <si>
    <t>Răzvan Marin</t>
  </si>
  <si>
    <t>Guillermo Maripán</t>
  </si>
  <si>
    <t>CHI</t>
  </si>
  <si>
    <t>Aarón Martín</t>
  </si>
  <si>
    <t>Josep Martinez</t>
  </si>
  <si>
    <t>Lautaro Martínez</t>
  </si>
  <si>
    <t>Lucas Martínez Quarta</t>
  </si>
  <si>
    <t>Kevin Martins</t>
  </si>
  <si>
    <t>Adam Marušić</t>
  </si>
  <si>
    <t>Adam Masina</t>
  </si>
  <si>
    <t>Patrizio Masini</t>
  </si>
  <si>
    <t>Alan Matturro</t>
  </si>
  <si>
    <t>URU</t>
  </si>
  <si>
    <t>Andrea Mazza</t>
  </si>
  <si>
    <t>Luca Mazzitelli</t>
  </si>
  <si>
    <t>Pasquale Mazzocchi</t>
  </si>
  <si>
    <t>Samuel Mbangula</t>
  </si>
  <si>
    <t>Weston McKennie</t>
  </si>
  <si>
    <t>Scott McTominay</t>
  </si>
  <si>
    <t>Filippo Melegoni</t>
  </si>
  <si>
    <t>Alex Meret</t>
  </si>
  <si>
    <t>Junior Messias</t>
  </si>
  <si>
    <t>Valentin Mihaila</t>
  </si>
  <si>
    <t>Vanja Milinković-Savić</t>
  </si>
  <si>
    <t>Yerry Mina</t>
  </si>
  <si>
    <t>Juan Miranda</t>
  </si>
  <si>
    <t>Fabio Miretti</t>
  </si>
  <si>
    <t>Henrikh Mkhitaryan</t>
  </si>
  <si>
    <t>ARM</t>
  </si>
  <si>
    <t>Rui Modesto</t>
  </si>
  <si>
    <t>Lorenzo Montipò</t>
  </si>
  <si>
    <t>Álvaro Morata</t>
  </si>
  <si>
    <t>Alberto Moreno</t>
  </si>
  <si>
    <t>Matias Moreno</t>
  </si>
  <si>
    <t>Tete Morente</t>
  </si>
  <si>
    <t>Nikola Moro</t>
  </si>
  <si>
    <t>Daniel Mosquera</t>
  </si>
  <si>
    <t>Dany Mota</t>
  </si>
  <si>
    <t>Bob Murphy Omoregbe</t>
  </si>
  <si>
    <t>Yunus Musah</t>
  </si>
  <si>
    <t>Juan Musso</t>
  </si>
  <si>
    <t>Kingstone Mutandwa</t>
  </si>
  <si>
    <t>Obite N'Dicka</t>
  </si>
  <si>
    <t>Konan N'dri</t>
  </si>
  <si>
    <t>Michel Ndary Adopo</t>
  </si>
  <si>
    <t>Cher Ndour</t>
  </si>
  <si>
    <t>Dan Ndoye</t>
  </si>
  <si>
    <t>Victor Nelsson</t>
  </si>
  <si>
    <t>David Neres</t>
  </si>
  <si>
    <t>Cyril Ngonge</t>
  </si>
  <si>
    <t>Cheikh Niasse</t>
  </si>
  <si>
    <t>Hans Nicolussi Caviglia</t>
  </si>
  <si>
    <t>Oliver Nielsen</t>
  </si>
  <si>
    <t>Alieu Njie</t>
  </si>
  <si>
    <t>Brooke Norton-Cuffy</t>
  </si>
  <si>
    <t>Tijjani Noslin</t>
  </si>
  <si>
    <t>Adam Obert</t>
  </si>
  <si>
    <t>Jens Odgaard</t>
  </si>
  <si>
    <t>Noah Okafor</t>
  </si>
  <si>
    <t>Yllan Okou</t>
  </si>
  <si>
    <t>Maduka Okoye</t>
  </si>
  <si>
    <t>Mathías Olivera</t>
  </si>
  <si>
    <t>Jean Onana</t>
  </si>
  <si>
    <t>Jacob Ondrejka</t>
  </si>
  <si>
    <t>Gaetano Oristanio</t>
  </si>
  <si>
    <t>Riccardo Orsolini</t>
  </si>
  <si>
    <t>Yordan Osorio</t>
  </si>
  <si>
    <t>VEN</t>
  </si>
  <si>
    <t>Sebastian Otoa</t>
  </si>
  <si>
    <t>Remi Oudin</t>
  </si>
  <si>
    <t>Cheick Oumar Conde</t>
  </si>
  <si>
    <t>GUI</t>
  </si>
  <si>
    <t>Daniel Oyegoke</t>
  </si>
  <si>
    <t>Daniele Padelli</t>
  </si>
  <si>
    <t>Simone Pafundi</t>
  </si>
  <si>
    <t>Tomás Palacios</t>
  </si>
  <si>
    <t>Alberto Paleari</t>
  </si>
  <si>
    <t>Marco Palestra</t>
  </si>
  <si>
    <t>Matteo Palma</t>
  </si>
  <si>
    <t>Leandro Paredes</t>
  </si>
  <si>
    <t>Fabiano Parisi</t>
  </si>
  <si>
    <t>Mario Pašalić</t>
  </si>
  <si>
    <t>Patric</t>
  </si>
  <si>
    <t>Rui Patrício</t>
  </si>
  <si>
    <t>Benjamin Pavard</t>
  </si>
  <si>
    <t>Strahinja Pavlović</t>
  </si>
  <si>
    <t>Leonardo Pavoletti</t>
  </si>
  <si>
    <t>Martín Payero</t>
  </si>
  <si>
    <t>Nicolás Paz</t>
  </si>
  <si>
    <t>Marcus Pedersen</t>
  </si>
  <si>
    <t>Pedro</t>
  </si>
  <si>
    <t>Pietro Pellegri</t>
  </si>
  <si>
    <t>Lorenzo Pellegrini</t>
  </si>
  <si>
    <t>Luca Pellegrini</t>
  </si>
  <si>
    <t>Mateo Pellegrino</t>
  </si>
  <si>
    <t>Andy Pelmard</t>
  </si>
  <si>
    <t>MAD</t>
  </si>
  <si>
    <t>Sergiu Perciun</t>
  </si>
  <si>
    <t>MDA</t>
  </si>
  <si>
    <t>Pedro Pereira</t>
  </si>
  <si>
    <t>Gastón Pereiro</t>
  </si>
  <si>
    <t>Kike Pérez</t>
  </si>
  <si>
    <t>Nehuén Pérez</t>
  </si>
  <si>
    <t>Simone Perilli</t>
  </si>
  <si>
    <t>Mattia Perin</t>
  </si>
  <si>
    <t>Máximo Perrone</t>
  </si>
  <si>
    <t>Matteo Pessina</t>
  </si>
  <si>
    <t>Andrea Petagna</t>
  </si>
  <si>
    <t>Giuseppe Pezzella</t>
  </si>
  <si>
    <t>Roberto Piccoli</t>
  </si>
  <si>
    <t>Nicholas Pierini</t>
  </si>
  <si>
    <t>Santiago Pierotti</t>
  </si>
  <si>
    <t>Balthazar Pierret</t>
  </si>
  <si>
    <t>Andrea Pinamonti</t>
  </si>
  <si>
    <t>Nicola Pintus</t>
  </si>
  <si>
    <t>Niccolò Pisilli</t>
  </si>
  <si>
    <t>Damián Pizarro</t>
  </si>
  <si>
    <t>Semuel Pizzignacco</t>
  </si>
  <si>
    <t>Tommaso Pobega</t>
  </si>
  <si>
    <t>Joel Pohjanpalo</t>
  </si>
  <si>
    <t>Matteo Politano</t>
  </si>
  <si>
    <t>Marin Pongračić</t>
  </si>
  <si>
    <t>Stefan Posch</t>
  </si>
  <si>
    <t>Matteo Prati</t>
  </si>
  <si>
    <t>Ivan Provedel</t>
  </si>
  <si>
    <t>Diego Pugno</t>
  </si>
  <si>
    <t>Christian Pulisic</t>
  </si>
  <si>
    <t>Ionuț Radu</t>
  </si>
  <si>
    <t>Hamza Rafia</t>
  </si>
  <si>
    <t>Antonio Raimondo</t>
  </si>
  <si>
    <t>Ylber Ramadani</t>
  </si>
  <si>
    <t>Luca Ranieri</t>
  </si>
  <si>
    <t>Giacomo Raspadori</t>
  </si>
  <si>
    <t>Federico Ravaglia</t>
  </si>
  <si>
    <t>Ante Rebić</t>
  </si>
  <si>
    <t>Tijjani Reijnders</t>
  </si>
  <si>
    <t>Pepe Reina</t>
  </si>
  <si>
    <t>Devyne Rensch</t>
  </si>
  <si>
    <t>Mateo Retegui</t>
  </si>
  <si>
    <t>Samuele Ricci</t>
  </si>
  <si>
    <t>Amir Richardson</t>
  </si>
  <si>
    <t>Sergi Roberto</t>
  </si>
  <si>
    <t>Alessio Romagnoli</t>
  </si>
  <si>
    <t>Marten de Roon</t>
  </si>
  <si>
    <t>Jonas Rouhi</t>
  </si>
  <si>
    <t>Nicolò Rovella</t>
  </si>
  <si>
    <t>Amir Rrahmani</t>
  </si>
  <si>
    <t>KVX</t>
  </si>
  <si>
    <t>Tommaso Rubino</t>
  </si>
  <si>
    <t>Matteo Ruggeri</t>
  </si>
  <si>
    <t>Stefano Sabelli</t>
  </si>
  <si>
    <t>Alexis Saelemaekers</t>
  </si>
  <si>
    <t>Richie Sagrado</t>
  </si>
  <si>
    <t>Marco Sala</t>
  </si>
  <si>
    <t>Anass Salah-Eddine</t>
  </si>
  <si>
    <t>Lazar Samardzic</t>
  </si>
  <si>
    <t>Junior Sambia</t>
  </si>
  <si>
    <t>Antonio Sanabria</t>
  </si>
  <si>
    <t>PAR</t>
  </si>
  <si>
    <t>Alexis Sánchez</t>
  </si>
  <si>
    <t>Nicola Sansone</t>
  </si>
  <si>
    <t>Amin Sarr</t>
  </si>
  <si>
    <t>Razvan Sava</t>
  </si>
  <si>
    <t>Nicolò Savona</t>
  </si>
  <si>
    <t>Saba Sazonov</t>
  </si>
  <si>
    <t>Giorgio Scalvini</t>
  </si>
  <si>
    <t>Gianluca Scamacca</t>
  </si>
  <si>
    <t>Joël Schingtienne</t>
  </si>
  <si>
    <t>Simone Scuffet</t>
  </si>
  <si>
    <t>Jacopo Seghetti</t>
  </si>
  <si>
    <t>Stefano Sensi</t>
  </si>
  <si>
    <t>Suat Serdar</t>
  </si>
  <si>
    <t>Stephan El Shaarawy</t>
  </si>
  <si>
    <t>Alen Sherri</t>
  </si>
  <si>
    <t>Eldor Shomurodov</t>
  </si>
  <si>
    <t>UZB</t>
  </si>
  <si>
    <t>Benjamin Siegrist</t>
  </si>
  <si>
    <t>Marco Silvestri</t>
  </si>
  <si>
    <t>Giovanni Simeone</t>
  </si>
  <si>
    <t>Łukasz Skorupski</t>
  </si>
  <si>
    <t>Ivan Smolčić</t>
  </si>
  <si>
    <t>Simon Sohm</t>
  </si>
  <si>
    <t>Ola Solbakken</t>
  </si>
  <si>
    <t>Oumar Solet</t>
  </si>
  <si>
    <t>Daniele Sommariva</t>
  </si>
  <si>
    <t>Yann Sommer</t>
  </si>
  <si>
    <t>Borna Sosa</t>
  </si>
  <si>
    <t>Riccardo Sottil</t>
  </si>
  <si>
    <t>Matìas Soulé</t>
  </si>
  <si>
    <t>Leonardo Spinazzola</t>
  </si>
  <si>
    <t>Marco Sportiello</t>
  </si>
  <si>
    <t>Filip Stankovic</t>
  </si>
  <si>
    <t>Petar Stojanović</t>
  </si>
  <si>
    <t>Gabriel Strefezza</t>
  </si>
  <si>
    <t>Ibrahim Sulemana</t>
  </si>
  <si>
    <t>Tomáš Suslov</t>
  </si>
  <si>
    <t>Zion Suzuki</t>
  </si>
  <si>
    <t>JPN</t>
  </si>
  <si>
    <t>Marin Šverko</t>
  </si>
  <si>
    <t>Mile Svilar</t>
  </si>
  <si>
    <t>Michael Svoboda</t>
  </si>
  <si>
    <t>Adrien Tameze</t>
  </si>
  <si>
    <t>Mehdi Taremi</t>
  </si>
  <si>
    <t>IRN</t>
  </si>
  <si>
    <t>Nuno Tavares</t>
  </si>
  <si>
    <t>Loum Tchaouna</t>
  </si>
  <si>
    <t>Jackson Tchatchoua</t>
  </si>
  <si>
    <t>Casper Tengstedt</t>
  </si>
  <si>
    <t>Filippo Terracciano</t>
  </si>
  <si>
    <t>Pietro Terracciano</t>
  </si>
  <si>
    <t>Florian Thauvin</t>
  </si>
  <si>
    <t>Malick Thiaw</t>
  </si>
  <si>
    <t>Morten Thorsby</t>
  </si>
  <si>
    <t>Khéphren Thuram</t>
  </si>
  <si>
    <t>Marcus Thuram</t>
  </si>
  <si>
    <t>Rafael Tolói</t>
  </si>
  <si>
    <t>Fikayo Tomori</t>
  </si>
  <si>
    <t>Luka Topalović</t>
  </si>
  <si>
    <t>Lorenzo Tosto</t>
  </si>
  <si>
    <t>Souleymane Touré</t>
  </si>
  <si>
    <t>Stefano Turati</t>
  </si>
  <si>
    <t>Kacper Urbanski</t>
  </si>
  <si>
    <t>Lautaro Valenti</t>
  </si>
  <si>
    <t>Nicolás Valentini</t>
  </si>
  <si>
    <t>Emanuele Valeri</t>
  </si>
  <si>
    <t>Álex Valle</t>
  </si>
  <si>
    <t>Mattia Valoti</t>
  </si>
  <si>
    <t>Ignace Van Der Brempt</t>
  </si>
  <si>
    <t>Devis Vásquez</t>
  </si>
  <si>
    <t>Johan Vásquez</t>
  </si>
  <si>
    <t>Matías Vecino</t>
  </si>
  <si>
    <t>Danilo Veiga</t>
  </si>
  <si>
    <t>Renato Veiga</t>
  </si>
  <si>
    <t>Lorenzo Venturino</t>
  </si>
  <si>
    <t>Simone Verdi</t>
  </si>
  <si>
    <t>Samuele Vignato</t>
  </si>
  <si>
    <t>Nicolas Viola</t>
  </si>
  <si>
    <t>Mattia Viti</t>
  </si>
  <si>
    <t>Vitinha</t>
  </si>
  <si>
    <t>Dušan Vlahović</t>
  </si>
  <si>
    <t>Vanja Vlahović</t>
  </si>
  <si>
    <t>Nikola Vlašić</t>
  </si>
  <si>
    <t>Alessandro Vogliacco</t>
  </si>
  <si>
    <t>Mërgim Vojvoda</t>
  </si>
  <si>
    <t>Stefan de Vrij</t>
  </si>
  <si>
    <t>Kyle Walker</t>
  </si>
  <si>
    <t>Sebastian Walukiewicz</t>
  </si>
  <si>
    <t>Timothy Weah</t>
  </si>
  <si>
    <t>Mateusz Wieteska</t>
  </si>
  <si>
    <t>John Yeboah</t>
  </si>
  <si>
    <t>ECU</t>
  </si>
  <si>
    <t>Kenan Yıldız</t>
  </si>
  <si>
    <t>Mattia Zaccagni</t>
  </si>
  <si>
    <t>Nicola Zalewski</t>
  </si>
  <si>
    <t>Andre-Frank Zambo Anguissa</t>
  </si>
  <si>
    <t>Francesco Zampano</t>
  </si>
  <si>
    <t>Nicolò Zaniolo</t>
  </si>
  <si>
    <t>Alessandro Zanoli</t>
  </si>
  <si>
    <t>Duván Zapata</t>
  </si>
  <si>
    <t>Gabriele Zappa</t>
  </si>
  <si>
    <t>Davide Zappacosta</t>
  </si>
  <si>
    <t>Oier Zarraga</t>
  </si>
  <si>
    <t>Jordan Zemura</t>
  </si>
  <si>
    <t>ZIM</t>
  </si>
  <si>
    <t>Alessio Zerbin</t>
  </si>
  <si>
    <t>Kevin Zeroli</t>
  </si>
  <si>
    <t>Piotr Zieliński</t>
  </si>
  <si>
    <t>Nadir Zortea</t>
  </si>
  <si>
    <t>Szymon Żurkowski</t>
  </si>
  <si>
    <t>Milan Đurić</t>
  </si>
  <si>
    <r>
      <t xml:space="preserve">Yellow Card </t>
    </r>
    <r>
      <rPr>
        <b/>
        <vertAlign val="superscript"/>
        <sz val="11"/>
        <color rgb="FFFFC000"/>
        <rFont val="Aptos Narrow"/>
        <family val="2"/>
        <scheme val="minor"/>
      </rPr>
      <t>8</t>
    </r>
    <r>
      <rPr>
        <b/>
        <sz val="11"/>
        <color theme="0"/>
        <rFont val="Aptos Narrow"/>
        <family val="2"/>
        <scheme val="minor"/>
      </rPr>
      <t xml:space="preserve"> (n)</t>
    </r>
  </si>
  <si>
    <t>Yellow Card</t>
  </si>
  <si>
    <t>Red Card</t>
  </si>
  <si>
    <t>Value</t>
  </si>
  <si>
    <t>Rand</t>
  </si>
  <si>
    <t>Nilai</t>
  </si>
  <si>
    <t>Cek Manual</t>
  </si>
  <si>
    <t>Cek isi Manu</t>
  </si>
  <si>
    <t>Formula</t>
  </si>
  <si>
    <t>Cek Formula</t>
  </si>
  <si>
    <t>Jml Formula</t>
  </si>
  <si>
    <t>AV1</t>
  </si>
  <si>
    <t>AV2</t>
  </si>
  <si>
    <t>Array</t>
  </si>
  <si>
    <t>**</t>
  </si>
  <si>
    <t>*</t>
  </si>
  <si>
    <t>cek Kosong</t>
  </si>
  <si>
    <t>e</t>
  </si>
  <si>
    <t>d</t>
  </si>
  <si>
    <t>t</t>
  </si>
  <si>
    <t>y</t>
  </si>
  <si>
    <t>u</t>
  </si>
  <si>
    <t>r</t>
  </si>
  <si>
    <t>f</t>
  </si>
  <si>
    <t>D83</t>
  </si>
  <si>
    <t>o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</si>
  <si>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</si>
  <si>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</si>
  <si>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</si>
  <si>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</si>
  <si>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</si>
  <si>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</si>
  <si>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</si>
  <si>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</si>
  <si>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</si>
  <si>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</si>
  <si>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</si>
  <si>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</si>
  <si>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</si>
  <si>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</si>
  <si>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</si>
  <si>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HJ2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</si>
</sst>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€-2]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6"/>
      <color theme="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vertAlign val="superscript"/>
      <sz val="11"/>
      <color rgb="FFFFC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8" fillId="5" borderId="0" xfId="0" applyFont="1" applyFill="1"/>
    <xf numFmtId="0" fontId="5" fillId="6" borderId="0" xfId="0" applyFont="1" applyFill="1"/>
    <xf numFmtId="0" fontId="0" fillId="0" borderId="0" xfId="0" applyAlignment="1">
      <alignment vertical="top" wrapText="1"/>
    </xf>
    <xf numFmtId="0" fontId="12" fillId="7" borderId="0" xfId="0" applyFont="1" applyFill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0" fillId="2" borderId="0" xfId="0" applyFill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6" borderId="0" xfId="0" applyFill="1"/>
    <xf numFmtId="0" fontId="9" fillId="0" borderId="0" xfId="0" applyFont="1"/>
    <xf numFmtId="0" fontId="2" fillId="7" borderId="0" xfId="0" applyFont="1" applyFill="1" applyAlignment="1">
      <alignment horizontal="center" vertical="center"/>
    </xf>
    <xf numFmtId="0" fontId="0" fillId="9" borderId="0" xfId="0" applyFill="1"/>
    <xf numFmtId="14" fontId="0" fillId="0" borderId="0" xfId="0" applyNumberFormat="1"/>
    <xf numFmtId="3" fontId="0" fillId="0" borderId="0" xfId="0" applyNumberFormat="1"/>
    <xf numFmtId="0" fontId="3" fillId="3" borderId="1" xfId="0" applyFont="1" applyFill="1" applyBorder="1" applyAlignment="1">
      <alignment horizontal="left" indent="1"/>
    </xf>
    <xf numFmtId="0" fontId="0" fillId="2" borderId="1" xfId="0" applyFill="1" applyBorder="1" applyAlignment="1">
      <alignment horizontal="right" indent="1"/>
    </xf>
    <xf numFmtId="9" fontId="0" fillId="2" borderId="1" xfId="2" applyFont="1" applyFill="1" applyBorder="1" applyAlignment="1">
      <alignment horizontal="right" indent="1"/>
    </xf>
    <xf numFmtId="0" fontId="0" fillId="2" borderId="1" xfId="0" applyFill="1" applyBorder="1"/>
    <xf numFmtId="164" fontId="0" fillId="2" borderId="1" xfId="1" applyFont="1" applyFill="1" applyBorder="1" applyAlignment="1">
      <alignment horizontal="right" indent="1"/>
    </xf>
    <xf numFmtId="9" fontId="0" fillId="2" borderId="1" xfId="2" applyFont="1" applyFill="1" applyBorder="1"/>
    <xf numFmtId="165" fontId="0" fillId="3" borderId="1" xfId="0" applyNumberFormat="1" applyFill="1" applyBorder="1" applyAlignment="1">
      <alignment horizontal="right" indent="2"/>
    </xf>
    <xf numFmtId="165" fontId="0" fillId="2" borderId="1" xfId="0" applyNumberForma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3" applyBorder="1"/>
    <xf numFmtId="0" fontId="1" fillId="0" borderId="0" xfId="3"/>
    <xf numFmtId="0" fontId="16" fillId="0" borderId="1" xfId="3" applyFont="1" applyBorder="1" applyAlignment="1">
      <alignment horizontal="left"/>
    </xf>
    <xf numFmtId="0" fontId="17" fillId="0" borderId="1" xfId="3" applyFont="1" applyBorder="1" applyAlignment="1">
      <alignment horizontal="left"/>
    </xf>
    <xf numFmtId="0" fontId="17" fillId="0" borderId="1" xfId="3" applyFont="1" applyBorder="1"/>
    <xf numFmtId="0" fontId="4" fillId="0" borderId="1" xfId="4" applyBorder="1"/>
    <xf numFmtId="0" fontId="0" fillId="0" borderId="0" xfId="0" applyAlignment="1">
      <alignment horizontal="left" vertical="top" wrapText="1"/>
    </xf>
    <xf numFmtId="0" fontId="8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5" fillId="0" borderId="1" xfId="3" applyFont="1" applyBorder="1" applyAlignment="1">
      <alignment horizontal="left"/>
    </xf>
    <xf numFmtId="0" fontId="16" fillId="0" borderId="1" xfId="3" applyFont="1" applyBorder="1" applyAlignment="1">
      <alignment horizontal="left"/>
    </xf>
    <xf numFmtId="0" fontId="14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</cellXfs>
  <cellStyles count="5">
    <cellStyle name="Comma" xfId="1" builtinId="3"/>
    <cellStyle name="Hyperlink 2" xfId="4" xr:uid="{A2A22595-EBE7-4D55-AAA7-427A305F1900}"/>
    <cellStyle name="Normal" xfId="0" builtinId="0"/>
    <cellStyle name="Normal 2" xfId="3" xr:uid="{7287A05A-2CEB-46D9-9F7D-BB3D8BB0760C}"/>
    <cellStyle name="Percent" xfId="2" builtinId="5"/>
  </cellStyles>
  <dxfs count="1"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75</xdr:row>
      <xdr:rowOff>91440</xdr:rowOff>
    </xdr:from>
    <xdr:to>
      <xdr:col>2</xdr:col>
      <xdr:colOff>533400</xdr:colOff>
      <xdr:row>77</xdr:row>
      <xdr:rowOff>15240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1125B1-4208-420C-8965-8614A92E55DA}"/>
            </a:ext>
          </a:extLst>
        </xdr:cNvPr>
        <xdr:cNvSpPr/>
      </xdr:nvSpPr>
      <xdr:spPr>
        <a:xfrm>
          <a:off x="1059180" y="7520940"/>
          <a:ext cx="1691640" cy="28956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11</xdr:col>
      <xdr:colOff>571500</xdr:colOff>
      <xdr:row>25</xdr:row>
      <xdr:rowOff>99060</xdr:rowOff>
    </xdr:from>
    <xdr:ext cx="2422144" cy="914400"/>
    <xdr:pic>
      <xdr:nvPicPr>
        <xdr:cNvPr id="3" name="Picture 2">
          <a:extLst>
            <a:ext uri="{FF2B5EF4-FFF2-40B4-BE49-F238E27FC236}">
              <a16:creationId xmlns:a16="http://schemas.microsoft.com/office/drawing/2014/main" id="{343EA09E-F5CC-4FF3-A68D-C82549668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7460" y="6416040"/>
          <a:ext cx="2422144" cy="914400"/>
        </a:xfrm>
        <a:prstGeom prst="rect">
          <a:avLst/>
        </a:prstGeom>
      </xdr:spPr>
    </xdr:pic>
    <xdr:clientData/>
  </xdr:oneCellAnchor>
  <xdr:twoCellAnchor>
    <xdr:from>
      <xdr:col>7</xdr:col>
      <xdr:colOff>685800</xdr:colOff>
      <xdr:row>25</xdr:row>
      <xdr:rowOff>137160</xdr:rowOff>
    </xdr:from>
    <xdr:to>
      <xdr:col>9</xdr:col>
      <xdr:colOff>152400</xdr:colOff>
      <xdr:row>27</xdr:row>
      <xdr:rowOff>60960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044C3-3CC1-4895-964D-AC658D14490E}"/>
            </a:ext>
          </a:extLst>
        </xdr:cNvPr>
        <xdr:cNvSpPr/>
      </xdr:nvSpPr>
      <xdr:spPr>
        <a:xfrm>
          <a:off x="7993380" y="6454140"/>
          <a:ext cx="1653540" cy="28956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502920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5A6218FB-A097-4B5E-A8D3-8D1F772D9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54479" cy="5868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3C99-8019-46BD-A1B1-924CF0653EAB}">
  <sheetPr codeName="Sheet1"/>
  <dimension ref="B1:N75"/>
  <sheetViews>
    <sheetView tabSelected="1" workbookViewId="0">
      <selection activeCell="G2" sqref="G2"/>
    </sheetView>
  </sheetViews>
  <sheetFormatPr defaultRowHeight="15" x14ac:dyDescent="0.25"/>
  <cols>
    <col min="2" max="2" width="16.7109375" customWidth="1"/>
    <col min="3" max="3" width="14.28515625" customWidth="1"/>
    <col min="4" max="4" width="13.85546875" customWidth="1"/>
    <col min="5" max="5" width="12.5703125" customWidth="1"/>
    <col min="6" max="6" width="26.5703125" customWidth="1"/>
    <col min="7" max="7" width="13.7109375" customWidth="1"/>
    <col min="8" max="8" width="17.7109375" customWidth="1"/>
    <col min="9" max="9" width="14.140625" customWidth="1"/>
    <col min="10" max="10" width="18" customWidth="1"/>
    <col min="11" max="11" width="22.140625" customWidth="1"/>
    <col min="12" max="12" width="17.28515625" customWidth="1"/>
    <col min="13" max="13" width="13.85546875" customWidth="1"/>
    <col min="14" max="14" width="19.28515625" customWidth="1"/>
  </cols>
  <sheetData>
    <row r="1" spans="2:14" x14ac:dyDescent="0.25">
      <c r="B1" s="38" t="s">
        <v>77</v>
      </c>
      <c r="C1" s="38"/>
    </row>
    <row r="2" spans="2:14" ht="24" x14ac:dyDescent="0.4">
      <c r="B2" s="37" t="s">
        <v>0</v>
      </c>
      <c r="C2" s="37"/>
      <c r="D2" s="2" t="s">
        <v>78</v>
      </c>
      <c r="F2" s="1" t="s">
        <v>1</v>
      </c>
      <c r="G2" s="2" t="str">
        <f ca="1">kode_jawaban</f>
        <v>HJ2|66-7594;20-23BE;42-210C;1B-4CF4;30-E0B5F;22-5B40;30-138B35680;26-850;4A-79E0;38-76C0</v>
      </c>
      <c r="H2" s="14"/>
      <c r="I2" s="14"/>
      <c r="J2" s="14"/>
      <c r="K2" s="14"/>
      <c r="L2" s="14"/>
      <c r="M2" s="14"/>
      <c r="N2" s="14"/>
    </row>
    <row r="5" spans="2:14" ht="34.9" customHeight="1" x14ac:dyDescent="0.25">
      <c r="B5" s="28" t="s">
        <v>2</v>
      </c>
      <c r="C5" s="28" t="s">
        <v>79</v>
      </c>
      <c r="D5" s="28" t="s">
        <v>80</v>
      </c>
      <c r="E5" s="28" t="s">
        <v>108</v>
      </c>
      <c r="F5" s="28" t="s">
        <v>54</v>
      </c>
      <c r="G5" s="29" t="s">
        <v>81</v>
      </c>
      <c r="H5" s="29" t="s">
        <v>82</v>
      </c>
      <c r="I5" s="29" t="s">
        <v>83</v>
      </c>
      <c r="J5" s="28" t="s">
        <v>75</v>
      </c>
      <c r="K5" s="28" t="s">
        <v>84</v>
      </c>
      <c r="L5" s="29" t="s">
        <v>827</v>
      </c>
      <c r="M5" s="28" t="s">
        <v>85</v>
      </c>
      <c r="N5" s="28" t="s">
        <v>86</v>
      </c>
    </row>
    <row r="6" spans="2:14" ht="19.899999999999999" customHeight="1" x14ac:dyDescent="0.25">
      <c r="B6" s="20" t="s">
        <v>4</v>
      </c>
      <c r="C6" s="21">
        <f>MATCH(B6,LS!$A$4:$A$23,0)</f>
        <v>11</v>
      </c>
      <c r="D6" s="22">
        <f>ROUND(SUMIFS(LS!$I$4:$I$23,LS!$A$4:$A$23,'XL-Test'!B6)/SUMIFS(LS!$H$4:$H$23,LS!$A$4:$A$23,'XL-Test'!B6),2)</f>
        <v>0.32</v>
      </c>
      <c r="E6" s="21">
        <f>ROUND((SUMIFS(LS!$G$4:$G$23,LS!$A$4:$A$23,'XL-Test'!B6)-SUMIFS(LS!$J$4:$J$23,LS!$A$4:$A$23,'XL-Test'!B6))/SUMIFS(LS!$I$4:$I$23,LS!$A$4:$A$23,'XL-Test'!B6),2)</f>
        <v>0.28000000000000003</v>
      </c>
      <c r="F6" s="20" t="s">
        <v>55</v>
      </c>
      <c r="G6" s="23" cm="1">
        <f t="array" ref="G6">SUMPRODUCT(_xlfn.SWITCH(MID(F6,{1,2,3,4,5},1),"W",3,"D",1,0))</f>
        <v>1</v>
      </c>
      <c r="H6" s="24">
        <f>ROUND(AVERAGEIFS(SA!$F$4:$F$383,SA!$B$4:$B$383,'XL-Test'!B6),0)</f>
        <v>23324</v>
      </c>
      <c r="I6" s="25">
        <f>ROUND(H6/_xlfn.XLOOKUP(B6,SA!$B$4:$B$383,SA!$E$4:$E$383),2)</f>
        <v>0.83</v>
      </c>
      <c r="J6" s="26">
        <v>230</v>
      </c>
      <c r="K6" s="27">
        <f>SUMIFS(SA!$F$4:$F$383,SA!$B$4:$B$383,'XL-Test'!B6)*J6</f>
        <v>101925650</v>
      </c>
      <c r="L6" s="23">
        <f>SUMIFS(PS!$H$4:$H$637,PS!$D$4:$D$637,'XL-Test'!B6)</f>
        <v>80</v>
      </c>
      <c r="M6" s="23">
        <f>_xlfn.MAXIFS(PS!$F$4:$F$637,PS!$D$4:$D$637,'XL-Test'!B6)</f>
        <v>9</v>
      </c>
      <c r="N6" s="23">
        <f>COUNTIFS(PS!$D$4:$D$637,'XL-Test'!B6,PS!$B$4:$B$637,"ITA")</f>
        <v>8</v>
      </c>
    </row>
    <row r="7" spans="2:14" ht="19.899999999999999" customHeight="1" x14ac:dyDescent="0.25">
      <c r="B7" s="20" t="s">
        <v>5</v>
      </c>
      <c r="C7" s="21">
        <f>MATCH(B7,LS!$A$4:$A$23,0)</f>
        <v>6</v>
      </c>
      <c r="D7" s="22">
        <f>ROUND(SUMIFS(LS!$I$4:$I$23,LS!$A$4:$A$23,'XL-Test'!B7)/SUMIFS(LS!$H$4:$H$23,LS!$A$4:$A$23,'XL-Test'!B7),2)</f>
        <v>0.38</v>
      </c>
      <c r="E7" s="21">
        <f>ROUND((SUMIFS(LS!$G$4:$G$23,LS!$A$4:$A$23,'XL-Test'!B7)-SUMIFS(LS!$J$4:$J$23,LS!$A$4:$A$23,'XL-Test'!B7))/SUMIFS(LS!$I$4:$I$23,LS!$A$4:$A$23,'XL-Test'!B7),2)</f>
        <v>0.31</v>
      </c>
      <c r="F7" s="20" t="s">
        <v>56</v>
      </c>
      <c r="G7" s="23" cm="1">
        <f t="array" ref="G7">SUMPRODUCT(_xlfn.SWITCH(MID(F7,{1,2,3,4,5},1),"W",3,"D",1,0))</f>
        <v>9</v>
      </c>
      <c r="H7" s="24">
        <f>ROUND(AVERAGEIFS(SA!$F$4:$F$383,SA!$B$4:$B$383,'XL-Test'!B7),0)</f>
        <v>20410</v>
      </c>
      <c r="I7" s="25">
        <f>ROUND(H7/_xlfn.XLOOKUP(B7,SA!$B$4:$B$383,SA!$E$4:$E$383),2)</f>
        <v>0.47</v>
      </c>
      <c r="J7" s="26">
        <v>350</v>
      </c>
      <c r="K7" s="27">
        <f>SUMIFS(SA!$F$4:$F$383,SA!$B$4:$B$383,'XL-Test'!B7)*J7</f>
        <v>135727550</v>
      </c>
      <c r="L7" s="23">
        <f>SUMIFS(PS!$H$4:$H$637,PS!$D$4:$D$637,'XL-Test'!B7)</f>
        <v>82</v>
      </c>
      <c r="M7" s="23">
        <f>_xlfn.MAXIFS(PS!$F$4:$F$637,PS!$D$4:$D$637,'XL-Test'!B7)</f>
        <v>19</v>
      </c>
      <c r="N7" s="23">
        <f>COUNTIFS(PS!$D$4:$D$637,'XL-Test'!B7,PS!$B$4:$B$637,"ITA")</f>
        <v>19</v>
      </c>
    </row>
    <row r="8" spans="2:14" ht="19.899999999999999" customHeight="1" x14ac:dyDescent="0.25">
      <c r="B8" s="20" t="s">
        <v>6</v>
      </c>
      <c r="C8" s="21">
        <f>MATCH(B8,LS!$A$4:$A$23,0)</f>
        <v>9</v>
      </c>
      <c r="D8" s="22">
        <f>ROUND(SUMIFS(LS!$I$4:$I$23,LS!$A$4:$A$23,'XL-Test'!B8)/SUMIFS(LS!$H$4:$H$23,LS!$A$4:$A$23,'XL-Test'!B8),2)</f>
        <v>0.33</v>
      </c>
      <c r="E8" s="21">
        <f>ROUND((SUMIFS(LS!$G$4:$G$23,LS!$A$4:$A$23,'XL-Test'!B8)-SUMIFS(LS!$J$4:$J$23,LS!$A$4:$A$23,'XL-Test'!B8))/SUMIFS(LS!$I$4:$I$23,LS!$A$4:$A$23,'XL-Test'!B8),2)</f>
        <v>0.3</v>
      </c>
      <c r="F8" s="20" t="s">
        <v>57</v>
      </c>
      <c r="G8" s="23" cm="1">
        <f t="array" ref="G8">SUMPRODUCT(_xlfn.SWITCH(MID(F8,{1,2,3,4,5},1),"W",3,"D",1,0))</f>
        <v>2</v>
      </c>
      <c r="H8" s="24">
        <f>ROUND(AVERAGEIFS(SA!$F$4:$F$383,SA!$B$4:$B$383,'XL-Test'!B8),0)</f>
        <v>28213</v>
      </c>
      <c r="I8" s="25">
        <f>ROUND(H8/_xlfn.XLOOKUP(B8,SA!$B$4:$B$383,SA!$E$4:$E$383),2)</f>
        <v>0.77</v>
      </c>
      <c r="J8" s="26">
        <v>300</v>
      </c>
      <c r="K8" s="27">
        <f>SUMIFS(SA!$F$4:$F$383,SA!$B$4:$B$383,'XL-Test'!B8)*J8</f>
        <v>160811400</v>
      </c>
      <c r="L8" s="23">
        <f>SUMIFS(PS!$H$4:$H$637,PS!$D$4:$D$637,'XL-Test'!B8)</f>
        <v>61</v>
      </c>
      <c r="M8" s="23">
        <f>_xlfn.MAXIFS(PS!$F$4:$F$637,PS!$D$4:$D$637,'XL-Test'!B8)</f>
        <v>15</v>
      </c>
      <c r="N8" s="23">
        <f>COUNTIFS(PS!$D$4:$D$637,'XL-Test'!B8,PS!$B$4:$B$637,"ITA")</f>
        <v>8</v>
      </c>
    </row>
    <row r="9" spans="2:14" ht="19.899999999999999" customHeight="1" x14ac:dyDescent="0.25">
      <c r="B9" s="20" t="s">
        <v>7</v>
      </c>
      <c r="C9" s="21">
        <f>MATCH(B9,LS!$A$4:$A$23,0)</f>
        <v>10</v>
      </c>
      <c r="D9" s="22">
        <f>ROUND(SUMIFS(LS!$I$4:$I$23,LS!$A$4:$A$23,'XL-Test'!B9)/SUMIFS(LS!$H$4:$H$23,LS!$A$4:$A$23,'XL-Test'!B9),2)</f>
        <v>0.34</v>
      </c>
      <c r="E9" s="21">
        <f>ROUND((SUMIFS(LS!$G$4:$G$23,LS!$A$4:$A$23,'XL-Test'!B9)-SUMIFS(LS!$J$4:$J$23,LS!$A$4:$A$23,'XL-Test'!B9))/SUMIFS(LS!$I$4:$I$23,LS!$A$4:$A$23,'XL-Test'!B9),2)</f>
        <v>0.25</v>
      </c>
      <c r="F9" s="20" t="s">
        <v>58</v>
      </c>
      <c r="G9" s="23" cm="1">
        <f t="array" ref="G9">SUMPRODUCT(_xlfn.SWITCH(MID(F9,{1,2,3,4,5},1),"W",3,"D",1,0))</f>
        <v>10</v>
      </c>
      <c r="H9" s="24">
        <f>ROUND(AVERAGEIFS(SA!$F$4:$F$383,SA!$B$4:$B$383,'XL-Test'!B9),0)</f>
        <v>10830</v>
      </c>
      <c r="I9" s="25">
        <f>ROUND(H9/_xlfn.XLOOKUP(B9,SA!$B$4:$B$383,SA!$E$4:$E$383),2)</f>
        <v>0.9</v>
      </c>
      <c r="J9" s="26">
        <v>304</v>
      </c>
      <c r="K9" s="27">
        <f>SUMIFS(SA!$F$4:$F$383,SA!$B$4:$B$383,'XL-Test'!B9)*J9</f>
        <v>62554080</v>
      </c>
      <c r="L9" s="23">
        <f>SUMIFS(PS!$H$4:$H$637,PS!$D$4:$D$637,'XL-Test'!B9)</f>
        <v>87</v>
      </c>
      <c r="M9" s="23">
        <f>_xlfn.MAXIFS(PS!$F$4:$F$637,PS!$D$4:$D$637,'XL-Test'!B9)</f>
        <v>8</v>
      </c>
      <c r="N9" s="23">
        <f>COUNTIFS(PS!$D$4:$D$637,'XL-Test'!B9,PS!$B$4:$B$637,"ITA")</f>
        <v>12</v>
      </c>
    </row>
    <row r="10" spans="2:14" ht="19.899999999999999" customHeight="1" x14ac:dyDescent="0.25">
      <c r="B10" s="20" t="s">
        <v>8</v>
      </c>
      <c r="C10" s="21">
        <f>MATCH(B10,LS!$A$4:$A$23,0)</f>
        <v>18</v>
      </c>
      <c r="D10" s="22">
        <f>ROUND(SUMIFS(LS!$I$4:$I$23,LS!$A$4:$A$23,'XL-Test'!B10)/SUMIFS(LS!$H$4:$H$23,LS!$A$4:$A$23,'XL-Test'!B10),2)</f>
        <v>0.28999999999999998</v>
      </c>
      <c r="E10" s="21">
        <f>ROUND((SUMIFS(LS!$G$4:$G$23,LS!$A$4:$A$23,'XL-Test'!B10)-SUMIFS(LS!$J$4:$J$23,LS!$A$4:$A$23,'XL-Test'!B10))/SUMIFS(LS!$I$4:$I$23,LS!$A$4:$A$23,'XL-Test'!B10),2)</f>
        <v>0.27</v>
      </c>
      <c r="F10" s="20" t="s">
        <v>59</v>
      </c>
      <c r="G10" s="23" cm="1">
        <f t="array" ref="G10">SUMPRODUCT(_xlfn.SWITCH(MID(F10,{1,2,3,4,5},1),"W",3,"D",1,0))</f>
        <v>6</v>
      </c>
      <c r="H10" s="24">
        <f>ROUND(AVERAGEIFS(SA!$F$4:$F$383,SA!$B$4:$B$383,'XL-Test'!B10),0)</f>
        <v>11151</v>
      </c>
      <c r="I10" s="25">
        <f>ROUND(H10/_xlfn.XLOOKUP(B10,SA!$B$4:$B$383,SA!$E$4:$E$383),2)</f>
        <v>0.56000000000000005</v>
      </c>
      <c r="J10" s="26">
        <v>255</v>
      </c>
      <c r="K10" s="27">
        <f>SUMIFS(SA!$F$4:$F$383,SA!$B$4:$B$383,'XL-Test'!B10)*J10</f>
        <v>54026340</v>
      </c>
      <c r="L10" s="23">
        <f>SUMIFS(PS!$H$4:$H$637,PS!$D$4:$D$637,'XL-Test'!B10)</f>
        <v>68</v>
      </c>
      <c r="M10" s="23">
        <f>_xlfn.MAXIFS(PS!$F$4:$F$637,PS!$D$4:$D$637,'XL-Test'!B10)</f>
        <v>8</v>
      </c>
      <c r="N10" s="23">
        <f>COUNTIFS(PS!$D$4:$D$637,'XL-Test'!B10,PS!$B$4:$B$637,"ITA")</f>
        <v>16</v>
      </c>
    </row>
    <row r="11" spans="2:14" ht="19.899999999999999" customHeight="1" x14ac:dyDescent="0.25">
      <c r="B11" s="20" t="s">
        <v>9</v>
      </c>
      <c r="C11" s="21">
        <f>MATCH(B11,LS!$A$4:$A$23,0)</f>
        <v>13</v>
      </c>
      <c r="D11" s="22">
        <f>ROUND(SUMIFS(LS!$I$4:$I$23,LS!$A$4:$A$23,'XL-Test'!B11)/SUMIFS(LS!$H$4:$H$23,LS!$A$4:$A$23,'XL-Test'!B11),2)</f>
        <v>0.31</v>
      </c>
      <c r="E11" s="21">
        <f>ROUND((SUMIFS(LS!$G$4:$G$23,LS!$A$4:$A$23,'XL-Test'!B11)-SUMIFS(LS!$J$4:$J$23,LS!$A$4:$A$23,'XL-Test'!B11))/SUMIFS(LS!$I$4:$I$23,LS!$A$4:$A$23,'XL-Test'!B11),2)</f>
        <v>0.3</v>
      </c>
      <c r="F11" s="20" t="s">
        <v>60</v>
      </c>
      <c r="G11" s="23" cm="1">
        <f t="array" ref="G11">SUMPRODUCT(_xlfn.SWITCH(MID(F11,{1,2,3,4,5},1),"W",3,"D",1,0))</f>
        <v>4</v>
      </c>
      <c r="H11" s="24">
        <f>ROUND(AVERAGEIFS(SA!$F$4:$F$383,SA!$B$4:$B$383,'XL-Test'!B11),0)</f>
        <v>30772</v>
      </c>
      <c r="I11" s="25">
        <f>ROUND(H11/_xlfn.XLOOKUP(B11,SA!$B$4:$B$383,SA!$E$4:$E$383),2)</f>
        <v>0.88</v>
      </c>
      <c r="J11" s="26">
        <v>225</v>
      </c>
      <c r="K11" s="27">
        <f>SUMIFS(SA!$F$4:$F$383,SA!$B$4:$B$383,'XL-Test'!B11)*J11</f>
        <v>131550750</v>
      </c>
      <c r="L11" s="23">
        <f>SUMIFS(PS!$H$4:$H$637,PS!$D$4:$D$637,'XL-Test'!B11)</f>
        <v>71</v>
      </c>
      <c r="M11" s="23">
        <f>_xlfn.MAXIFS(PS!$F$4:$F$637,PS!$D$4:$D$637,'XL-Test'!B11)</f>
        <v>10</v>
      </c>
      <c r="N11" s="23">
        <f>COUNTIFS(PS!$D$4:$D$637,'XL-Test'!B11,PS!$B$4:$B$637,"ITA")</f>
        <v>17</v>
      </c>
    </row>
    <row r="12" spans="2:14" ht="19.899999999999999" customHeight="1" x14ac:dyDescent="0.25">
      <c r="B12" s="20" t="s">
        <v>10</v>
      </c>
      <c r="C12" s="21">
        <f>MATCH(B12,LS!$A$4:$A$23,0)</f>
        <v>12</v>
      </c>
      <c r="D12" s="22">
        <f>ROUND(SUMIFS(LS!$I$4:$I$23,LS!$A$4:$A$23,'XL-Test'!B12)/SUMIFS(LS!$H$4:$H$23,LS!$A$4:$A$23,'XL-Test'!B12),2)</f>
        <v>0.32</v>
      </c>
      <c r="E12" s="21">
        <f>ROUND((SUMIFS(LS!$G$4:$G$23,LS!$A$4:$A$23,'XL-Test'!B12)-SUMIFS(LS!$J$4:$J$23,LS!$A$4:$A$23,'XL-Test'!B12))/SUMIFS(LS!$I$4:$I$23,LS!$A$4:$A$23,'XL-Test'!B12),2)</f>
        <v>0.28000000000000003</v>
      </c>
      <c r="F12" s="20" t="s">
        <v>61</v>
      </c>
      <c r="G12" s="23" cm="1">
        <f t="array" ref="G12">SUMPRODUCT(_xlfn.SWITCH(MID(F12,{1,2,3,4,5},1),"W",3,"D",1,0))</f>
        <v>4</v>
      </c>
      <c r="H12" s="24">
        <f>ROUND(AVERAGEIFS(SA!$F$4:$F$383,SA!$B$4:$B$383,'XL-Test'!B12),0)</f>
        <v>21823</v>
      </c>
      <c r="I12" s="25">
        <f>ROUND(H12/_xlfn.XLOOKUP(B12,SA!$B$4:$B$383,SA!$E$4:$E$383),2)</f>
        <v>0.87</v>
      </c>
      <c r="J12" s="26">
        <v>250</v>
      </c>
      <c r="K12" s="27">
        <f>SUMIFS(SA!$F$4:$F$383,SA!$B$4:$B$383,'XL-Test'!B12)*J12</f>
        <v>103660250</v>
      </c>
      <c r="L12" s="23">
        <f>SUMIFS(PS!$H$4:$H$637,PS!$D$4:$D$637,'XL-Test'!B12)</f>
        <v>88</v>
      </c>
      <c r="M12" s="23">
        <f>_xlfn.MAXIFS(PS!$F$4:$F$637,PS!$D$4:$D$637,'XL-Test'!B12)</f>
        <v>12</v>
      </c>
      <c r="N12" s="23">
        <f>COUNTIFS(PS!$D$4:$D$637,'XL-Test'!B12,PS!$B$4:$B$637,"ITA")</f>
        <v>3</v>
      </c>
    </row>
    <row r="13" spans="2:14" ht="19.899999999999999" customHeight="1" x14ac:dyDescent="0.25">
      <c r="B13" s="20" t="s">
        <v>11</v>
      </c>
      <c r="C13" s="21">
        <f>MATCH(B13,LS!$A$4:$A$23,0)</f>
        <v>4</v>
      </c>
      <c r="D13" s="22">
        <f>ROUND(SUMIFS(LS!$I$4:$I$23,LS!$A$4:$A$23,'XL-Test'!B13)/SUMIFS(LS!$H$4:$H$23,LS!$A$4:$A$23,'XL-Test'!B13),2)</f>
        <v>0.34</v>
      </c>
      <c r="E13" s="21">
        <f>ROUND((SUMIFS(LS!$G$4:$G$23,LS!$A$4:$A$23,'XL-Test'!B13)-SUMIFS(LS!$J$4:$J$23,LS!$A$4:$A$23,'XL-Test'!B13))/SUMIFS(LS!$I$4:$I$23,LS!$A$4:$A$23,'XL-Test'!B13),2)</f>
        <v>0.28999999999999998</v>
      </c>
      <c r="F13" s="20" t="s">
        <v>62</v>
      </c>
      <c r="G13" s="23" cm="1">
        <f t="array" ref="G13">SUMPRODUCT(_xlfn.SWITCH(MID(F13,{1,2,3,4,5},1),"W",3,"D",1,0))</f>
        <v>11</v>
      </c>
      <c r="H13" s="24">
        <f>ROUND(AVERAGEIFS(SA!$F$4:$F$383,SA!$B$4:$B$383,'XL-Test'!B13),0)</f>
        <v>40228</v>
      </c>
      <c r="I13" s="25">
        <f>ROUND(H13/_xlfn.XLOOKUP(B13,SA!$B$4:$B$383,SA!$E$4:$E$383),2)</f>
        <v>0.97</v>
      </c>
      <c r="J13" s="26">
        <v>544</v>
      </c>
      <c r="K13" s="27">
        <f>SUMIFS(SA!$F$4:$F$383,SA!$B$4:$B$383,'XL-Test'!B13)*J13</f>
        <v>415793344</v>
      </c>
      <c r="L13" s="23">
        <f>SUMIFS(PS!$H$4:$H$637,PS!$D$4:$D$637,'XL-Test'!B13)</f>
        <v>67</v>
      </c>
      <c r="M13" s="23">
        <f>_xlfn.MAXIFS(PS!$F$4:$F$637,PS!$D$4:$D$637,'XL-Test'!B13)</f>
        <v>10</v>
      </c>
      <c r="N13" s="23">
        <f>COUNTIFS(PS!$D$4:$D$637,'XL-Test'!B13,PS!$B$4:$B$637,"ITA")</f>
        <v>9</v>
      </c>
    </row>
    <row r="14" spans="2:14" ht="19.899999999999999" customHeight="1" x14ac:dyDescent="0.25">
      <c r="B14" s="20" t="s">
        <v>12</v>
      </c>
      <c r="C14" s="21">
        <f>MATCH(B14,LS!$A$4:$A$23,0)</f>
        <v>20</v>
      </c>
      <c r="D14" s="22">
        <f>ROUND(SUMIFS(LS!$I$4:$I$23,LS!$A$4:$A$23,'XL-Test'!B14)/SUMIFS(LS!$H$4:$H$23,LS!$A$4:$A$23,'XL-Test'!B14),2)</f>
        <v>0.3</v>
      </c>
      <c r="E14" s="21">
        <f>ROUND((SUMIFS(LS!$G$4:$G$23,LS!$A$4:$A$23,'XL-Test'!B14)-SUMIFS(LS!$J$4:$J$23,LS!$A$4:$A$23,'XL-Test'!B14))/SUMIFS(LS!$I$4:$I$23,LS!$A$4:$A$23,'XL-Test'!B14),2)</f>
        <v>0.24</v>
      </c>
      <c r="F14" s="20" t="s">
        <v>63</v>
      </c>
      <c r="G14" s="23" cm="1">
        <f t="array" ref="G14">SUMPRODUCT(_xlfn.SWITCH(MID(F14,{1,2,3,4,5},1),"W",3,"D",1,0))</f>
        <v>3</v>
      </c>
      <c r="H14" s="24">
        <f>ROUND(AVERAGEIFS(SA!$F$4:$F$383,SA!$B$4:$B$383,'XL-Test'!B14),0)</f>
        <v>11274</v>
      </c>
      <c r="I14" s="25">
        <f>ROUND(H14/_xlfn.XLOOKUP(B14,SA!$B$4:$B$383,SA!$E$4:$E$383),2)</f>
        <v>0.66</v>
      </c>
      <c r="J14" s="26">
        <v>260</v>
      </c>
      <c r="K14" s="27">
        <f>SUMIFS(SA!$F$4:$F$383,SA!$B$4:$B$383,'XL-Test'!B14)*J14</f>
        <v>55691220</v>
      </c>
      <c r="L14" s="23">
        <f>SUMIFS(PS!$H$4:$H$637,PS!$D$4:$D$637,'XL-Test'!B14)</f>
        <v>90</v>
      </c>
      <c r="M14" s="23">
        <f>_xlfn.MAXIFS(PS!$F$4:$F$637,PS!$D$4:$D$637,'XL-Test'!B14)</f>
        <v>5</v>
      </c>
      <c r="N14" s="23">
        <f>COUNTIFS(PS!$D$4:$D$637,'XL-Test'!B14,PS!$B$4:$B$637,"ITA")</f>
        <v>21</v>
      </c>
    </row>
    <row r="15" spans="2:14" ht="19.899999999999999" customHeight="1" x14ac:dyDescent="0.25">
      <c r="B15" s="20" t="s">
        <v>13</v>
      </c>
      <c r="C15" s="21">
        <f>MATCH(B15,LS!$A$4:$A$23,0)</f>
        <v>1</v>
      </c>
      <c r="D15" s="22">
        <f>ROUND(SUMIFS(LS!$I$4:$I$23,LS!$A$4:$A$23,'XL-Test'!B15)/SUMIFS(LS!$H$4:$H$23,LS!$A$4:$A$23,'XL-Test'!B15),2)</f>
        <v>0.3</v>
      </c>
      <c r="E15" s="21">
        <f>ROUND((SUMIFS(LS!$G$4:$G$23,LS!$A$4:$A$23,'XL-Test'!B15)-SUMIFS(LS!$J$4:$J$23,LS!$A$4:$A$23,'XL-Test'!B15))/SUMIFS(LS!$I$4:$I$23,LS!$A$4:$A$23,'XL-Test'!B15),2)</f>
        <v>0.35</v>
      </c>
      <c r="F15" s="20" t="s">
        <v>64</v>
      </c>
      <c r="G15" s="23" cm="1">
        <f t="array" ref="G15">SUMPRODUCT(_xlfn.SWITCH(MID(F15,{1,2,3,4,5},1),"W",3,"D",1,0))</f>
        <v>11</v>
      </c>
      <c r="H15" s="24">
        <f>ROUND(AVERAGEIFS(SA!$F$4:$F$383,SA!$B$4:$B$383,'XL-Test'!B15),0)</f>
        <v>51398</v>
      </c>
      <c r="I15" s="25">
        <f>ROUND(H15/_xlfn.XLOOKUP(B15,SA!$B$4:$B$383,SA!$E$4:$E$383),2)</f>
        <v>0.94</v>
      </c>
      <c r="J15" s="26">
        <v>280</v>
      </c>
      <c r="K15" s="27">
        <f>SUMIFS(SA!$F$4:$F$383,SA!$B$4:$B$383,'XL-Test'!B15)*J15</f>
        <v>273439880</v>
      </c>
      <c r="L15" s="23">
        <f>SUMIFS(PS!$H$4:$H$637,PS!$D$4:$D$637,'XL-Test'!B15)</f>
        <v>46</v>
      </c>
      <c r="M15" s="23">
        <f>_xlfn.MAXIFS(PS!$F$4:$F$637,PS!$D$4:$D$637,'XL-Test'!B15)</f>
        <v>14</v>
      </c>
      <c r="N15" s="23">
        <f>COUNTIFS(PS!$D$4:$D$637,'XL-Test'!B15,PS!$B$4:$B$637,"ITA")</f>
        <v>11</v>
      </c>
    </row>
    <row r="16" spans="2:14" ht="19.899999999999999" customHeight="1" x14ac:dyDescent="0.25">
      <c r="B16" s="20" t="s">
        <v>14</v>
      </c>
      <c r="C16" s="21">
        <f>MATCH(B16,LS!$A$4:$A$23,0)</f>
        <v>17</v>
      </c>
      <c r="D16" s="22">
        <f>ROUND(SUMIFS(LS!$I$4:$I$23,LS!$A$4:$A$23,'XL-Test'!B16)/SUMIFS(LS!$H$4:$H$23,LS!$A$4:$A$23,'XL-Test'!B16),2)</f>
        <v>0.26</v>
      </c>
      <c r="E16" s="21">
        <f>ROUND((SUMIFS(LS!$G$4:$G$23,LS!$A$4:$A$23,'XL-Test'!B16)-SUMIFS(LS!$J$4:$J$23,LS!$A$4:$A$23,'XL-Test'!B16))/SUMIFS(LS!$I$4:$I$23,LS!$A$4:$A$23,'XL-Test'!B16),2)</f>
        <v>0.2</v>
      </c>
      <c r="F16" s="20" t="s">
        <v>65</v>
      </c>
      <c r="G16" s="23" cm="1">
        <f t="array" ref="G16">SUMPRODUCT(_xlfn.SWITCH(MID(F16,{1,2,3,4,5},1),"W",3,"D",1,0))</f>
        <v>8</v>
      </c>
      <c r="H16" s="24">
        <f>ROUND(AVERAGEIFS(SA!$F$4:$F$383,SA!$B$4:$B$383,'XL-Test'!B16),0)</f>
        <v>26031</v>
      </c>
      <c r="I16" s="25">
        <f>ROUND(H16/_xlfn.XLOOKUP(B16,SA!$B$4:$B$383,SA!$E$4:$E$383),2)</f>
        <v>0.82</v>
      </c>
      <c r="J16" s="26">
        <v>305</v>
      </c>
      <c r="K16" s="27">
        <f>SUMIFS(SA!$F$4:$F$383,SA!$B$4:$B$383,'XL-Test'!B16)*J16</f>
        <v>150846900</v>
      </c>
      <c r="L16" s="23">
        <f>SUMIFS(PS!$H$4:$H$637,PS!$D$4:$D$637,'XL-Test'!B16)</f>
        <v>61</v>
      </c>
      <c r="M16" s="23">
        <f>_xlfn.MAXIFS(PS!$F$4:$F$637,PS!$D$4:$D$637,'XL-Test'!B16)</f>
        <v>11</v>
      </c>
      <c r="N16" s="23">
        <f>COUNTIFS(PS!$D$4:$D$637,'XL-Test'!B16,PS!$B$4:$B$637,"ITA")</f>
        <v>6</v>
      </c>
    </row>
    <row r="17" spans="2:14" ht="19.899999999999999" customHeight="1" x14ac:dyDescent="0.25">
      <c r="B17" s="20" t="s">
        <v>15</v>
      </c>
      <c r="C17" s="21">
        <f>MATCH(B17,LS!$A$4:$A$23,0)</f>
        <v>15</v>
      </c>
      <c r="D17" s="22">
        <f>ROUND(SUMIFS(LS!$I$4:$I$23,LS!$A$4:$A$23,'XL-Test'!B17)/SUMIFS(LS!$H$4:$H$23,LS!$A$4:$A$23,'XL-Test'!B17),2)</f>
        <v>0.27</v>
      </c>
      <c r="E17" s="21">
        <f>ROUND((SUMIFS(LS!$G$4:$G$23,LS!$A$4:$A$23,'XL-Test'!B17)-SUMIFS(LS!$J$4:$J$23,LS!$A$4:$A$23,'XL-Test'!B17))/SUMIFS(LS!$I$4:$I$23,LS!$A$4:$A$23,'XL-Test'!B17),2)</f>
        <v>0.3</v>
      </c>
      <c r="F17" s="20" t="s">
        <v>66</v>
      </c>
      <c r="G17" s="23" cm="1">
        <f t="array" ref="G17">SUMPRODUCT(_xlfn.SWITCH(MID(F17,{1,2,3,4,5},1),"W",3,"D",1,0))</f>
        <v>6</v>
      </c>
      <c r="H17" s="24">
        <f>ROUND(AVERAGEIFS(SA!$F$4:$F$383,SA!$B$4:$B$383,'XL-Test'!B17),0)</f>
        <v>15745</v>
      </c>
      <c r="I17" s="25">
        <f>ROUND(H17/_xlfn.XLOOKUP(B17,SA!$B$4:$B$383,SA!$E$4:$E$383),2)</f>
        <v>0.96</v>
      </c>
      <c r="J17" s="26">
        <v>280</v>
      </c>
      <c r="K17" s="27">
        <f>SUMIFS(SA!$F$4:$F$383,SA!$B$4:$B$383,'XL-Test'!B17)*J17</f>
        <v>83763120</v>
      </c>
      <c r="L17" s="23">
        <f>SUMIFS(PS!$H$4:$H$637,PS!$D$4:$D$637,'XL-Test'!B17)</f>
        <v>68</v>
      </c>
      <c r="M17" s="23">
        <f>_xlfn.MAXIFS(PS!$F$4:$F$637,PS!$D$4:$D$637,'XL-Test'!B17)</f>
        <v>10</v>
      </c>
      <c r="N17" s="23">
        <f>COUNTIFS(PS!$D$4:$D$637,'XL-Test'!B17,PS!$B$4:$B$637,"ITA")</f>
        <v>15</v>
      </c>
    </row>
    <row r="18" spans="2:14" ht="19.899999999999999" customHeight="1" x14ac:dyDescent="0.25">
      <c r="B18" s="20" t="s">
        <v>16</v>
      </c>
      <c r="C18" s="21">
        <f>MATCH(B18,LS!$A$4:$A$23,0)</f>
        <v>19</v>
      </c>
      <c r="D18" s="22">
        <f>ROUND(SUMIFS(LS!$I$4:$I$23,LS!$A$4:$A$23,'XL-Test'!B18)/SUMIFS(LS!$H$4:$H$23,LS!$A$4:$A$23,'XL-Test'!B18),2)</f>
        <v>0.31</v>
      </c>
      <c r="E18" s="21">
        <f>ROUND((SUMIFS(LS!$G$4:$G$23,LS!$A$4:$A$23,'XL-Test'!B18)-SUMIFS(LS!$J$4:$J$23,LS!$A$4:$A$23,'XL-Test'!B18))/SUMIFS(LS!$I$4:$I$23,LS!$A$4:$A$23,'XL-Test'!B18),2)</f>
        <v>0.23</v>
      </c>
      <c r="F18" s="20" t="s">
        <v>67</v>
      </c>
      <c r="G18" s="23" cm="1">
        <f t="array" ref="G18">SUMPRODUCT(_xlfn.SWITCH(MID(F18,{1,2,3,4,5},1),"W",3,"D",1,0))</f>
        <v>4</v>
      </c>
      <c r="H18" s="24">
        <f>ROUND(AVERAGEIFS(SA!$F$4:$F$383,SA!$B$4:$B$383,'XL-Test'!B18),0)</f>
        <v>10379</v>
      </c>
      <c r="I18" s="25">
        <f>ROUND(H18/_xlfn.XLOOKUP(B18,SA!$B$4:$B$383,SA!$E$4:$E$383),2)</f>
        <v>0.86</v>
      </c>
      <c r="J18" s="26">
        <v>300</v>
      </c>
      <c r="K18" s="27">
        <f>SUMIFS(SA!$F$4:$F$383,SA!$B$4:$B$383,'XL-Test'!B18)*J18</f>
        <v>59162100</v>
      </c>
      <c r="L18" s="23">
        <f>SUMIFS(PS!$H$4:$H$637,PS!$D$4:$D$637,'XL-Test'!B18)</f>
        <v>75</v>
      </c>
      <c r="M18" s="23">
        <f>_xlfn.MAXIFS(PS!$F$4:$F$637,PS!$D$4:$D$637,'XL-Test'!B18)</f>
        <v>6</v>
      </c>
      <c r="N18" s="23">
        <f>COUNTIFS(PS!$D$4:$D$637,'XL-Test'!B18,PS!$B$4:$B$637,"ITA")</f>
        <v>12</v>
      </c>
    </row>
    <row r="19" spans="2:14" ht="19.899999999999999" customHeight="1" x14ac:dyDescent="0.25">
      <c r="B19" s="20" t="s">
        <v>17</v>
      </c>
      <c r="C19" s="21">
        <f>MATCH(B19,LS!$A$4:$A$23,0)</f>
        <v>2</v>
      </c>
      <c r="D19" s="22">
        <f>ROUND(SUMIFS(LS!$I$4:$I$23,LS!$A$4:$A$23,'XL-Test'!B19)/SUMIFS(LS!$H$4:$H$23,LS!$A$4:$A$23,'XL-Test'!B19),2)</f>
        <v>0.32</v>
      </c>
      <c r="E19" s="21">
        <f>ROUND((SUMIFS(LS!$G$4:$G$23,LS!$A$4:$A$23,'XL-Test'!B19)-SUMIFS(LS!$J$4:$J$23,LS!$A$4:$A$23,'XL-Test'!B19))/SUMIFS(LS!$I$4:$I$23,LS!$A$4:$A$23,'XL-Test'!B19),2)</f>
        <v>0.38</v>
      </c>
      <c r="F19" s="20" t="s">
        <v>68</v>
      </c>
      <c r="G19" s="23" cm="1">
        <f t="array" ref="G19">SUMPRODUCT(_xlfn.SWITCH(MID(F19,{1,2,3,4,5},1),"W",3,"D",1,0))</f>
        <v>10</v>
      </c>
      <c r="H19" s="24">
        <f>ROUND(AVERAGEIFS(SA!$F$4:$F$383,SA!$B$4:$B$383,'XL-Test'!B19),0)</f>
        <v>70600</v>
      </c>
      <c r="I19" s="25">
        <f>ROUND(H19/_xlfn.XLOOKUP(B19,SA!$B$4:$B$383,SA!$E$4:$E$383),2)</f>
        <v>0.93</v>
      </c>
      <c r="J19" s="26">
        <v>269</v>
      </c>
      <c r="K19" s="27">
        <f>SUMIFS(SA!$F$4:$F$383,SA!$B$4:$B$383,'XL-Test'!B19)*J19</f>
        <v>360837138</v>
      </c>
      <c r="L19" s="23">
        <f>SUMIFS(PS!$H$4:$H$637,PS!$D$4:$D$637,'XL-Test'!B19)</f>
        <v>56</v>
      </c>
      <c r="M19" s="23">
        <f>_xlfn.MAXIFS(PS!$F$4:$F$637,PS!$D$4:$D$637,'XL-Test'!B19)</f>
        <v>14</v>
      </c>
      <c r="N19" s="23">
        <f>COUNTIFS(PS!$D$4:$D$637,'XL-Test'!B19,PS!$B$4:$B$637,"ITA")</f>
        <v>6</v>
      </c>
    </row>
    <row r="20" spans="2:14" ht="19.899999999999999" customHeight="1" x14ac:dyDescent="0.25">
      <c r="B20" s="20" t="s">
        <v>18</v>
      </c>
      <c r="C20" s="21">
        <f>MATCH(B20,LS!$A$4:$A$23,0)</f>
        <v>7</v>
      </c>
      <c r="D20" s="22">
        <f>ROUND(SUMIFS(LS!$I$4:$I$23,LS!$A$4:$A$23,'XL-Test'!B20)/SUMIFS(LS!$H$4:$H$23,LS!$A$4:$A$23,'XL-Test'!B20),2)</f>
        <v>0.35</v>
      </c>
      <c r="E20" s="21">
        <f>ROUND((SUMIFS(LS!$G$4:$G$23,LS!$A$4:$A$23,'XL-Test'!B20)-SUMIFS(LS!$J$4:$J$23,LS!$A$4:$A$23,'XL-Test'!B20))/SUMIFS(LS!$I$4:$I$23,LS!$A$4:$A$23,'XL-Test'!B20),2)</f>
        <v>0.3</v>
      </c>
      <c r="F20" s="20" t="s">
        <v>69</v>
      </c>
      <c r="G20" s="23" cm="1">
        <f t="array" ref="G20">SUMPRODUCT(_xlfn.SWITCH(MID(F20,{1,2,3,4,5},1),"W",3,"D",1,0))</f>
        <v>6</v>
      </c>
      <c r="H20" s="24">
        <f>ROUND(AVERAGEIFS(SA!$F$4:$F$383,SA!$B$4:$B$383,'XL-Test'!B20),0)</f>
        <v>43303</v>
      </c>
      <c r="I20" s="25">
        <f>ROUND(H20/_xlfn.XLOOKUP(B20,SA!$B$4:$B$383,SA!$E$4:$E$383),2)</f>
        <v>0.61</v>
      </c>
      <c r="J20" s="26">
        <v>295</v>
      </c>
      <c r="K20" s="27">
        <f>SUMIFS(SA!$F$4:$F$383,SA!$B$4:$B$383,'XL-Test'!B20)*J20</f>
        <v>242710660</v>
      </c>
      <c r="L20" s="23">
        <f>SUMIFS(PS!$H$4:$H$637,PS!$D$4:$D$637,'XL-Test'!B20)</f>
        <v>93</v>
      </c>
      <c r="M20" s="23">
        <f>_xlfn.MAXIFS(PS!$F$4:$F$637,PS!$D$4:$D$637,'XL-Test'!B20)</f>
        <v>11</v>
      </c>
      <c r="N20" s="23">
        <f>COUNTIFS(PS!$D$4:$D$637,'XL-Test'!B20,PS!$B$4:$B$637,"ITA")</f>
        <v>8</v>
      </c>
    </row>
    <row r="21" spans="2:14" ht="19.899999999999999" customHeight="1" x14ac:dyDescent="0.25">
      <c r="B21" s="20" t="s">
        <v>19</v>
      </c>
      <c r="C21" s="21">
        <f>MATCH(B21,LS!$A$4:$A$23,0)</f>
        <v>16</v>
      </c>
      <c r="D21" s="22">
        <f>ROUND(SUMIFS(LS!$I$4:$I$23,LS!$A$4:$A$23,'XL-Test'!B21)/SUMIFS(LS!$H$4:$H$23,LS!$A$4:$A$23,'XL-Test'!B21),2)</f>
        <v>0.33</v>
      </c>
      <c r="E21" s="21">
        <f>ROUND((SUMIFS(LS!$G$4:$G$23,LS!$A$4:$A$23,'XL-Test'!B21)-SUMIFS(LS!$J$4:$J$23,LS!$A$4:$A$23,'XL-Test'!B21))/SUMIFS(LS!$I$4:$I$23,LS!$A$4:$A$23,'XL-Test'!B21),2)</f>
        <v>0.26</v>
      </c>
      <c r="F21" s="20" t="s">
        <v>70</v>
      </c>
      <c r="G21" s="23" cm="1">
        <f t="array" ref="G21">SUMPRODUCT(_xlfn.SWITCH(MID(F21,{1,2,3,4,5},1),"W",3,"D",1,0))</f>
        <v>5</v>
      </c>
      <c r="H21" s="24">
        <f>ROUND(AVERAGEIFS(SA!$F$4:$F$383,SA!$B$4:$B$383,'XL-Test'!B21),0)</f>
        <v>19230</v>
      </c>
      <c r="I21" s="25">
        <f>ROUND(H21/_xlfn.XLOOKUP(B21,SA!$B$4:$B$383,SA!$E$4:$E$383),2)</f>
        <v>0.86</v>
      </c>
      <c r="J21" s="26">
        <v>245</v>
      </c>
      <c r="K21" s="27">
        <f>SUMIFS(SA!$F$4:$F$383,SA!$B$4:$B$383,'XL-Test'!B21)*J21</f>
        <v>89515405</v>
      </c>
      <c r="L21" s="23">
        <f>SUMIFS(PS!$H$4:$H$637,PS!$D$4:$D$637,'XL-Test'!B21)</f>
        <v>78</v>
      </c>
      <c r="M21" s="23">
        <f>_xlfn.MAXIFS(PS!$F$4:$F$637,PS!$D$4:$D$637,'XL-Test'!B21)</f>
        <v>6</v>
      </c>
      <c r="N21" s="23">
        <f>COUNTIFS(PS!$D$4:$D$637,'XL-Test'!B21,PS!$B$4:$B$637,"ITA")</f>
        <v>5</v>
      </c>
    </row>
    <row r="22" spans="2:14" ht="19.899999999999999" customHeight="1" x14ac:dyDescent="0.25">
      <c r="B22" s="20" t="s">
        <v>20</v>
      </c>
      <c r="C22" s="21">
        <f>MATCH(B22,LS!$A$4:$A$23,0)</f>
        <v>5</v>
      </c>
      <c r="D22" s="22">
        <f>ROUND(SUMIFS(LS!$I$4:$I$23,LS!$A$4:$A$23,'XL-Test'!B22)/SUMIFS(LS!$H$4:$H$23,LS!$A$4:$A$23,'XL-Test'!B22),2)</f>
        <v>0.32</v>
      </c>
      <c r="E22" s="21">
        <f>ROUND((SUMIFS(LS!$G$4:$G$23,LS!$A$4:$A$23,'XL-Test'!B22)-SUMIFS(LS!$J$4:$J$23,LS!$A$4:$A$23,'XL-Test'!B22))/SUMIFS(LS!$I$4:$I$23,LS!$A$4:$A$23,'XL-Test'!B22),2)</f>
        <v>0.28999999999999998</v>
      </c>
      <c r="F22" s="20" t="s">
        <v>71</v>
      </c>
      <c r="G22" s="23" cm="1">
        <f t="array" ref="G22">SUMPRODUCT(_xlfn.SWITCH(MID(F22,{1,2,3,4,5},1),"W",3,"D",1,0))</f>
        <v>12</v>
      </c>
      <c r="H22" s="24">
        <f>ROUND(AVERAGEIFS(SA!$F$4:$F$383,SA!$B$4:$B$383,'XL-Test'!B22),0)</f>
        <v>62435</v>
      </c>
      <c r="I22" s="25">
        <f>ROUND(H22/_xlfn.XLOOKUP(B22,SA!$B$4:$B$383,SA!$E$4:$E$383),2)</f>
        <v>0.88</v>
      </c>
      <c r="J22" s="26">
        <v>277</v>
      </c>
      <c r="K22" s="27">
        <f>SUMIFS(SA!$F$4:$F$383,SA!$B$4:$B$383,'XL-Test'!B22)*J22</f>
        <v>328595959</v>
      </c>
      <c r="L22" s="23">
        <f>SUMIFS(PS!$H$4:$H$637,PS!$D$4:$D$637,'XL-Test'!B22)</f>
        <v>66</v>
      </c>
      <c r="M22" s="23">
        <f>_xlfn.MAXIFS(PS!$F$4:$F$637,PS!$D$4:$D$637,'XL-Test'!B22)</f>
        <v>12</v>
      </c>
      <c r="N22" s="23">
        <f>COUNTIFS(PS!$D$4:$D$637,'XL-Test'!B22,PS!$B$4:$B$637,"ITA")</f>
        <v>6</v>
      </c>
    </row>
    <row r="23" spans="2:14" ht="19.899999999999999" customHeight="1" x14ac:dyDescent="0.25">
      <c r="B23" s="20" t="s">
        <v>21</v>
      </c>
      <c r="C23" s="21">
        <f>MATCH(B23,LS!$A$4:$A$23,0)</f>
        <v>8</v>
      </c>
      <c r="D23" s="22">
        <f>ROUND(SUMIFS(LS!$I$4:$I$23,LS!$A$4:$A$23,'XL-Test'!B23)/SUMIFS(LS!$H$4:$H$23,LS!$A$4:$A$23,'XL-Test'!B23),2)</f>
        <v>0.33</v>
      </c>
      <c r="E23" s="21">
        <f>ROUND((SUMIFS(LS!$G$4:$G$23,LS!$A$4:$A$23,'XL-Test'!B23)-SUMIFS(LS!$J$4:$J$23,LS!$A$4:$A$23,'XL-Test'!B23))/SUMIFS(LS!$I$4:$I$23,LS!$A$4:$A$23,'XL-Test'!B23),2)</f>
        <v>0.3</v>
      </c>
      <c r="F23" s="20" t="s">
        <v>72</v>
      </c>
      <c r="G23" s="23" cm="1">
        <f t="array" ref="G23">SUMPRODUCT(_xlfn.SWITCH(MID(F23,{1,2,3,4,5},1),"W",3,"D",1,0))</f>
        <v>12</v>
      </c>
      <c r="H23" s="24">
        <f>ROUND(AVERAGEIFS(SA!$F$4:$F$383,SA!$B$4:$B$383,'XL-Test'!B23),0)</f>
        <v>71512</v>
      </c>
      <c r="I23" s="25">
        <f>ROUND(H23/_xlfn.XLOOKUP(B23,SA!$B$4:$B$383,SA!$E$4:$E$383),2)</f>
        <v>0.94</v>
      </c>
      <c r="J23" s="26">
        <v>300</v>
      </c>
      <c r="K23" s="27">
        <f>SUMIFS(SA!$F$4:$F$383,SA!$B$4:$B$383,'XL-Test'!B23)*J23</f>
        <v>407620200</v>
      </c>
      <c r="L23" s="23">
        <f>SUMIFS(PS!$H$4:$H$637,PS!$D$4:$D$637,'XL-Test'!B23)</f>
        <v>70</v>
      </c>
      <c r="M23" s="23">
        <f>_xlfn.MAXIFS(PS!$F$4:$F$637,PS!$D$4:$D$637,'XL-Test'!B23)</f>
        <v>11</v>
      </c>
      <c r="N23" s="23">
        <f>COUNTIFS(PS!$D$4:$D$637,'XL-Test'!B23,PS!$B$4:$B$637,"ITA")</f>
        <v>11</v>
      </c>
    </row>
    <row r="24" spans="2:14" ht="19.899999999999999" customHeight="1" x14ac:dyDescent="0.25">
      <c r="B24" s="20" t="s">
        <v>22</v>
      </c>
      <c r="C24" s="21">
        <f>MATCH(B24,LS!$A$4:$A$23,0)</f>
        <v>3</v>
      </c>
      <c r="D24" s="22">
        <f>ROUND(SUMIFS(LS!$I$4:$I$23,LS!$A$4:$A$23,'XL-Test'!B24)/SUMIFS(LS!$H$4:$H$23,LS!$A$4:$A$23,'XL-Test'!B24),2)</f>
        <v>0.34</v>
      </c>
      <c r="E24" s="21">
        <f>ROUND((SUMIFS(LS!$G$4:$G$23,LS!$A$4:$A$23,'XL-Test'!B24)-SUMIFS(LS!$J$4:$J$23,LS!$A$4:$A$23,'XL-Test'!B24))/SUMIFS(LS!$I$4:$I$23,LS!$A$4:$A$23,'XL-Test'!B24),2)</f>
        <v>0.39</v>
      </c>
      <c r="F24" s="20" t="s">
        <v>73</v>
      </c>
      <c r="G24" s="23" cm="1">
        <f t="array" ref="G24">SUMPRODUCT(_xlfn.SWITCH(MID(F24,{1,2,3,4,5},1),"W",3,"D",1,0))</f>
        <v>10</v>
      </c>
      <c r="H24" s="24">
        <f>ROUND(AVERAGEIFS(SA!$F$4:$F$383,SA!$B$4:$B$383,'XL-Test'!B24),0)</f>
        <v>22675</v>
      </c>
      <c r="I24" s="25">
        <f>ROUND(H24/_xlfn.XLOOKUP(B24,SA!$B$4:$B$383,SA!$E$4:$E$383),2)</f>
        <v>0.91</v>
      </c>
      <c r="J24" s="26">
        <v>310</v>
      </c>
      <c r="K24" s="27">
        <f>SUMIFS(SA!$F$4:$F$383,SA!$B$4:$B$383,'XL-Test'!B24)*J24</f>
        <v>133558540</v>
      </c>
      <c r="L24" s="23">
        <f>SUMIFS(PS!$H$4:$H$637,PS!$D$4:$D$637,'XL-Test'!B24)</f>
        <v>67</v>
      </c>
      <c r="M24" s="23">
        <f>_xlfn.MAXIFS(PS!$F$4:$F$637,PS!$D$4:$D$637,'XL-Test'!B24)</f>
        <v>25</v>
      </c>
      <c r="N24" s="23">
        <f>COUNTIFS(PS!$D$4:$D$637,'XL-Test'!B24,PS!$B$4:$B$637,"ITA")</f>
        <v>14</v>
      </c>
    </row>
    <row r="25" spans="2:14" ht="19.899999999999999" customHeight="1" x14ac:dyDescent="0.25">
      <c r="B25" s="20" t="s">
        <v>23</v>
      </c>
      <c r="C25" s="21">
        <f>MATCH(B25,LS!$A$4:$A$23,0)</f>
        <v>14</v>
      </c>
      <c r="D25" s="22">
        <f>ROUND(SUMIFS(LS!$I$4:$I$23,LS!$A$4:$A$23,'XL-Test'!B25)/SUMIFS(LS!$H$4:$H$23,LS!$A$4:$A$23,'XL-Test'!B25),2)</f>
        <v>0.26</v>
      </c>
      <c r="E25" s="21">
        <f>ROUND((SUMIFS(LS!$G$4:$G$23,LS!$A$4:$A$23,'XL-Test'!B25)-SUMIFS(LS!$J$4:$J$23,LS!$A$4:$A$23,'XL-Test'!B25))/SUMIFS(LS!$I$4:$I$23,LS!$A$4:$A$23,'XL-Test'!B25),2)</f>
        <v>0.31</v>
      </c>
      <c r="F25" s="20" t="s">
        <v>74</v>
      </c>
      <c r="G25" s="23" cm="1">
        <f t="array" ref="G25">SUMPRODUCT(_xlfn.SWITCH(MID(F25,{1,2,3,4,5},1),"W",3,"D",1,0))</f>
        <v>5</v>
      </c>
      <c r="H25" s="24">
        <f>ROUND(AVERAGEIFS(SA!$F$4:$F$383,SA!$B$4:$B$383,'XL-Test'!B25),0)</f>
        <v>24787</v>
      </c>
      <c r="I25" s="25">
        <f>ROUND(H25/_xlfn.XLOOKUP(B25,SA!$B$4:$B$383,SA!$E$4:$E$383),2)</f>
        <v>0.63</v>
      </c>
      <c r="J25" s="26">
        <v>190</v>
      </c>
      <c r="K25" s="27">
        <f>SUMIFS(SA!$F$4:$F$383,SA!$B$4:$B$383,'XL-Test'!B25)*J25</f>
        <v>89482210</v>
      </c>
      <c r="L25" s="23">
        <f>SUMIFS(PS!$H$4:$H$637,PS!$D$4:$D$637,'XL-Test'!B25)</f>
        <v>97</v>
      </c>
      <c r="M25" s="23">
        <f>_xlfn.MAXIFS(PS!$F$4:$F$637,PS!$D$4:$D$637,'XL-Test'!B25)</f>
        <v>6</v>
      </c>
      <c r="N25" s="23">
        <f>COUNTIFS(PS!$D$4:$D$637,'XL-Test'!B25,PS!$B$4:$B$637,"ITA")</f>
        <v>7</v>
      </c>
    </row>
    <row r="27" spans="2:14" x14ac:dyDescent="0.25">
      <c r="B27" s="15" t="s">
        <v>88</v>
      </c>
    </row>
    <row r="29" spans="2:14" ht="15.75" x14ac:dyDescent="0.25">
      <c r="B29" s="4" t="s">
        <v>24</v>
      </c>
      <c r="C29" s="39" t="s">
        <v>25</v>
      </c>
      <c r="D29" s="39"/>
      <c r="E29" s="39"/>
      <c r="F29" s="39"/>
      <c r="G29" s="39"/>
      <c r="H29" s="39"/>
      <c r="I29" s="39"/>
      <c r="J29" s="39"/>
      <c r="K29" s="39"/>
      <c r="L29" s="39"/>
    </row>
    <row r="30" spans="2:14" x14ac:dyDescent="0.25">
      <c r="C30" s="40" t="s">
        <v>26</v>
      </c>
      <c r="D30" s="40"/>
      <c r="E30" s="40"/>
      <c r="F30" s="40"/>
      <c r="G30" s="40"/>
      <c r="H30" s="40"/>
      <c r="I30" s="40"/>
      <c r="J30" s="40"/>
      <c r="K30" s="40"/>
      <c r="L30" s="40"/>
    </row>
    <row r="31" spans="2:14" x14ac:dyDescent="0.25">
      <c r="B31" s="6"/>
      <c r="C31" s="6"/>
      <c r="D31" s="6"/>
      <c r="E31" s="6"/>
      <c r="F31" s="6"/>
      <c r="G31" s="6"/>
      <c r="H31" s="6"/>
      <c r="I31" s="6"/>
      <c r="J31" s="6"/>
    </row>
    <row r="32" spans="2:14" ht="15.75" x14ac:dyDescent="0.25">
      <c r="B32" s="4" t="s">
        <v>27</v>
      </c>
      <c r="C32" s="39" t="s">
        <v>28</v>
      </c>
      <c r="D32" s="39"/>
      <c r="E32" s="39"/>
      <c r="F32" s="39"/>
      <c r="G32" s="39"/>
      <c r="H32" s="39"/>
      <c r="I32" s="39"/>
      <c r="J32" s="39"/>
      <c r="K32" s="39"/>
      <c r="L32" s="39"/>
    </row>
    <row r="33" spans="2:12" x14ac:dyDescent="0.25">
      <c r="C33" s="36" t="s">
        <v>29</v>
      </c>
      <c r="D33" s="36"/>
      <c r="E33" s="36"/>
      <c r="F33" s="36"/>
      <c r="G33" s="36"/>
      <c r="H33" s="36"/>
      <c r="I33" s="36"/>
      <c r="J33" s="36"/>
      <c r="K33" s="36"/>
      <c r="L33" s="36"/>
    </row>
    <row r="34" spans="2:12" x14ac:dyDescent="0.25">
      <c r="B34" s="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6" spans="2:12" ht="14.45" customHeight="1" x14ac:dyDescent="0.25">
      <c r="B36" s="4" t="s">
        <v>30</v>
      </c>
      <c r="C36" s="7" t="s">
        <v>31</v>
      </c>
    </row>
    <row r="37" spans="2:12" ht="14.45" customHeight="1" x14ac:dyDescent="0.25">
      <c r="C37" s="36" t="s">
        <v>32</v>
      </c>
      <c r="D37" s="36"/>
      <c r="E37" s="36"/>
      <c r="F37" s="36"/>
      <c r="G37" s="36"/>
      <c r="H37" s="36"/>
      <c r="I37" s="36"/>
      <c r="J37" s="36"/>
      <c r="K37" s="36"/>
      <c r="L37" s="36"/>
    </row>
    <row r="38" spans="2:12" ht="14.45" customHeight="1" x14ac:dyDescent="0.25">
      <c r="B38" s="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2:12" x14ac:dyDescent="0.25"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spans="2:12" x14ac:dyDescent="0.25">
      <c r="B40" s="3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2" spans="2:12" ht="15.6" customHeight="1" x14ac:dyDescent="0.25">
      <c r="B42" s="4" t="s">
        <v>33</v>
      </c>
      <c r="C42" s="8" t="s">
        <v>34</v>
      </c>
      <c r="D42" s="6"/>
      <c r="E42" s="6"/>
      <c r="F42" s="6"/>
      <c r="G42" s="6"/>
      <c r="H42" s="6"/>
      <c r="I42" s="6"/>
      <c r="J42" s="6"/>
      <c r="K42" s="6"/>
      <c r="L42" s="6"/>
    </row>
    <row r="43" spans="2:12" x14ac:dyDescent="0.25">
      <c r="C43" s="36" t="s">
        <v>35</v>
      </c>
      <c r="D43" s="36"/>
      <c r="E43" s="36"/>
      <c r="F43" s="36"/>
      <c r="G43" s="36"/>
      <c r="H43" s="36"/>
      <c r="I43" s="36"/>
      <c r="J43" s="36"/>
      <c r="K43" s="36"/>
      <c r="L43" s="36"/>
    </row>
    <row r="44" spans="2:12" x14ac:dyDescent="0.25">
      <c r="B44" s="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 spans="2:12" x14ac:dyDescent="0.25"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7" spans="2:12" ht="15.6" customHeight="1" x14ac:dyDescent="0.25">
      <c r="B47" s="4" t="s">
        <v>36</v>
      </c>
      <c r="C47" s="8" t="s">
        <v>37</v>
      </c>
      <c r="D47" s="6"/>
      <c r="E47" s="6"/>
      <c r="F47" s="6"/>
      <c r="G47" s="6"/>
      <c r="H47" s="6"/>
      <c r="I47" s="6"/>
      <c r="J47" s="6"/>
      <c r="K47" s="6"/>
      <c r="L47" s="6"/>
    </row>
    <row r="48" spans="2:12" x14ac:dyDescent="0.25">
      <c r="C48" s="36" t="s">
        <v>38</v>
      </c>
      <c r="D48" s="36"/>
      <c r="E48" s="36"/>
      <c r="F48" s="36"/>
      <c r="G48" s="36"/>
      <c r="H48" s="36"/>
      <c r="I48" s="36"/>
      <c r="J48" s="36"/>
      <c r="K48" s="36"/>
      <c r="L48" s="36"/>
    </row>
    <row r="49" spans="2:12" x14ac:dyDescent="0.25">
      <c r="B49" s="5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1" spans="2:12" ht="15.6" customHeight="1" x14ac:dyDescent="0.25">
      <c r="B51" s="4" t="s">
        <v>39</v>
      </c>
      <c r="C51" s="8" t="s">
        <v>40</v>
      </c>
      <c r="D51" s="8"/>
      <c r="E51" s="8"/>
      <c r="F51" s="8"/>
      <c r="G51" s="8"/>
      <c r="H51" s="8"/>
      <c r="I51" s="8"/>
      <c r="J51" s="8"/>
      <c r="K51" s="8"/>
      <c r="L51" s="8"/>
    </row>
    <row r="52" spans="2:12" x14ac:dyDescent="0.25">
      <c r="C52" s="36" t="s">
        <v>41</v>
      </c>
      <c r="D52" s="36"/>
      <c r="E52" s="36"/>
      <c r="F52" s="36"/>
      <c r="G52" s="36"/>
      <c r="H52" s="36"/>
      <c r="I52" s="36"/>
      <c r="J52" s="36"/>
      <c r="K52" s="36"/>
      <c r="L52" s="36"/>
    </row>
    <row r="53" spans="2:12" x14ac:dyDescent="0.25">
      <c r="B53" s="5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5" spans="2:12" ht="15.75" x14ac:dyDescent="0.25">
      <c r="B55" s="4" t="s">
        <v>42</v>
      </c>
      <c r="C55" s="39" t="s">
        <v>43</v>
      </c>
      <c r="D55" s="39"/>
      <c r="E55" s="39"/>
      <c r="F55" s="39"/>
      <c r="G55" s="39"/>
      <c r="H55" s="39"/>
      <c r="I55" s="39"/>
      <c r="J55" s="39"/>
      <c r="K55" s="39"/>
      <c r="L55" s="39"/>
    </row>
    <row r="56" spans="2:12" x14ac:dyDescent="0.25">
      <c r="C56" s="36" t="s">
        <v>44</v>
      </c>
      <c r="D56" s="36"/>
      <c r="E56" s="36"/>
      <c r="F56" s="36"/>
      <c r="G56" s="36"/>
      <c r="H56" s="36"/>
      <c r="I56" s="36"/>
      <c r="J56" s="36"/>
      <c r="K56" s="36"/>
      <c r="L56" s="36"/>
    </row>
    <row r="57" spans="2:12" x14ac:dyDescent="0.25">
      <c r="B57" s="5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9" spans="2:12" ht="15.6" customHeight="1" x14ac:dyDescent="0.25">
      <c r="B59" s="4" t="s">
        <v>45</v>
      </c>
      <c r="C59" s="8" t="s">
        <v>46</v>
      </c>
      <c r="D59" s="8"/>
      <c r="E59" s="8"/>
      <c r="F59" s="8"/>
      <c r="G59" s="8"/>
      <c r="H59" s="8"/>
      <c r="I59" s="8"/>
      <c r="J59" s="8"/>
      <c r="K59" s="8"/>
      <c r="L59" s="8"/>
    </row>
    <row r="60" spans="2:12" x14ac:dyDescent="0.25">
      <c r="C60" s="36" t="s">
        <v>47</v>
      </c>
      <c r="D60" s="36"/>
      <c r="E60" s="36"/>
      <c r="F60" s="36"/>
      <c r="G60" s="36"/>
      <c r="H60" s="36"/>
      <c r="I60" s="36"/>
      <c r="J60" s="36"/>
      <c r="K60" s="36"/>
      <c r="L60" s="36"/>
    </row>
    <row r="61" spans="2:12" x14ac:dyDescent="0.25">
      <c r="B61" s="5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3" spans="2:12" ht="15.75" x14ac:dyDescent="0.25">
      <c r="B63" s="4" t="s">
        <v>48</v>
      </c>
      <c r="C63" s="39" t="s">
        <v>49</v>
      </c>
      <c r="D63" s="39"/>
      <c r="E63" s="39"/>
      <c r="F63" s="39"/>
      <c r="G63" s="39"/>
      <c r="H63" s="39"/>
      <c r="I63" s="39"/>
      <c r="J63" s="39"/>
      <c r="K63" s="39"/>
      <c r="L63" s="39"/>
    </row>
    <row r="64" spans="2:12" x14ac:dyDescent="0.25">
      <c r="C64" s="36" t="s">
        <v>50</v>
      </c>
      <c r="D64" s="36"/>
      <c r="E64" s="36"/>
      <c r="F64" s="36"/>
      <c r="G64" s="36"/>
      <c r="H64" s="36"/>
      <c r="I64" s="36"/>
      <c r="J64" s="36"/>
      <c r="K64" s="36"/>
      <c r="L64" s="36"/>
    </row>
    <row r="65" spans="2:12" x14ac:dyDescent="0.25">
      <c r="B65" s="5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7" spans="2:12" ht="15.75" x14ac:dyDescent="0.25">
      <c r="B67" s="4" t="s">
        <v>51</v>
      </c>
      <c r="C67" s="39" t="s">
        <v>52</v>
      </c>
      <c r="D67" s="39"/>
      <c r="E67" s="39"/>
      <c r="F67" s="39"/>
      <c r="G67" s="39"/>
      <c r="H67" s="39"/>
      <c r="I67" s="39"/>
      <c r="J67" s="39"/>
      <c r="K67" s="39"/>
      <c r="L67" s="39"/>
    </row>
    <row r="68" spans="2:12" x14ac:dyDescent="0.25">
      <c r="C68" s="36" t="s">
        <v>53</v>
      </c>
      <c r="D68" s="36"/>
      <c r="E68" s="36"/>
      <c r="F68" s="36"/>
      <c r="G68" s="36"/>
      <c r="H68" s="36"/>
      <c r="I68" s="36"/>
      <c r="J68" s="36"/>
      <c r="K68" s="36"/>
      <c r="L68" s="36"/>
    </row>
    <row r="69" spans="2:12" x14ac:dyDescent="0.25">
      <c r="B69" s="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2:12" x14ac:dyDescent="0.25"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4" spans="2:12" x14ac:dyDescent="0.25">
      <c r="B74" s="15" t="s">
        <v>87</v>
      </c>
    </row>
    <row r="75" spans="2:12" x14ac:dyDescent="0.25">
      <c r="B75" s="15" t="s">
        <v>88</v>
      </c>
    </row>
  </sheetData>
  <mergeCells count="17">
    <mergeCell ref="C63:L63"/>
    <mergeCell ref="C64:L65"/>
    <mergeCell ref="C67:L67"/>
    <mergeCell ref="C68:L70"/>
    <mergeCell ref="C37:L40"/>
    <mergeCell ref="C52:L53"/>
    <mergeCell ref="C55:L55"/>
    <mergeCell ref="C56:L57"/>
    <mergeCell ref="C60:L61"/>
    <mergeCell ref="C43:L45"/>
    <mergeCell ref="C48:L49"/>
    <mergeCell ref="C33:L34"/>
    <mergeCell ref="B2:C2"/>
    <mergeCell ref="B1:C1"/>
    <mergeCell ref="C29:L29"/>
    <mergeCell ref="C30:L30"/>
    <mergeCell ref="C32:L32"/>
  </mergeCells>
  <conditionalFormatting sqref="B6:N25">
    <cfRule type="expression" dxfId="0" priority="1">
      <formula>$B6="Hellas Verona"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4158-1010-454C-B552-63A92CE7B2A3}">
  <sheetPr codeName="Sheet6"/>
  <dimension ref="A1:J25"/>
  <sheetViews>
    <sheetView showGridLines="0" workbookViewId="0">
      <selection activeCell="H29" sqref="H29:H30"/>
    </sheetView>
  </sheetViews>
  <sheetFormatPr defaultColWidth="8.85546875" defaultRowHeight="15" x14ac:dyDescent="0.25"/>
  <cols>
    <col min="1" max="3" width="8.85546875" style="31"/>
    <col min="4" max="4" width="10.42578125" style="31" customWidth="1"/>
    <col min="5" max="5" width="9.28515625" style="31" customWidth="1"/>
    <col min="6" max="7" width="8.85546875" style="31"/>
    <col min="8" max="8" width="26.42578125" style="31" customWidth="1"/>
    <col min="9" max="16384" width="8.85546875" style="31"/>
  </cols>
  <sheetData>
    <row r="1" spans="1:10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0" x14ac:dyDescent="0.25">
      <c r="A6" s="30"/>
      <c r="B6" s="30"/>
      <c r="C6" s="30" t="s">
        <v>853</v>
      </c>
      <c r="D6" s="30"/>
      <c r="E6" s="30"/>
      <c r="F6" s="30"/>
      <c r="G6" s="30"/>
      <c r="H6" s="30"/>
      <c r="I6" s="30"/>
      <c r="J6" s="30"/>
    </row>
    <row r="7" spans="1:10" x14ac:dyDescent="0.25">
      <c r="A7" s="30"/>
      <c r="B7" s="30"/>
      <c r="C7" s="30" t="s">
        <v>854</v>
      </c>
      <c r="D7" s="30"/>
      <c r="E7" s="30"/>
      <c r="F7" s="30"/>
      <c r="G7" s="30"/>
      <c r="H7" s="30"/>
      <c r="I7" s="30"/>
      <c r="J7" s="30"/>
    </row>
    <row r="8" spans="1:10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x14ac:dyDescent="0.25">
      <c r="A10" s="30"/>
      <c r="B10" s="30"/>
      <c r="C10" s="30" t="s">
        <v>855</v>
      </c>
      <c r="D10" s="30"/>
      <c r="E10" s="30"/>
      <c r="F10" s="30"/>
      <c r="G10" s="30"/>
      <c r="H10" s="30"/>
      <c r="I10" s="30"/>
      <c r="J10" s="30"/>
    </row>
    <row r="11" spans="1:10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spans="1:10" x14ac:dyDescent="0.25">
      <c r="A12" s="30"/>
      <c r="B12" s="30"/>
      <c r="C12" s="30"/>
      <c r="D12" s="41" t="s">
        <v>856</v>
      </c>
      <c r="E12" s="41"/>
      <c r="F12" s="42" t="s">
        <v>857</v>
      </c>
      <c r="G12" s="42"/>
      <c r="H12" s="30"/>
      <c r="I12" s="30"/>
      <c r="J12" s="30"/>
    </row>
    <row r="13" spans="1:10" x14ac:dyDescent="0.25">
      <c r="A13" s="30"/>
      <c r="B13" s="30"/>
      <c r="C13" s="30"/>
      <c r="D13" s="41" t="s">
        <v>858</v>
      </c>
      <c r="E13" s="41"/>
      <c r="F13" s="32" t="s">
        <v>859</v>
      </c>
      <c r="G13" s="33"/>
      <c r="H13" s="30"/>
      <c r="I13" s="30"/>
      <c r="J13" s="30"/>
    </row>
    <row r="14" spans="1:10" x14ac:dyDescent="0.25">
      <c r="A14" s="30"/>
      <c r="B14" s="30"/>
      <c r="C14" s="30"/>
      <c r="D14" s="41" t="s">
        <v>860</v>
      </c>
      <c r="E14" s="41"/>
      <c r="F14" s="32" t="s">
        <v>861</v>
      </c>
      <c r="G14" s="34"/>
      <c r="H14" s="30"/>
      <c r="I14" s="30"/>
      <c r="J14" s="30"/>
    </row>
    <row r="15" spans="1:10" x14ac:dyDescent="0.25">
      <c r="A15" s="30"/>
      <c r="B15" s="30"/>
      <c r="C15" s="30"/>
      <c r="D15" s="41" t="s">
        <v>862</v>
      </c>
      <c r="E15" s="41"/>
      <c r="F15" s="32" t="s">
        <v>863</v>
      </c>
      <c r="G15" s="34"/>
      <c r="H15" s="30"/>
      <c r="I15" s="30"/>
      <c r="J15" s="30"/>
    </row>
    <row r="16" spans="1:10" x14ac:dyDescent="0.25">
      <c r="A16" s="30"/>
      <c r="B16" s="30"/>
      <c r="C16" s="30"/>
      <c r="D16" s="41" t="s">
        <v>864</v>
      </c>
      <c r="E16" s="41"/>
      <c r="F16" s="32" t="s">
        <v>865</v>
      </c>
      <c r="G16" s="34"/>
      <c r="H16" s="30"/>
      <c r="I16" s="30"/>
      <c r="J16" s="30"/>
    </row>
    <row r="17" spans="1:10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10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 spans="1:10" x14ac:dyDescent="0.25">
      <c r="A19" s="30"/>
      <c r="B19" s="30"/>
      <c r="C19" s="30" t="s">
        <v>866</v>
      </c>
      <c r="D19" s="30"/>
      <c r="E19" s="30"/>
      <c r="F19" s="30"/>
      <c r="G19" s="30"/>
      <c r="H19" s="30"/>
      <c r="I19" s="30"/>
      <c r="J19" s="30"/>
    </row>
    <row r="20" spans="1:10" x14ac:dyDescent="0.25">
      <c r="A20" s="30"/>
      <c r="B20" s="30"/>
      <c r="C20" s="35" t="s">
        <v>867</v>
      </c>
      <c r="D20" s="30"/>
      <c r="E20" s="30"/>
      <c r="F20" s="30"/>
      <c r="G20" s="30"/>
      <c r="H20" s="30"/>
      <c r="I20" s="30"/>
      <c r="J20" s="30"/>
    </row>
    <row r="21" spans="1:1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</row>
    <row r="22" spans="1:1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spans="1:1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</row>
    <row r="24" spans="1:1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</row>
    <row r="25" spans="1:1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5E19CAEC-FE2A-433C-973D-E6DFAF86DBA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D39B-3420-49CC-B8BF-4F0842A5048C}">
  <sheetPr codeName="Sheet2"/>
  <dimension ref="A1:AB86"/>
  <sheetViews>
    <sheetView workbookViewId="0">
      <selection activeCell="A3" sqref="A3"/>
    </sheetView>
  </sheetViews>
  <sheetFormatPr defaultRowHeight="15" x14ac:dyDescent="0.25"/>
  <cols>
    <col min="3" max="3" width="12" customWidth="1"/>
    <col min="5" max="6" width="10.28515625" customWidth="1"/>
    <col min="7" max="7" width="9.7109375" customWidth="1"/>
    <col min="8" max="8" width="10.7109375" customWidth="1"/>
    <col min="9" max="9" width="9.7109375" customWidth="1"/>
    <col min="10" max="10" width="14.7109375" customWidth="1"/>
    <col min="11" max="11" width="10.28515625" customWidth="1"/>
    <col min="12" max="12" width="9" customWidth="1"/>
    <col min="13" max="13" width="10.28515625" customWidth="1"/>
    <col min="19" max="19" width="96.5703125" bestFit="1" customWidth="1"/>
    <col min="27" max="27" width="18.140625" customWidth="1"/>
    <col min="28" max="28" width="26.28515625" customWidth="1"/>
  </cols>
  <sheetData>
    <row r="1" spans="1:28" x14ac:dyDescent="0.25">
      <c r="A1" t="s">
        <v>144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</row>
    <row r="2" spans="1:28" x14ac:dyDescent="0.25">
      <c r="A2" t="s">
        <v>868</v>
      </c>
      <c r="C2">
        <v>1</v>
      </c>
      <c r="D2">
        <f>'XL-Test'!C6</f>
        <v>11</v>
      </c>
      <c r="E2">
        <f>'XL-Test'!D6</f>
        <v>0.32</v>
      </c>
      <c r="F2">
        <f>'XL-Test'!E6</f>
        <v>0.28000000000000003</v>
      </c>
      <c r="G2">
        <f>'XL-Test'!G6</f>
        <v>1</v>
      </c>
      <c r="H2">
        <f>'XL-Test'!H6</f>
        <v>23324</v>
      </c>
      <c r="I2">
        <f>'XL-Test'!I6</f>
        <v>0.83</v>
      </c>
      <c r="J2">
        <f>'XL-Test'!K6</f>
        <v>101925650</v>
      </c>
      <c r="K2">
        <f>'XL-Test'!L6</f>
        <v>80</v>
      </c>
      <c r="L2">
        <f>'XL-Test'!M6</f>
        <v>9</v>
      </c>
      <c r="M2">
        <f>'XL-Test'!N6</f>
        <v>8</v>
      </c>
      <c r="R2">
        <v>1</v>
      </c>
      <c r="S2" t="str">
        <f ca="1">_xlfn.FORMULATEXT('XL-Test'!C6)</f>
        <v>=MATCH(B6;LS!$A$4:$A$23;0)</v>
      </c>
      <c r="T2" t="str">
        <f ca="1">_xlfn.FORMULATEXT('XL-Test'!D6)</f>
        <v>=ROUND(SUMIFS(LS!$I$4:$I$23;LS!$A$4:$A$23;'XL-Test'!B6)/SUMIFS(LS!$H$4:$H$23;LS!$A$4:$A$23;'XL-Test'!B6);2)</v>
      </c>
      <c r="U2" t="str">
        <f ca="1">_xlfn.FORMULATEXT('XL-Test'!E6)</f>
        <v>=ROUND((SUMIFS(LS!$G$4:$G$23;LS!$A$4:$A$23;'XL-Test'!B6)-SUMIFS(LS!$J$4:$J$23;LS!$A$4:$A$23;'XL-Test'!B6))/SUMIFS(LS!$I$4:$I$23;LS!$A$4:$A$23;'XL-Test'!B6);2)</v>
      </c>
      <c r="V2" t="str">
        <f ca="1">_xlfn.FORMULATEXT('XL-Test'!G6)</f>
        <v>=SUMPRODUCT(SWITCH(MID(F6;{1\2\3\4\5};1);"W";3;"D";1;0))</v>
      </c>
      <c r="W2" t="str">
        <f ca="1">_xlfn.FORMULATEXT('XL-Test'!H6)</f>
        <v>=ROUND(AVERAGEIFS(SA!$F$4:$F$383;SA!$B$4:$B$383;'XL-Test'!B6);0)</v>
      </c>
      <c r="X2" t="str">
        <f ca="1">_xlfn.FORMULATEXT('XL-Test'!I6)</f>
        <v>=ROUND(H6/XLOOKUP(B6;SA!$B$4:$B$383;SA!$E$4:$E$383);2)</v>
      </c>
      <c r="Y2" t="str">
        <f ca="1">_xlfn.FORMULATEXT('XL-Test'!K6)</f>
        <v>=SUMIFS(SA!$F$4:$F$383;SA!$B$4:$B$383;'XL-Test'!B6)*J6</v>
      </c>
      <c r="Z2" t="str">
        <f ca="1">_xlfn.FORMULATEXT('XL-Test'!L6)</f>
        <v>=SUMIFS(PS!$H$4:$H$637;PS!$D$4:$D$637;'XL-Test'!B6)</v>
      </c>
      <c r="AA2" t="str">
        <f ca="1">_xlfn.FORMULATEXT('XL-Test'!M6)</f>
        <v>=MAXIFS(PS!$F$4:$F$637;PS!$D$4:$D$637;'XL-Test'!B6)</v>
      </c>
      <c r="AB2" t="str">
        <f ca="1">_xlfn.FORMULATEXT('XL-Test'!N6)</f>
        <v>=COUNTIFS(PS!$D$4:$D$637;'XL-Test'!B6;PS!$B$4:$B$637;"ITA")</v>
      </c>
    </row>
    <row r="3" spans="1:28" x14ac:dyDescent="0.25">
      <c r="C3">
        <v>2</v>
      </c>
      <c r="D3">
        <f>'XL-Test'!C7</f>
        <v>6</v>
      </c>
      <c r="E3">
        <f>'XL-Test'!D7</f>
        <v>0.38</v>
      </c>
      <c r="F3">
        <f>'XL-Test'!E7</f>
        <v>0.31</v>
      </c>
      <c r="G3">
        <f>'XL-Test'!G7</f>
        <v>9</v>
      </c>
      <c r="H3">
        <f>'XL-Test'!H7</f>
        <v>20410</v>
      </c>
      <c r="I3">
        <f>'XL-Test'!I7</f>
        <v>0.47</v>
      </c>
      <c r="J3">
        <f>'XL-Test'!K7</f>
        <v>135727550</v>
      </c>
      <c r="K3">
        <f>'XL-Test'!L7</f>
        <v>82</v>
      </c>
      <c r="L3">
        <f>'XL-Test'!M7</f>
        <v>19</v>
      </c>
      <c r="M3">
        <f>'XL-Test'!N7</f>
        <v>19</v>
      </c>
      <c r="R3">
        <v>2</v>
      </c>
      <c r="S3" t="str">
        <f ca="1">T2</f>
        <v>=ROUND(SUMIFS(LS!$I$4:$I$23;LS!$A$4:$A$23;'XL-Test'!B6)/SUMIFS(LS!$H$4:$H$23;LS!$A$4:$A$23;'XL-Test'!B6);2)</v>
      </c>
    </row>
    <row r="4" spans="1:28" x14ac:dyDescent="0.25">
      <c r="C4">
        <v>3</v>
      </c>
      <c r="D4">
        <f>'XL-Test'!C8</f>
        <v>9</v>
      </c>
      <c r="E4">
        <f>'XL-Test'!D8</f>
        <v>0.33</v>
      </c>
      <c r="F4">
        <f>'XL-Test'!E8</f>
        <v>0.3</v>
      </c>
      <c r="G4">
        <f>'XL-Test'!G8</f>
        <v>2</v>
      </c>
      <c r="H4">
        <f>'XL-Test'!H8</f>
        <v>28213</v>
      </c>
      <c r="I4">
        <f>'XL-Test'!I8</f>
        <v>0.77</v>
      </c>
      <c r="J4">
        <f>'XL-Test'!K8</f>
        <v>160811400</v>
      </c>
      <c r="K4">
        <f>'XL-Test'!L8</f>
        <v>61</v>
      </c>
      <c r="L4">
        <f>'XL-Test'!M8</f>
        <v>15</v>
      </c>
      <c r="M4">
        <f>'XL-Test'!N8</f>
        <v>8</v>
      </c>
      <c r="R4">
        <v>3</v>
      </c>
      <c r="S4" t="str">
        <f ca="1">U2</f>
        <v>=ROUND((SUMIFS(LS!$G$4:$G$23;LS!$A$4:$A$23;'XL-Test'!B6)-SUMIFS(LS!$J$4:$J$23;LS!$A$4:$A$23;'XL-Test'!B6))/SUMIFS(LS!$I$4:$I$23;LS!$A$4:$A$23;'XL-Test'!B6);2)</v>
      </c>
    </row>
    <row r="5" spans="1:28" x14ac:dyDescent="0.25">
      <c r="C5">
        <v>4</v>
      </c>
      <c r="D5">
        <f>'XL-Test'!C9</f>
        <v>10</v>
      </c>
      <c r="E5">
        <f>'XL-Test'!D9</f>
        <v>0.34</v>
      </c>
      <c r="F5">
        <f>'XL-Test'!E9</f>
        <v>0.25</v>
      </c>
      <c r="G5">
        <f>'XL-Test'!G9</f>
        <v>10</v>
      </c>
      <c r="H5">
        <f>'XL-Test'!H9</f>
        <v>10830</v>
      </c>
      <c r="I5">
        <f>'XL-Test'!I9</f>
        <v>0.9</v>
      </c>
      <c r="J5">
        <f>'XL-Test'!K9</f>
        <v>62554080</v>
      </c>
      <c r="K5">
        <f>'XL-Test'!L9</f>
        <v>87</v>
      </c>
      <c r="L5">
        <f>'XL-Test'!M9</f>
        <v>8</v>
      </c>
      <c r="M5">
        <f>'XL-Test'!N9</f>
        <v>12</v>
      </c>
      <c r="R5">
        <v>4</v>
      </c>
      <c r="S5" t="str">
        <f ca="1">V2</f>
        <v>=SUMPRODUCT(SWITCH(MID(F6;{1\2\3\4\5};1);"W";3;"D";1;0))</v>
      </c>
    </row>
    <row r="6" spans="1:28" x14ac:dyDescent="0.25">
      <c r="C6">
        <v>5</v>
      </c>
      <c r="D6">
        <f>'XL-Test'!C10</f>
        <v>18</v>
      </c>
      <c r="E6">
        <f>'XL-Test'!D10</f>
        <v>0.28999999999999998</v>
      </c>
      <c r="F6">
        <f>'XL-Test'!E10</f>
        <v>0.27</v>
      </c>
      <c r="G6">
        <f>'XL-Test'!G10</f>
        <v>6</v>
      </c>
      <c r="H6">
        <f>'XL-Test'!H10</f>
        <v>11151</v>
      </c>
      <c r="I6">
        <f>'XL-Test'!I10</f>
        <v>0.56000000000000005</v>
      </c>
      <c r="J6">
        <f>'XL-Test'!K10</f>
        <v>54026340</v>
      </c>
      <c r="K6">
        <f>'XL-Test'!L10</f>
        <v>68</v>
      </c>
      <c r="L6">
        <f>'XL-Test'!M10</f>
        <v>8</v>
      </c>
      <c r="M6">
        <f>'XL-Test'!N10</f>
        <v>16</v>
      </c>
      <c r="R6">
        <v>5</v>
      </c>
      <c r="S6" t="str">
        <f ca="1">W2</f>
        <v>=ROUND(AVERAGEIFS(SA!$F$4:$F$383;SA!$B$4:$B$383;'XL-Test'!B6);0)</v>
      </c>
    </row>
    <row r="7" spans="1:28" x14ac:dyDescent="0.25">
      <c r="C7">
        <v>6</v>
      </c>
      <c r="D7">
        <f>'XL-Test'!C11</f>
        <v>13</v>
      </c>
      <c r="E7">
        <f>'XL-Test'!D11</f>
        <v>0.31</v>
      </c>
      <c r="F7">
        <f>'XL-Test'!E11</f>
        <v>0.3</v>
      </c>
      <c r="G7">
        <f>'XL-Test'!G11</f>
        <v>4</v>
      </c>
      <c r="H7">
        <f>'XL-Test'!H11</f>
        <v>30772</v>
      </c>
      <c r="I7">
        <f>'XL-Test'!I11</f>
        <v>0.88</v>
      </c>
      <c r="J7">
        <f>'XL-Test'!K11</f>
        <v>131550750</v>
      </c>
      <c r="K7">
        <f>'XL-Test'!L11</f>
        <v>71</v>
      </c>
      <c r="L7">
        <f>'XL-Test'!M11</f>
        <v>10</v>
      </c>
      <c r="M7">
        <f>'XL-Test'!N11</f>
        <v>17</v>
      </c>
      <c r="R7">
        <v>6</v>
      </c>
      <c r="S7" t="str">
        <f ca="1">X2</f>
        <v>=ROUND(H6/XLOOKUP(B6;SA!$B$4:$B$383;SA!$E$4:$E$383);2)</v>
      </c>
    </row>
    <row r="8" spans="1:28" x14ac:dyDescent="0.25">
      <c r="C8">
        <v>7</v>
      </c>
      <c r="D8">
        <f>'XL-Test'!C12</f>
        <v>12</v>
      </c>
      <c r="E8">
        <f>'XL-Test'!D12</f>
        <v>0.32</v>
      </c>
      <c r="F8">
        <f>'XL-Test'!E12</f>
        <v>0.28000000000000003</v>
      </c>
      <c r="G8">
        <f>'XL-Test'!G12</f>
        <v>4</v>
      </c>
      <c r="H8">
        <f>'XL-Test'!H12</f>
        <v>21823</v>
      </c>
      <c r="I8">
        <f>'XL-Test'!I12</f>
        <v>0.87</v>
      </c>
      <c r="J8">
        <f>'XL-Test'!K12</f>
        <v>103660250</v>
      </c>
      <c r="K8">
        <f>'XL-Test'!L12</f>
        <v>88</v>
      </c>
      <c r="L8">
        <f>'XL-Test'!M12</f>
        <v>12</v>
      </c>
      <c r="M8">
        <f>'XL-Test'!N12</f>
        <v>3</v>
      </c>
      <c r="R8">
        <v>7</v>
      </c>
      <c r="S8" t="str">
        <f ca="1">Y2</f>
        <v>=SUMIFS(SA!$F$4:$F$383;SA!$B$4:$B$383;'XL-Test'!B6)*J6</v>
      </c>
    </row>
    <row r="9" spans="1:28" x14ac:dyDescent="0.25">
      <c r="C9">
        <v>8</v>
      </c>
      <c r="D9">
        <f>'XL-Test'!C13</f>
        <v>4</v>
      </c>
      <c r="E9">
        <f>'XL-Test'!D13</f>
        <v>0.34</v>
      </c>
      <c r="F9">
        <f>'XL-Test'!E13</f>
        <v>0.28999999999999998</v>
      </c>
      <c r="G9">
        <f>'XL-Test'!G13</f>
        <v>11</v>
      </c>
      <c r="H9">
        <f>'XL-Test'!H13</f>
        <v>40228</v>
      </c>
      <c r="I9">
        <f>'XL-Test'!I13</f>
        <v>0.97</v>
      </c>
      <c r="J9">
        <f>'XL-Test'!K13</f>
        <v>415793344</v>
      </c>
      <c r="K9">
        <f>'XL-Test'!L13</f>
        <v>67</v>
      </c>
      <c r="L9">
        <f>'XL-Test'!M13</f>
        <v>10</v>
      </c>
      <c r="M9">
        <f>'XL-Test'!N13</f>
        <v>9</v>
      </c>
      <c r="R9">
        <v>8</v>
      </c>
      <c r="S9" t="str">
        <f ca="1">Z2</f>
        <v>=SUMIFS(PS!$H$4:$H$637;PS!$D$4:$D$637;'XL-Test'!B6)</v>
      </c>
    </row>
    <row r="10" spans="1:28" x14ac:dyDescent="0.25">
      <c r="C10">
        <v>9</v>
      </c>
      <c r="D10">
        <f>'XL-Test'!C14</f>
        <v>20</v>
      </c>
      <c r="E10">
        <f>'XL-Test'!D14</f>
        <v>0.3</v>
      </c>
      <c r="F10">
        <f>'XL-Test'!E14</f>
        <v>0.24</v>
      </c>
      <c r="G10">
        <f>'XL-Test'!G14</f>
        <v>3</v>
      </c>
      <c r="H10">
        <f>'XL-Test'!H14</f>
        <v>11274</v>
      </c>
      <c r="I10">
        <f>'XL-Test'!I14</f>
        <v>0.66</v>
      </c>
      <c r="J10">
        <f>'XL-Test'!K14</f>
        <v>55691220</v>
      </c>
      <c r="K10">
        <f>'XL-Test'!L14</f>
        <v>90</v>
      </c>
      <c r="L10">
        <f>'XL-Test'!M14</f>
        <v>5</v>
      </c>
      <c r="M10">
        <f>'XL-Test'!N14</f>
        <v>21</v>
      </c>
      <c r="R10">
        <v>9</v>
      </c>
      <c r="S10" t="str">
        <f ca="1">AA2</f>
        <v>=MAXIFS(PS!$F$4:$F$637;PS!$D$4:$D$637;'XL-Test'!B6)</v>
      </c>
    </row>
    <row r="11" spans="1:28" x14ac:dyDescent="0.25">
      <c r="C11">
        <v>10</v>
      </c>
      <c r="D11">
        <f>'XL-Test'!C15</f>
        <v>1</v>
      </c>
      <c r="E11">
        <f>'XL-Test'!D15</f>
        <v>0.3</v>
      </c>
      <c r="F11">
        <f>'XL-Test'!E15</f>
        <v>0.35</v>
      </c>
      <c r="G11">
        <f>'XL-Test'!G15</f>
        <v>11</v>
      </c>
      <c r="H11">
        <f>'XL-Test'!H15</f>
        <v>51398</v>
      </c>
      <c r="I11">
        <f>'XL-Test'!I15</f>
        <v>0.94</v>
      </c>
      <c r="J11">
        <f>'XL-Test'!K15</f>
        <v>273439880</v>
      </c>
      <c r="K11">
        <f>'XL-Test'!L15</f>
        <v>46</v>
      </c>
      <c r="L11">
        <f>'XL-Test'!M15</f>
        <v>14</v>
      </c>
      <c r="M11">
        <f>'XL-Test'!N15</f>
        <v>11</v>
      </c>
      <c r="R11">
        <v>10</v>
      </c>
      <c r="S11" t="str">
        <f ca="1">AB2</f>
        <v>=COUNTIFS(PS!$D$4:$D$637;'XL-Test'!B6;PS!$B$4:$B$637;"ITA")</v>
      </c>
    </row>
    <row r="12" spans="1:28" x14ac:dyDescent="0.25">
      <c r="C12">
        <v>11</v>
      </c>
      <c r="D12">
        <f>'XL-Test'!C16</f>
        <v>17</v>
      </c>
      <c r="E12">
        <f>'XL-Test'!D16</f>
        <v>0.26</v>
      </c>
      <c r="F12">
        <f>'XL-Test'!E16</f>
        <v>0.2</v>
      </c>
      <c r="G12">
        <f>'XL-Test'!G16</f>
        <v>8</v>
      </c>
      <c r="H12">
        <f>'XL-Test'!H16</f>
        <v>26031</v>
      </c>
      <c r="I12">
        <f>'XL-Test'!I16</f>
        <v>0.82</v>
      </c>
      <c r="J12">
        <f>'XL-Test'!K16</f>
        <v>150846900</v>
      </c>
      <c r="K12">
        <f>'XL-Test'!L16</f>
        <v>61</v>
      </c>
      <c r="L12">
        <f>'XL-Test'!M16</f>
        <v>11</v>
      </c>
      <c r="M12">
        <f>'XL-Test'!N16</f>
        <v>6</v>
      </c>
    </row>
    <row r="13" spans="1:28" x14ac:dyDescent="0.25">
      <c r="C13">
        <v>12</v>
      </c>
      <c r="D13">
        <f>'XL-Test'!C17</f>
        <v>15</v>
      </c>
      <c r="E13">
        <f>'XL-Test'!D17</f>
        <v>0.27</v>
      </c>
      <c r="F13">
        <f>'XL-Test'!E17</f>
        <v>0.3</v>
      </c>
      <c r="G13">
        <f>'XL-Test'!G17</f>
        <v>6</v>
      </c>
      <c r="H13">
        <f>'XL-Test'!H17</f>
        <v>15745</v>
      </c>
      <c r="I13">
        <f>'XL-Test'!I17</f>
        <v>0.96</v>
      </c>
      <c r="J13">
        <f>'XL-Test'!K17</f>
        <v>83763120</v>
      </c>
      <c r="K13">
        <f>'XL-Test'!L17</f>
        <v>68</v>
      </c>
      <c r="L13">
        <f>'XL-Test'!M17</f>
        <v>10</v>
      </c>
      <c r="M13">
        <f>'XL-Test'!N17</f>
        <v>15</v>
      </c>
    </row>
    <row r="14" spans="1:28" x14ac:dyDescent="0.25">
      <c r="C14">
        <v>13</v>
      </c>
      <c r="D14">
        <f>'XL-Test'!C18</f>
        <v>19</v>
      </c>
      <c r="E14">
        <f>'XL-Test'!D18</f>
        <v>0.31</v>
      </c>
      <c r="F14">
        <f>'XL-Test'!E18</f>
        <v>0.23</v>
      </c>
      <c r="G14">
        <f>'XL-Test'!G18</f>
        <v>4</v>
      </c>
      <c r="H14">
        <f>'XL-Test'!H18</f>
        <v>10379</v>
      </c>
      <c r="I14">
        <f>'XL-Test'!I18</f>
        <v>0.86</v>
      </c>
      <c r="J14">
        <f>'XL-Test'!K18</f>
        <v>59162100</v>
      </c>
      <c r="K14">
        <f>'XL-Test'!L18</f>
        <v>75</v>
      </c>
      <c r="L14">
        <f>'XL-Test'!M18</f>
        <v>6</v>
      </c>
      <c r="M14">
        <f>'XL-Test'!N18</f>
        <v>12</v>
      </c>
    </row>
    <row r="15" spans="1:28" x14ac:dyDescent="0.25">
      <c r="C15">
        <v>14</v>
      </c>
      <c r="D15">
        <f>'XL-Test'!C19</f>
        <v>2</v>
      </c>
      <c r="E15">
        <f>'XL-Test'!D19</f>
        <v>0.32</v>
      </c>
      <c r="F15">
        <f>'XL-Test'!E19</f>
        <v>0.38</v>
      </c>
      <c r="G15">
        <f>'XL-Test'!G19</f>
        <v>10</v>
      </c>
      <c r="H15">
        <f>'XL-Test'!H19</f>
        <v>70600</v>
      </c>
      <c r="I15">
        <f>'XL-Test'!I19</f>
        <v>0.93</v>
      </c>
      <c r="J15">
        <f>'XL-Test'!K19</f>
        <v>360837138</v>
      </c>
      <c r="K15">
        <f>'XL-Test'!L19</f>
        <v>56</v>
      </c>
      <c r="L15">
        <f>'XL-Test'!M19</f>
        <v>14</v>
      </c>
      <c r="M15">
        <f>'XL-Test'!N19</f>
        <v>6</v>
      </c>
    </row>
    <row r="16" spans="1:28" x14ac:dyDescent="0.25">
      <c r="C16">
        <v>15</v>
      </c>
      <c r="D16">
        <f>'XL-Test'!C20</f>
        <v>7</v>
      </c>
      <c r="E16">
        <f>'XL-Test'!D20</f>
        <v>0.35</v>
      </c>
      <c r="F16">
        <f>'XL-Test'!E20</f>
        <v>0.3</v>
      </c>
      <c r="G16">
        <f>'XL-Test'!G20</f>
        <v>6</v>
      </c>
      <c r="H16">
        <f>'XL-Test'!H20</f>
        <v>43303</v>
      </c>
      <c r="I16">
        <f>'XL-Test'!I20</f>
        <v>0.61</v>
      </c>
      <c r="J16">
        <f>'XL-Test'!K20</f>
        <v>242710660</v>
      </c>
      <c r="K16">
        <f>'XL-Test'!L20</f>
        <v>93</v>
      </c>
      <c r="L16">
        <f>'XL-Test'!M20</f>
        <v>11</v>
      </c>
      <c r="M16">
        <f>'XL-Test'!N20</f>
        <v>8</v>
      </c>
    </row>
    <row r="17" spans="3:13" x14ac:dyDescent="0.25">
      <c r="C17">
        <v>16</v>
      </c>
      <c r="D17">
        <f>'XL-Test'!C21</f>
        <v>16</v>
      </c>
      <c r="E17">
        <f>'XL-Test'!D21</f>
        <v>0.33</v>
      </c>
      <c r="F17">
        <f>'XL-Test'!E21</f>
        <v>0.26</v>
      </c>
      <c r="G17">
        <f>'XL-Test'!G21</f>
        <v>5</v>
      </c>
      <c r="H17">
        <f>'XL-Test'!H21</f>
        <v>19230</v>
      </c>
      <c r="I17">
        <f>'XL-Test'!I21</f>
        <v>0.86</v>
      </c>
      <c r="J17">
        <f>'XL-Test'!K21</f>
        <v>89515405</v>
      </c>
      <c r="K17">
        <f>'XL-Test'!L21</f>
        <v>78</v>
      </c>
      <c r="L17">
        <f>'XL-Test'!M21</f>
        <v>6</v>
      </c>
      <c r="M17">
        <f>'XL-Test'!N21</f>
        <v>5</v>
      </c>
    </row>
    <row r="18" spans="3:13" x14ac:dyDescent="0.25">
      <c r="C18">
        <v>17</v>
      </c>
      <c r="D18">
        <f>'XL-Test'!C22</f>
        <v>5</v>
      </c>
      <c r="E18">
        <f>'XL-Test'!D22</f>
        <v>0.32</v>
      </c>
      <c r="F18">
        <f>'XL-Test'!E22</f>
        <v>0.28999999999999998</v>
      </c>
      <c r="G18">
        <f>'XL-Test'!G22</f>
        <v>12</v>
      </c>
      <c r="H18">
        <f>'XL-Test'!H22</f>
        <v>62435</v>
      </c>
      <c r="I18">
        <f>'XL-Test'!I22</f>
        <v>0.88</v>
      </c>
      <c r="J18">
        <f>'XL-Test'!K22</f>
        <v>328595959</v>
      </c>
      <c r="K18">
        <f>'XL-Test'!L22</f>
        <v>66</v>
      </c>
      <c r="L18">
        <f>'XL-Test'!M22</f>
        <v>12</v>
      </c>
      <c r="M18">
        <f>'XL-Test'!N22</f>
        <v>6</v>
      </c>
    </row>
    <row r="19" spans="3:13" x14ac:dyDescent="0.25">
      <c r="C19">
        <v>18</v>
      </c>
      <c r="D19">
        <f>'XL-Test'!C23</f>
        <v>8</v>
      </c>
      <c r="E19">
        <f>'XL-Test'!D23</f>
        <v>0.33</v>
      </c>
      <c r="F19">
        <f>'XL-Test'!E23</f>
        <v>0.3</v>
      </c>
      <c r="G19">
        <f>'XL-Test'!G23</f>
        <v>12</v>
      </c>
      <c r="H19">
        <f>'XL-Test'!H23</f>
        <v>71512</v>
      </c>
      <c r="I19">
        <f>'XL-Test'!I23</f>
        <v>0.94</v>
      </c>
      <c r="J19">
        <f>'XL-Test'!K23</f>
        <v>407620200</v>
      </c>
      <c r="K19">
        <f>'XL-Test'!L23</f>
        <v>70</v>
      </c>
      <c r="L19">
        <f>'XL-Test'!M23</f>
        <v>11</v>
      </c>
      <c r="M19">
        <f>'XL-Test'!N23</f>
        <v>11</v>
      </c>
    </row>
    <row r="20" spans="3:13" x14ac:dyDescent="0.25">
      <c r="C20">
        <v>19</v>
      </c>
      <c r="D20">
        <f>'XL-Test'!C24</f>
        <v>3</v>
      </c>
      <c r="E20">
        <f>'XL-Test'!D24</f>
        <v>0.34</v>
      </c>
      <c r="F20">
        <f>'XL-Test'!E24</f>
        <v>0.39</v>
      </c>
      <c r="G20">
        <f>'XL-Test'!G24</f>
        <v>10</v>
      </c>
      <c r="H20">
        <f>'XL-Test'!H24</f>
        <v>22675</v>
      </c>
      <c r="I20">
        <f>'XL-Test'!I24</f>
        <v>0.91</v>
      </c>
      <c r="J20">
        <f>'XL-Test'!K24</f>
        <v>133558540</v>
      </c>
      <c r="K20">
        <f>'XL-Test'!L24</f>
        <v>67</v>
      </c>
      <c r="L20">
        <f>'XL-Test'!M24</f>
        <v>25</v>
      </c>
      <c r="M20">
        <f>'XL-Test'!N24</f>
        <v>14</v>
      </c>
    </row>
    <row r="21" spans="3:13" x14ac:dyDescent="0.25">
      <c r="C21">
        <v>20</v>
      </c>
      <c r="D21">
        <f>'XL-Test'!C25</f>
        <v>14</v>
      </c>
      <c r="E21">
        <f>'XL-Test'!D25</f>
        <v>0.26</v>
      </c>
      <c r="F21">
        <f>'XL-Test'!E25</f>
        <v>0.31</v>
      </c>
      <c r="G21">
        <f>'XL-Test'!G25</f>
        <v>5</v>
      </c>
      <c r="H21">
        <f>'XL-Test'!H25</f>
        <v>24787</v>
      </c>
      <c r="I21">
        <f>'XL-Test'!I25</f>
        <v>0.63</v>
      </c>
      <c r="J21">
        <f>'XL-Test'!K25</f>
        <v>89482210</v>
      </c>
      <c r="K21">
        <f>'XL-Test'!L25</f>
        <v>97</v>
      </c>
      <c r="L21">
        <f>'XL-Test'!M25</f>
        <v>6</v>
      </c>
      <c r="M21">
        <f>'XL-Test'!N25</f>
        <v>7</v>
      </c>
    </row>
    <row r="23" spans="3:13" x14ac:dyDescent="0.25">
      <c r="C23" t="s">
        <v>830</v>
      </c>
      <c r="D23">
        <f>SUM(D2:D21)+D2+D4+D6+D9+D11+D14+D16+D19+D21</f>
        <v>301</v>
      </c>
      <c r="E23">
        <f t="shared" ref="E23:M23" si="0">SUM(E2:E21)+E2+E4+E6+E9+E11+E14+E16+E19+E21</f>
        <v>9.1499999999999986</v>
      </c>
      <c r="F23">
        <f t="shared" si="0"/>
        <v>8.4600000000000009</v>
      </c>
      <c r="G23">
        <f t="shared" si="0"/>
        <v>197</v>
      </c>
      <c r="H23">
        <f t="shared" si="0"/>
        <v>920415</v>
      </c>
      <c r="I23">
        <f t="shared" si="0"/>
        <v>23.359999999999992</v>
      </c>
      <c r="J23">
        <f t="shared" si="0"/>
        <v>5246244480</v>
      </c>
      <c r="K23">
        <f t="shared" si="0"/>
        <v>2128</v>
      </c>
      <c r="L23">
        <f t="shared" si="0"/>
        <v>312</v>
      </c>
      <c r="M23">
        <f t="shared" si="0"/>
        <v>304</v>
      </c>
    </row>
    <row r="24" spans="3:13" x14ac:dyDescent="0.25">
      <c r="D24">
        <v>100</v>
      </c>
      <c r="E24">
        <v>1000</v>
      </c>
      <c r="F24">
        <v>1000</v>
      </c>
      <c r="G24">
        <v>100</v>
      </c>
      <c r="H24">
        <v>1</v>
      </c>
      <c r="I24">
        <v>1000</v>
      </c>
      <c r="J24">
        <v>1</v>
      </c>
      <c r="K24">
        <v>1</v>
      </c>
      <c r="L24">
        <v>100</v>
      </c>
      <c r="M24">
        <v>100</v>
      </c>
    </row>
    <row r="25" spans="3:13" x14ac:dyDescent="0.25">
      <c r="D25">
        <f>INT(D23*D24)</f>
        <v>30100</v>
      </c>
      <c r="E25">
        <f t="shared" ref="E25:M25" si="1">INT(E23*E24)</f>
        <v>9150</v>
      </c>
      <c r="F25">
        <f t="shared" si="1"/>
        <v>8460</v>
      </c>
      <c r="G25">
        <f t="shared" si="1"/>
        <v>19700</v>
      </c>
      <c r="H25">
        <f t="shared" si="1"/>
        <v>920415</v>
      </c>
      <c r="I25">
        <f t="shared" si="1"/>
        <v>23360</v>
      </c>
      <c r="J25">
        <f t="shared" si="1"/>
        <v>5246244480</v>
      </c>
      <c r="K25">
        <f t="shared" si="1"/>
        <v>2128</v>
      </c>
      <c r="L25">
        <f t="shared" si="1"/>
        <v>31200</v>
      </c>
      <c r="M25">
        <f t="shared" si="1"/>
        <v>30400</v>
      </c>
    </row>
    <row r="26" spans="3:13" x14ac:dyDescent="0.25">
      <c r="D26" t="str">
        <f>DEC2HEX(D25)</f>
        <v>7594</v>
      </c>
      <c r="E26" t="str">
        <f t="shared" ref="E26:M26" si="2">DEC2HEX(E25)</f>
        <v>23BE</v>
      </c>
      <c r="F26" t="str">
        <f t="shared" si="2"/>
        <v>210C</v>
      </c>
      <c r="G26" t="str">
        <f t="shared" si="2"/>
        <v>4CF4</v>
      </c>
      <c r="H26" t="str">
        <f t="shared" si="2"/>
        <v>E0B5F</v>
      </c>
      <c r="I26" t="str">
        <f t="shared" si="2"/>
        <v>5B40</v>
      </c>
      <c r="J26" t="str">
        <f t="shared" si="2"/>
        <v>138B35680</v>
      </c>
      <c r="K26" t="str">
        <f t="shared" si="2"/>
        <v>850</v>
      </c>
      <c r="L26" t="str">
        <f t="shared" si="2"/>
        <v>79E0</v>
      </c>
      <c r="M26" t="str">
        <f t="shared" si="2"/>
        <v>76C0</v>
      </c>
    </row>
    <row r="28" spans="3:13" x14ac:dyDescent="0.25">
      <c r="C28" t="s">
        <v>831</v>
      </c>
      <c r="D28">
        <v>9843</v>
      </c>
      <c r="E28">
        <v>2716</v>
      </c>
      <c r="F28">
        <v>6091</v>
      </c>
      <c r="G28">
        <v>2014</v>
      </c>
      <c r="H28">
        <v>4088</v>
      </c>
      <c r="I28">
        <v>2596</v>
      </c>
      <c r="J28">
        <v>3879</v>
      </c>
      <c r="K28">
        <v>2714</v>
      </c>
      <c r="L28">
        <v>6297</v>
      </c>
      <c r="M28">
        <v>4354</v>
      </c>
    </row>
    <row r="29" spans="3:13" x14ac:dyDescent="0.25">
      <c r="D29" t="str">
        <f>DEC2HEX(D28)</f>
        <v>2673</v>
      </c>
      <c r="E29" t="str">
        <f t="shared" ref="E29:M29" si="3">DEC2HEX(E28)</f>
        <v>A9C</v>
      </c>
      <c r="F29" t="str">
        <f t="shared" si="3"/>
        <v>17CB</v>
      </c>
      <c r="G29" t="str">
        <f t="shared" si="3"/>
        <v>7DE</v>
      </c>
      <c r="H29" t="str">
        <f t="shared" si="3"/>
        <v>FF8</v>
      </c>
      <c r="I29" t="str">
        <f t="shared" si="3"/>
        <v>A24</v>
      </c>
      <c r="J29" t="str">
        <f t="shared" si="3"/>
        <v>F27</v>
      </c>
      <c r="K29" t="str">
        <f t="shared" si="3"/>
        <v>A9A</v>
      </c>
      <c r="L29" t="str">
        <f t="shared" si="3"/>
        <v>1899</v>
      </c>
      <c r="M29" t="str">
        <f t="shared" si="3"/>
        <v>1102</v>
      </c>
    </row>
    <row r="31" spans="3:13" x14ac:dyDescent="0.25">
      <c r="C31" t="b">
        <v>1</v>
      </c>
      <c r="D31" t="str">
        <f>DEC2HEX(LEFT(D28,2)+COLUMN())</f>
        <v>66</v>
      </c>
      <c r="E31" t="str">
        <f t="shared" ref="E31:M31" si="4">DEC2HEX(LEFT(E28,2)+COLUMN())</f>
        <v>20</v>
      </c>
      <c r="F31" t="str">
        <f t="shared" si="4"/>
        <v>42</v>
      </c>
      <c r="G31" t="str">
        <f t="shared" si="4"/>
        <v>1B</v>
      </c>
      <c r="H31" t="str">
        <f t="shared" si="4"/>
        <v>30</v>
      </c>
      <c r="I31" t="str">
        <f t="shared" si="4"/>
        <v>22</v>
      </c>
      <c r="J31" t="str">
        <f t="shared" si="4"/>
        <v>30</v>
      </c>
      <c r="K31" t="str">
        <f t="shared" si="4"/>
        <v>26</v>
      </c>
      <c r="L31" t="str">
        <f t="shared" si="4"/>
        <v>4A</v>
      </c>
      <c r="M31" t="str">
        <f t="shared" si="4"/>
        <v>38</v>
      </c>
    </row>
    <row r="32" spans="3:13" x14ac:dyDescent="0.25">
      <c r="C32" t="b">
        <v>0</v>
      </c>
      <c r="D32" t="str">
        <f>DEC2HEX(RIGHT(D28,2)+COLUMN())</f>
        <v>2F</v>
      </c>
      <c r="E32" t="str">
        <f t="shared" ref="E32:M32" si="5">DEC2HEX(RIGHT(E28,2)+COLUMN())</f>
        <v>15</v>
      </c>
      <c r="F32" t="str">
        <f t="shared" si="5"/>
        <v>61</v>
      </c>
      <c r="G32" t="str">
        <f t="shared" si="5"/>
        <v>15</v>
      </c>
      <c r="H32" t="str">
        <f t="shared" si="5"/>
        <v>60</v>
      </c>
      <c r="I32" t="str">
        <f t="shared" si="5"/>
        <v>69</v>
      </c>
      <c r="J32" t="str">
        <f t="shared" si="5"/>
        <v>59</v>
      </c>
      <c r="K32" t="str">
        <f t="shared" si="5"/>
        <v>19</v>
      </c>
      <c r="L32" t="str">
        <f t="shared" si="5"/>
        <v>6D</v>
      </c>
      <c r="M32" t="str">
        <f t="shared" si="5"/>
        <v>43</v>
      </c>
    </row>
    <row r="34" spans="2:13" x14ac:dyDescent="0.25">
      <c r="B34" t="s">
        <v>832</v>
      </c>
      <c r="C34" t="s">
        <v>833</v>
      </c>
      <c r="D34" t="b">
        <f ca="1">AND(ISNUMBER(FIND("=",S2)),ISNUMBER(FIND("(",S2)))</f>
        <v>1</v>
      </c>
      <c r="E34" t="b">
        <f t="shared" ref="E34:M34" ca="1" si="6">AND(ISNUMBER(FIND("=",T2)),ISNUMBER(FIND("(",T2)))</f>
        <v>1</v>
      </c>
      <c r="F34" t="b">
        <f t="shared" ca="1" si="6"/>
        <v>1</v>
      </c>
      <c r="G34" t="b">
        <f t="shared" ca="1" si="6"/>
        <v>1</v>
      </c>
      <c r="H34" t="b">
        <f t="shared" ca="1" si="6"/>
        <v>1</v>
      </c>
      <c r="I34" t="b">
        <f t="shared" ca="1" si="6"/>
        <v>1</v>
      </c>
      <c r="J34" t="b">
        <f t="shared" ca="1" si="6"/>
        <v>1</v>
      </c>
      <c r="K34" t="b">
        <f t="shared" ca="1" si="6"/>
        <v>1</v>
      </c>
      <c r="L34" t="b">
        <f t="shared" ca="1" si="6"/>
        <v>1</v>
      </c>
      <c r="M34" t="b">
        <f t="shared" ca="1" si="6"/>
        <v>1</v>
      </c>
    </row>
    <row r="35" spans="2:13" x14ac:dyDescent="0.25">
      <c r="C35" t="s">
        <v>834</v>
      </c>
      <c r="D35" t="b">
        <f ca="1">D74</f>
        <v>1</v>
      </c>
      <c r="E35" t="b">
        <f t="shared" ref="E35:M35" ca="1" si="7">E74</f>
        <v>1</v>
      </c>
      <c r="F35" t="b">
        <f t="shared" ca="1" si="7"/>
        <v>1</v>
      </c>
      <c r="G35" t="b">
        <f t="shared" ca="1" si="7"/>
        <v>1</v>
      </c>
      <c r="H35" t="b">
        <f t="shared" ca="1" si="7"/>
        <v>1</v>
      </c>
      <c r="I35" t="b">
        <f ca="1">I74</f>
        <v>1</v>
      </c>
      <c r="J35" t="b">
        <f t="shared" ca="1" si="7"/>
        <v>1</v>
      </c>
      <c r="K35" t="b">
        <f t="shared" ca="1" si="7"/>
        <v>1</v>
      </c>
      <c r="L35" t="b">
        <f t="shared" ca="1" si="7"/>
        <v>1</v>
      </c>
      <c r="M35" t="b">
        <f t="shared" ca="1" si="7"/>
        <v>1</v>
      </c>
    </row>
    <row r="36" spans="2:13" x14ac:dyDescent="0.25">
      <c r="C36" t="s">
        <v>843</v>
      </c>
      <c r="D36" t="b">
        <f>NOT(OR(D2=0,D2=""))</f>
        <v>1</v>
      </c>
      <c r="E36" t="b">
        <f t="shared" ref="E36:M36" si="8">NOT(OR(E2=0,E2=""))</f>
        <v>1</v>
      </c>
      <c r="F36" t="b">
        <f t="shared" si="8"/>
        <v>1</v>
      </c>
      <c r="G36" t="b">
        <f t="shared" si="8"/>
        <v>1</v>
      </c>
      <c r="H36" t="b">
        <f t="shared" si="8"/>
        <v>1</v>
      </c>
      <c r="I36" t="b">
        <f t="shared" si="8"/>
        <v>1</v>
      </c>
      <c r="J36" t="b">
        <f t="shared" si="8"/>
        <v>1</v>
      </c>
      <c r="K36" t="b">
        <f t="shared" si="8"/>
        <v>1</v>
      </c>
      <c r="L36" t="b">
        <f t="shared" si="8"/>
        <v>1</v>
      </c>
      <c r="M36" t="b">
        <f t="shared" si="8"/>
        <v>1</v>
      </c>
    </row>
    <row r="37" spans="2:13" x14ac:dyDescent="0.25">
      <c r="B37" t="s">
        <v>841</v>
      </c>
      <c r="D37" t="b">
        <f ca="1">AND(D34,D35,D36)</f>
        <v>1</v>
      </c>
      <c r="E37" t="b">
        <f t="shared" ref="E37:M37" ca="1" si="9">AND(E34,E35,E36)</f>
        <v>1</v>
      </c>
      <c r="F37" t="b">
        <f t="shared" ca="1" si="9"/>
        <v>1</v>
      </c>
      <c r="G37" t="b">
        <f t="shared" ca="1" si="9"/>
        <v>1</v>
      </c>
      <c r="H37" t="b">
        <f t="shared" ca="1" si="9"/>
        <v>1</v>
      </c>
      <c r="I37" t="b">
        <f t="shared" ca="1" si="9"/>
        <v>1</v>
      </c>
      <c r="J37" t="b">
        <f t="shared" ca="1" si="9"/>
        <v>1</v>
      </c>
      <c r="K37" t="b">
        <f t="shared" ca="1" si="9"/>
        <v>1</v>
      </c>
      <c r="L37" t="b">
        <f t="shared" ca="1" si="9"/>
        <v>1</v>
      </c>
      <c r="M37" t="b">
        <f t="shared" ca="1" si="9"/>
        <v>1</v>
      </c>
    </row>
    <row r="39" spans="2:13" x14ac:dyDescent="0.25">
      <c r="B39" t="s">
        <v>835</v>
      </c>
      <c r="C39" t="s">
        <v>836</v>
      </c>
      <c r="D39" t="b">
        <f ca="1">ISNUMBER(FIND("ATCH",S2))</f>
        <v>1</v>
      </c>
      <c r="E39" t="b">
        <f ca="1">AND(ISNUMBER(FIND("OUN",T2)),OR(ISNUMBER(FIND("SUM",T2)),ISNUMBER(FIND("LOOK",T2))))</f>
        <v>1</v>
      </c>
      <c r="F39" t="b">
        <f ca="1">AND(ISNUMBER(FIND("OUN",U2)),OR(ISNUMBER(FIND("SUM",U2)),ISNUMBER(FIND("LOOK",U2))))</f>
        <v>1</v>
      </c>
      <c r="G39" t="b">
        <f ca="1">AND(ISNUMBER(FIND("SUM",V2)),OR(ISNUMBER(FIND("LOOK",V2)),ISNUMBER(FIND("WITC",V2))))</f>
        <v>1</v>
      </c>
      <c r="H39" t="b">
        <f ca="1">AND(ISNUMBER(FIND("OUN",W2)),ISNUMBER(FIND("AGEI",W2)))</f>
        <v>1</v>
      </c>
      <c r="I39" t="b">
        <f ca="1">AND(ISNUMBER(FIND("OUN",X2)),ISNUMBER(FIND("LOOK",X2)))</f>
        <v>1</v>
      </c>
      <c r="J39" t="b">
        <f ca="1">AND(ISNUMBER(FIND("UMI",Y2)))</f>
        <v>1</v>
      </c>
      <c r="K39" t="b">
        <f ca="1">AND(ISNUMBER(FIND("UMI",Z2)))</f>
        <v>1</v>
      </c>
      <c r="L39" t="b">
        <f ca="1">OR(ISNUMBER(FIND("AXI",AA2)),AND(ISNUMBER(FIND("MAX",AA2)),ISNUMBER(FIND("IF",AA2))))</f>
        <v>1</v>
      </c>
      <c r="M39" t="b">
        <f ca="1">AND(ISNUMBER(FIND("OUNTI",AB2)))</f>
        <v>1</v>
      </c>
    </row>
    <row r="40" spans="2:13" x14ac:dyDescent="0.25">
      <c r="C40" t="s">
        <v>837</v>
      </c>
      <c r="D40">
        <f ca="1">IFERROR(LEN(S2)-LEN(SUBSTITUTE(S2,"(","")),99)</f>
        <v>1</v>
      </c>
      <c r="E40">
        <f t="shared" ref="E40:M40" ca="1" si="10">IFERROR(LEN(T2)-LEN(SUBSTITUTE(T2,"(","")),99)</f>
        <v>3</v>
      </c>
      <c r="F40">
        <f t="shared" ca="1" si="10"/>
        <v>5</v>
      </c>
      <c r="G40">
        <f t="shared" ca="1" si="10"/>
        <v>3</v>
      </c>
      <c r="H40">
        <f t="shared" ca="1" si="10"/>
        <v>2</v>
      </c>
      <c r="I40">
        <f t="shared" ca="1" si="10"/>
        <v>2</v>
      </c>
      <c r="J40">
        <f t="shared" ca="1" si="10"/>
        <v>1</v>
      </c>
      <c r="K40">
        <f t="shared" ca="1" si="10"/>
        <v>1</v>
      </c>
      <c r="L40">
        <f t="shared" ca="1" si="10"/>
        <v>1</v>
      </c>
      <c r="M40">
        <f t="shared" ca="1" si="10"/>
        <v>1</v>
      </c>
    </row>
    <row r="41" spans="2:13" x14ac:dyDescent="0.25">
      <c r="D41">
        <v>1</v>
      </c>
      <c r="E41">
        <v>3</v>
      </c>
      <c r="F41">
        <v>5</v>
      </c>
      <c r="G41">
        <v>3</v>
      </c>
      <c r="H41">
        <v>2</v>
      </c>
      <c r="I41">
        <v>2</v>
      </c>
      <c r="J41">
        <v>1</v>
      </c>
      <c r="K41">
        <v>1</v>
      </c>
      <c r="L41">
        <v>1</v>
      </c>
      <c r="M41">
        <v>1</v>
      </c>
    </row>
    <row r="42" spans="2:13" x14ac:dyDescent="0.25">
      <c r="D42" t="b">
        <f ca="1">D40&lt;=D41</f>
        <v>1</v>
      </c>
      <c r="E42" t="b">
        <f t="shared" ref="E42:M42" ca="1" si="11">E40&lt;=E41</f>
        <v>1</v>
      </c>
      <c r="F42" t="b">
        <f t="shared" ca="1" si="11"/>
        <v>1</v>
      </c>
      <c r="G42" t="b">
        <f t="shared" ca="1" si="11"/>
        <v>1</v>
      </c>
      <c r="H42" t="b">
        <f t="shared" ca="1" si="11"/>
        <v>1</v>
      </c>
      <c r="I42" t="b">
        <f t="shared" ca="1" si="11"/>
        <v>1</v>
      </c>
      <c r="J42" t="b">
        <f t="shared" ca="1" si="11"/>
        <v>1</v>
      </c>
      <c r="K42" t="b">
        <f t="shared" ca="1" si="11"/>
        <v>1</v>
      </c>
      <c r="L42" t="b">
        <f t="shared" ca="1" si="11"/>
        <v>1</v>
      </c>
      <c r="M42" t="b">
        <f t="shared" ca="1" si="11"/>
        <v>1</v>
      </c>
    </row>
    <row r="43" spans="2:13" x14ac:dyDescent="0.25">
      <c r="B43" t="s">
        <v>841</v>
      </c>
      <c r="D43" t="b">
        <f ca="1">AND(D42,D39)</f>
        <v>1</v>
      </c>
      <c r="E43" t="b">
        <f t="shared" ref="E43:M43" ca="1" si="12">AND(E42,E39)</f>
        <v>1</v>
      </c>
      <c r="F43" t="b">
        <f t="shared" ca="1" si="12"/>
        <v>1</v>
      </c>
      <c r="G43" t="b">
        <f t="shared" ca="1" si="12"/>
        <v>1</v>
      </c>
      <c r="H43" t="b">
        <f t="shared" ca="1" si="12"/>
        <v>1</v>
      </c>
      <c r="I43" t="b">
        <f t="shared" ca="1" si="12"/>
        <v>1</v>
      </c>
      <c r="J43" t="b">
        <f t="shared" ca="1" si="12"/>
        <v>1</v>
      </c>
      <c r="K43" t="b">
        <f t="shared" ca="1" si="12"/>
        <v>1</v>
      </c>
      <c r="L43" t="b">
        <f t="shared" ca="1" si="12"/>
        <v>1</v>
      </c>
      <c r="M43" t="b">
        <f t="shared" ca="1" si="12"/>
        <v>1</v>
      </c>
    </row>
    <row r="45" spans="2:13" x14ac:dyDescent="0.25">
      <c r="B45">
        <v>1</v>
      </c>
      <c r="C45">
        <v>6</v>
      </c>
      <c r="D45">
        <f ca="1">IFERROR(LEN(_xlfn.FORMULATEXT('XL-Test'!C6)),0)</f>
        <v>26</v>
      </c>
      <c r="E45">
        <f ca="1">IFERROR(LEN(_xlfn.FORMULATEXT('XL-Test'!D6)),0)</f>
        <v>107</v>
      </c>
      <c r="F45">
        <f ca="1">IFERROR(LEN(_xlfn.FORMULATEXT('XL-Test'!E6)),0)</f>
        <v>158</v>
      </c>
      <c r="G45">
        <f ca="1">IFERROR(LEN(_xlfn.FORMULATEXT('XL-Test'!G6)),0)</f>
        <v>56</v>
      </c>
      <c r="H45">
        <f ca="1">IFERROR(LEN(_xlfn.FORMULATEXT('XL-Test'!H6)),0)</f>
        <v>64</v>
      </c>
      <c r="I45">
        <f ca="1">IFERROR(LEN(_xlfn.FORMULATEXT('XL-Test'!I6)),0)</f>
        <v>54</v>
      </c>
      <c r="J45">
        <f ca="1">IFERROR(LEN(_xlfn.FORMULATEXT('XL-Test'!K6)),0)</f>
        <v>54</v>
      </c>
      <c r="K45">
        <f ca="1">IFERROR(LEN(_xlfn.FORMULATEXT('XL-Test'!L6)),0)</f>
        <v>51</v>
      </c>
      <c r="L45">
        <f ca="1">IFERROR(LEN(_xlfn.FORMULATEXT('XL-Test'!M6)),0)</f>
        <v>51</v>
      </c>
      <c r="M45">
        <f ca="1">IFERROR(LEN(_xlfn.FORMULATEXT('XL-Test'!N6)),0)</f>
        <v>59</v>
      </c>
    </row>
    <row r="46" spans="2:13" x14ac:dyDescent="0.25">
      <c r="B46">
        <v>2</v>
      </c>
      <c r="C46">
        <v>7</v>
      </c>
      <c r="D46">
        <f ca="1">IFERROR(LEN(_xlfn.FORMULATEXT('XL-Test'!C7)),0)</f>
        <v>26</v>
      </c>
      <c r="E46">
        <f ca="1">IFERROR(LEN(_xlfn.FORMULATEXT('XL-Test'!D7)),0)</f>
        <v>107</v>
      </c>
      <c r="F46">
        <f ca="1">IFERROR(LEN(_xlfn.FORMULATEXT('XL-Test'!E7)),0)</f>
        <v>158</v>
      </c>
      <c r="G46">
        <f ca="1">IFERROR(LEN(_xlfn.FORMULATEXT('XL-Test'!G7)),0)</f>
        <v>56</v>
      </c>
      <c r="H46">
        <f ca="1">IFERROR(LEN(_xlfn.FORMULATEXT('XL-Test'!H7)),0)</f>
        <v>64</v>
      </c>
      <c r="I46">
        <f ca="1">IFERROR(LEN(_xlfn.FORMULATEXT('XL-Test'!I7)),0)</f>
        <v>54</v>
      </c>
      <c r="J46">
        <f ca="1">IFERROR(LEN(_xlfn.FORMULATEXT('XL-Test'!K7)),0)</f>
        <v>54</v>
      </c>
      <c r="K46">
        <f ca="1">IFERROR(LEN(_xlfn.FORMULATEXT('XL-Test'!L7)),0)</f>
        <v>51</v>
      </c>
      <c r="L46">
        <f ca="1">IFERROR(LEN(_xlfn.FORMULATEXT('XL-Test'!M7)),0)</f>
        <v>51</v>
      </c>
      <c r="M46">
        <f ca="1">IFERROR(LEN(_xlfn.FORMULATEXT('XL-Test'!N7)),0)</f>
        <v>59</v>
      </c>
    </row>
    <row r="47" spans="2:13" x14ac:dyDescent="0.25">
      <c r="B47">
        <v>3</v>
      </c>
      <c r="C47">
        <v>8</v>
      </c>
      <c r="D47">
        <f ca="1">IFERROR(LEN(_xlfn.FORMULATEXT('XL-Test'!C8)),0)</f>
        <v>26</v>
      </c>
      <c r="E47">
        <f ca="1">IFERROR(LEN(_xlfn.FORMULATEXT('XL-Test'!D8)),0)</f>
        <v>107</v>
      </c>
      <c r="F47">
        <f ca="1">IFERROR(LEN(_xlfn.FORMULATEXT('XL-Test'!E8)),0)</f>
        <v>158</v>
      </c>
      <c r="G47">
        <f ca="1">IFERROR(LEN(_xlfn.FORMULATEXT('XL-Test'!G8)),0)</f>
        <v>56</v>
      </c>
      <c r="H47">
        <f ca="1">IFERROR(LEN(_xlfn.FORMULATEXT('XL-Test'!H8)),0)</f>
        <v>64</v>
      </c>
      <c r="I47">
        <f ca="1">IFERROR(LEN(_xlfn.FORMULATEXT('XL-Test'!I8)),0)</f>
        <v>54</v>
      </c>
      <c r="J47">
        <f ca="1">IFERROR(LEN(_xlfn.FORMULATEXT('XL-Test'!K8)),0)</f>
        <v>54</v>
      </c>
      <c r="K47">
        <f ca="1">IFERROR(LEN(_xlfn.FORMULATEXT('XL-Test'!L8)),0)</f>
        <v>51</v>
      </c>
      <c r="L47">
        <f ca="1">IFERROR(LEN(_xlfn.FORMULATEXT('XL-Test'!M8)),0)</f>
        <v>51</v>
      </c>
      <c r="M47">
        <f ca="1">IFERROR(LEN(_xlfn.FORMULATEXT('XL-Test'!N8)),0)</f>
        <v>59</v>
      </c>
    </row>
    <row r="48" spans="2:13" x14ac:dyDescent="0.25">
      <c r="B48">
        <v>4</v>
      </c>
      <c r="C48">
        <v>9</v>
      </c>
      <c r="D48">
        <f ca="1">IFERROR(LEN(_xlfn.FORMULATEXT('XL-Test'!C9)),0)</f>
        <v>26</v>
      </c>
      <c r="E48">
        <f ca="1">IFERROR(LEN(_xlfn.FORMULATEXT('XL-Test'!D9)),0)</f>
        <v>107</v>
      </c>
      <c r="F48">
        <f ca="1">IFERROR(LEN(_xlfn.FORMULATEXT('XL-Test'!E9)),0)</f>
        <v>158</v>
      </c>
      <c r="G48">
        <f ca="1">IFERROR(LEN(_xlfn.FORMULATEXT('XL-Test'!G9)),0)</f>
        <v>56</v>
      </c>
      <c r="H48">
        <f ca="1">IFERROR(LEN(_xlfn.FORMULATEXT('XL-Test'!H9)),0)</f>
        <v>64</v>
      </c>
      <c r="I48">
        <f ca="1">IFERROR(LEN(_xlfn.FORMULATEXT('XL-Test'!I9)),0)</f>
        <v>54</v>
      </c>
      <c r="J48">
        <f ca="1">IFERROR(LEN(_xlfn.FORMULATEXT('XL-Test'!K9)),0)</f>
        <v>54</v>
      </c>
      <c r="K48">
        <f ca="1">IFERROR(LEN(_xlfn.FORMULATEXT('XL-Test'!L9)),0)</f>
        <v>51</v>
      </c>
      <c r="L48">
        <f ca="1">IFERROR(LEN(_xlfn.FORMULATEXT('XL-Test'!M9)),0)</f>
        <v>51</v>
      </c>
      <c r="M48">
        <f ca="1">IFERROR(LEN(_xlfn.FORMULATEXT('XL-Test'!N9)),0)</f>
        <v>59</v>
      </c>
    </row>
    <row r="49" spans="2:13" x14ac:dyDescent="0.25">
      <c r="B49">
        <v>5</v>
      </c>
      <c r="C49">
        <v>10</v>
      </c>
      <c r="D49">
        <f ca="1">IFERROR(LEN(_xlfn.FORMULATEXT('XL-Test'!C10)),0)</f>
        <v>27</v>
      </c>
      <c r="E49">
        <f ca="1">IFERROR(LEN(_xlfn.FORMULATEXT('XL-Test'!D10)),0)</f>
        <v>109</v>
      </c>
      <c r="F49">
        <f ca="1">IFERROR(LEN(_xlfn.FORMULATEXT('XL-Test'!E10)),0)</f>
        <v>161</v>
      </c>
      <c r="G49">
        <f ca="1">IFERROR(LEN(_xlfn.FORMULATEXT('XL-Test'!G10)),0)</f>
        <v>57</v>
      </c>
      <c r="H49">
        <f ca="1">IFERROR(LEN(_xlfn.FORMULATEXT('XL-Test'!H10)),0)</f>
        <v>65</v>
      </c>
      <c r="I49">
        <f ca="1">IFERROR(LEN(_xlfn.FORMULATEXT('XL-Test'!I10)),0)</f>
        <v>56</v>
      </c>
      <c r="J49">
        <f ca="1">IFERROR(LEN(_xlfn.FORMULATEXT('XL-Test'!K10)),0)</f>
        <v>56</v>
      </c>
      <c r="K49">
        <f ca="1">IFERROR(LEN(_xlfn.FORMULATEXT('XL-Test'!L10)),0)</f>
        <v>52</v>
      </c>
      <c r="L49">
        <f ca="1">IFERROR(LEN(_xlfn.FORMULATEXT('XL-Test'!M10)),0)</f>
        <v>52</v>
      </c>
      <c r="M49">
        <f ca="1">IFERROR(LEN(_xlfn.FORMULATEXT('XL-Test'!N10)),0)</f>
        <v>60</v>
      </c>
    </row>
    <row r="50" spans="2:13" x14ac:dyDescent="0.25">
      <c r="B50">
        <v>6</v>
      </c>
      <c r="C50">
        <v>11</v>
      </c>
      <c r="D50">
        <f ca="1">IFERROR(LEN(_xlfn.FORMULATEXT('XL-Test'!C11)),0)</f>
        <v>27</v>
      </c>
      <c r="E50">
        <f ca="1">IFERROR(LEN(_xlfn.FORMULATEXT('XL-Test'!D11)),0)</f>
        <v>109</v>
      </c>
      <c r="F50">
        <f ca="1">IFERROR(LEN(_xlfn.FORMULATEXT('XL-Test'!E11)),0)</f>
        <v>161</v>
      </c>
      <c r="G50">
        <f ca="1">IFERROR(LEN(_xlfn.FORMULATEXT('XL-Test'!G11)),0)</f>
        <v>57</v>
      </c>
      <c r="H50">
        <f ca="1">IFERROR(LEN(_xlfn.FORMULATEXT('XL-Test'!H11)),0)</f>
        <v>65</v>
      </c>
      <c r="I50">
        <f ca="1">IFERROR(LEN(_xlfn.FORMULATEXT('XL-Test'!I11)),0)</f>
        <v>56</v>
      </c>
      <c r="J50">
        <f ca="1">IFERROR(LEN(_xlfn.FORMULATEXT('XL-Test'!K11)),0)</f>
        <v>56</v>
      </c>
      <c r="K50">
        <f ca="1">IFERROR(LEN(_xlfn.FORMULATEXT('XL-Test'!L11)),0)</f>
        <v>52</v>
      </c>
      <c r="L50">
        <f ca="1">IFERROR(LEN(_xlfn.FORMULATEXT('XL-Test'!M11)),0)</f>
        <v>52</v>
      </c>
      <c r="M50">
        <f ca="1">IFERROR(LEN(_xlfn.FORMULATEXT('XL-Test'!N11)),0)</f>
        <v>60</v>
      </c>
    </row>
    <row r="51" spans="2:13" x14ac:dyDescent="0.25">
      <c r="B51">
        <v>7</v>
      </c>
      <c r="C51">
        <v>12</v>
      </c>
      <c r="D51">
        <f ca="1">IFERROR(LEN(_xlfn.FORMULATEXT('XL-Test'!C12)),0)</f>
        <v>27</v>
      </c>
      <c r="E51">
        <f ca="1">IFERROR(LEN(_xlfn.FORMULATEXT('XL-Test'!D12)),0)</f>
        <v>109</v>
      </c>
      <c r="F51">
        <f ca="1">IFERROR(LEN(_xlfn.FORMULATEXT('XL-Test'!E12)),0)</f>
        <v>161</v>
      </c>
      <c r="G51">
        <f ca="1">IFERROR(LEN(_xlfn.FORMULATEXT('XL-Test'!G12)),0)</f>
        <v>57</v>
      </c>
      <c r="H51">
        <f ca="1">IFERROR(LEN(_xlfn.FORMULATEXT('XL-Test'!H12)),0)</f>
        <v>65</v>
      </c>
      <c r="I51">
        <f ca="1">IFERROR(LEN(_xlfn.FORMULATEXT('XL-Test'!I12)),0)</f>
        <v>56</v>
      </c>
      <c r="J51">
        <f ca="1">IFERROR(LEN(_xlfn.FORMULATEXT('XL-Test'!K12)),0)</f>
        <v>56</v>
      </c>
      <c r="K51">
        <f ca="1">IFERROR(LEN(_xlfn.FORMULATEXT('XL-Test'!L12)),0)</f>
        <v>52</v>
      </c>
      <c r="L51">
        <f ca="1">IFERROR(LEN(_xlfn.FORMULATEXT('XL-Test'!M12)),0)</f>
        <v>52</v>
      </c>
      <c r="M51">
        <f ca="1">IFERROR(LEN(_xlfn.FORMULATEXT('XL-Test'!N12)),0)</f>
        <v>60</v>
      </c>
    </row>
    <row r="52" spans="2:13" x14ac:dyDescent="0.25">
      <c r="B52">
        <v>8</v>
      </c>
      <c r="C52">
        <v>13</v>
      </c>
      <c r="D52">
        <f ca="1">IFERROR(LEN(_xlfn.FORMULATEXT('XL-Test'!C13)),0)</f>
        <v>27</v>
      </c>
      <c r="E52">
        <f ca="1">IFERROR(LEN(_xlfn.FORMULATEXT('XL-Test'!D13)),0)</f>
        <v>109</v>
      </c>
      <c r="F52">
        <f ca="1">IFERROR(LEN(_xlfn.FORMULATEXT('XL-Test'!E13)),0)</f>
        <v>161</v>
      </c>
      <c r="G52">
        <f ca="1">IFERROR(LEN(_xlfn.FORMULATEXT('XL-Test'!G13)),0)</f>
        <v>57</v>
      </c>
      <c r="H52">
        <f ca="1">IFERROR(LEN(_xlfn.FORMULATEXT('XL-Test'!H13)),0)</f>
        <v>65</v>
      </c>
      <c r="I52">
        <f ca="1">IFERROR(LEN(_xlfn.FORMULATEXT('XL-Test'!I13)),0)</f>
        <v>56</v>
      </c>
      <c r="J52">
        <f ca="1">IFERROR(LEN(_xlfn.FORMULATEXT('XL-Test'!K13)),0)</f>
        <v>56</v>
      </c>
      <c r="K52">
        <f ca="1">IFERROR(LEN(_xlfn.FORMULATEXT('XL-Test'!L13)),0)</f>
        <v>52</v>
      </c>
      <c r="L52">
        <f ca="1">IFERROR(LEN(_xlfn.FORMULATEXT('XL-Test'!M13)),0)</f>
        <v>52</v>
      </c>
      <c r="M52">
        <f ca="1">IFERROR(LEN(_xlfn.FORMULATEXT('XL-Test'!N13)),0)</f>
        <v>60</v>
      </c>
    </row>
    <row r="53" spans="2:13" x14ac:dyDescent="0.25">
      <c r="B53">
        <v>9</v>
      </c>
      <c r="C53">
        <v>14</v>
      </c>
      <c r="D53">
        <f ca="1">IFERROR(LEN(_xlfn.FORMULATEXT('XL-Test'!C14)),0)</f>
        <v>27</v>
      </c>
      <c r="E53">
        <f ca="1">IFERROR(LEN(_xlfn.FORMULATEXT('XL-Test'!D14)),0)</f>
        <v>109</v>
      </c>
      <c r="F53">
        <f ca="1">IFERROR(LEN(_xlfn.FORMULATEXT('XL-Test'!E14)),0)</f>
        <v>161</v>
      </c>
      <c r="G53">
        <f ca="1">IFERROR(LEN(_xlfn.FORMULATEXT('XL-Test'!G14)),0)</f>
        <v>57</v>
      </c>
      <c r="H53">
        <f ca="1">IFERROR(LEN(_xlfn.FORMULATEXT('XL-Test'!H14)),0)</f>
        <v>65</v>
      </c>
      <c r="I53">
        <f ca="1">IFERROR(LEN(_xlfn.FORMULATEXT('XL-Test'!I14)),0)</f>
        <v>56</v>
      </c>
      <c r="J53">
        <f ca="1">IFERROR(LEN(_xlfn.FORMULATEXT('XL-Test'!K14)),0)</f>
        <v>56</v>
      </c>
      <c r="K53">
        <f ca="1">IFERROR(LEN(_xlfn.FORMULATEXT('XL-Test'!L14)),0)</f>
        <v>52</v>
      </c>
      <c r="L53">
        <f ca="1">IFERROR(LEN(_xlfn.FORMULATEXT('XL-Test'!M14)),0)</f>
        <v>52</v>
      </c>
      <c r="M53">
        <f ca="1">IFERROR(LEN(_xlfn.FORMULATEXT('XL-Test'!N14)),0)</f>
        <v>60</v>
      </c>
    </row>
    <row r="54" spans="2:13" x14ac:dyDescent="0.25">
      <c r="B54">
        <v>10</v>
      </c>
      <c r="C54">
        <v>15</v>
      </c>
      <c r="D54">
        <f ca="1">IFERROR(LEN(_xlfn.FORMULATEXT('XL-Test'!C15)),0)</f>
        <v>27</v>
      </c>
      <c r="E54">
        <f ca="1">IFERROR(LEN(_xlfn.FORMULATEXT('XL-Test'!D15)),0)</f>
        <v>109</v>
      </c>
      <c r="F54">
        <f ca="1">IFERROR(LEN(_xlfn.FORMULATEXT('XL-Test'!E15)),0)</f>
        <v>161</v>
      </c>
      <c r="G54">
        <f ca="1">IFERROR(LEN(_xlfn.FORMULATEXT('XL-Test'!G15)),0)</f>
        <v>57</v>
      </c>
      <c r="H54">
        <f ca="1">IFERROR(LEN(_xlfn.FORMULATEXT('XL-Test'!H15)),0)</f>
        <v>65</v>
      </c>
      <c r="I54">
        <f ca="1">IFERROR(LEN(_xlfn.FORMULATEXT('XL-Test'!I15)),0)</f>
        <v>56</v>
      </c>
      <c r="J54">
        <f ca="1">IFERROR(LEN(_xlfn.FORMULATEXT('XL-Test'!K15)),0)</f>
        <v>56</v>
      </c>
      <c r="K54">
        <f ca="1">IFERROR(LEN(_xlfn.FORMULATEXT('XL-Test'!L15)),0)</f>
        <v>52</v>
      </c>
      <c r="L54">
        <f ca="1">IFERROR(LEN(_xlfn.FORMULATEXT('XL-Test'!M15)),0)</f>
        <v>52</v>
      </c>
      <c r="M54">
        <f ca="1">IFERROR(LEN(_xlfn.FORMULATEXT('XL-Test'!N15)),0)</f>
        <v>60</v>
      </c>
    </row>
    <row r="55" spans="2:13" x14ac:dyDescent="0.25">
      <c r="B55">
        <v>11</v>
      </c>
      <c r="C55">
        <v>16</v>
      </c>
      <c r="D55">
        <f ca="1">IFERROR(LEN(_xlfn.FORMULATEXT('XL-Test'!C16)),0)</f>
        <v>27</v>
      </c>
      <c r="E55">
        <f ca="1">IFERROR(LEN(_xlfn.FORMULATEXT('XL-Test'!D16)),0)</f>
        <v>109</v>
      </c>
      <c r="F55">
        <f ca="1">IFERROR(LEN(_xlfn.FORMULATEXT('XL-Test'!E16)),0)</f>
        <v>161</v>
      </c>
      <c r="G55">
        <f ca="1">IFERROR(LEN(_xlfn.FORMULATEXT('XL-Test'!G16)),0)</f>
        <v>57</v>
      </c>
      <c r="H55">
        <f ca="1">IFERROR(LEN(_xlfn.FORMULATEXT('XL-Test'!H16)),0)</f>
        <v>65</v>
      </c>
      <c r="I55">
        <f ca="1">IFERROR(LEN(_xlfn.FORMULATEXT('XL-Test'!I16)),0)</f>
        <v>56</v>
      </c>
      <c r="J55">
        <f ca="1">IFERROR(LEN(_xlfn.FORMULATEXT('XL-Test'!K16)),0)</f>
        <v>56</v>
      </c>
      <c r="K55">
        <f ca="1">IFERROR(LEN(_xlfn.FORMULATEXT('XL-Test'!L16)),0)</f>
        <v>52</v>
      </c>
      <c r="L55">
        <f ca="1">IFERROR(LEN(_xlfn.FORMULATEXT('XL-Test'!M16)),0)</f>
        <v>52</v>
      </c>
      <c r="M55">
        <f ca="1">IFERROR(LEN(_xlfn.FORMULATEXT('XL-Test'!N16)),0)</f>
        <v>60</v>
      </c>
    </row>
    <row r="56" spans="2:13" x14ac:dyDescent="0.25">
      <c r="B56">
        <v>12</v>
      </c>
      <c r="C56">
        <v>17</v>
      </c>
      <c r="D56">
        <f ca="1">IFERROR(LEN(_xlfn.FORMULATEXT('XL-Test'!C17)),0)</f>
        <v>27</v>
      </c>
      <c r="E56">
        <f ca="1">IFERROR(LEN(_xlfn.FORMULATEXT('XL-Test'!D17)),0)</f>
        <v>109</v>
      </c>
      <c r="F56">
        <f ca="1">IFERROR(LEN(_xlfn.FORMULATEXT('XL-Test'!E17)),0)</f>
        <v>161</v>
      </c>
      <c r="G56">
        <f ca="1">IFERROR(LEN(_xlfn.FORMULATEXT('XL-Test'!G17)),0)</f>
        <v>57</v>
      </c>
      <c r="H56">
        <f ca="1">IFERROR(LEN(_xlfn.FORMULATEXT('XL-Test'!H17)),0)</f>
        <v>65</v>
      </c>
      <c r="I56">
        <f ca="1">IFERROR(LEN(_xlfn.FORMULATEXT('XL-Test'!I17)),0)</f>
        <v>56</v>
      </c>
      <c r="J56">
        <f ca="1">IFERROR(LEN(_xlfn.FORMULATEXT('XL-Test'!K17)),0)</f>
        <v>56</v>
      </c>
      <c r="K56">
        <f ca="1">IFERROR(LEN(_xlfn.FORMULATEXT('XL-Test'!L17)),0)</f>
        <v>52</v>
      </c>
      <c r="L56">
        <f ca="1">IFERROR(LEN(_xlfn.FORMULATEXT('XL-Test'!M17)),0)</f>
        <v>52</v>
      </c>
      <c r="M56">
        <f ca="1">IFERROR(LEN(_xlfn.FORMULATEXT('XL-Test'!N17)),0)</f>
        <v>60</v>
      </c>
    </row>
    <row r="57" spans="2:13" x14ac:dyDescent="0.25">
      <c r="B57">
        <v>13</v>
      </c>
      <c r="C57">
        <v>18</v>
      </c>
      <c r="D57">
        <f ca="1">IFERROR(LEN(_xlfn.FORMULATEXT('XL-Test'!C18)),0)</f>
        <v>27</v>
      </c>
      <c r="E57">
        <f ca="1">IFERROR(LEN(_xlfn.FORMULATEXT('XL-Test'!D18)),0)</f>
        <v>109</v>
      </c>
      <c r="F57">
        <f ca="1">IFERROR(LEN(_xlfn.FORMULATEXT('XL-Test'!E18)),0)</f>
        <v>161</v>
      </c>
      <c r="G57">
        <f ca="1">IFERROR(LEN(_xlfn.FORMULATEXT('XL-Test'!G18)),0)</f>
        <v>57</v>
      </c>
      <c r="H57">
        <f ca="1">IFERROR(LEN(_xlfn.FORMULATEXT('XL-Test'!H18)),0)</f>
        <v>65</v>
      </c>
      <c r="I57">
        <f ca="1">IFERROR(LEN(_xlfn.FORMULATEXT('XL-Test'!I18)),0)</f>
        <v>56</v>
      </c>
      <c r="J57">
        <f ca="1">IFERROR(LEN(_xlfn.FORMULATEXT('XL-Test'!K18)),0)</f>
        <v>56</v>
      </c>
      <c r="K57">
        <f ca="1">IFERROR(LEN(_xlfn.FORMULATEXT('XL-Test'!L18)),0)</f>
        <v>52</v>
      </c>
      <c r="L57">
        <f ca="1">IFERROR(LEN(_xlfn.FORMULATEXT('XL-Test'!M18)),0)</f>
        <v>52</v>
      </c>
      <c r="M57">
        <f ca="1">IFERROR(LEN(_xlfn.FORMULATEXT('XL-Test'!N18)),0)</f>
        <v>60</v>
      </c>
    </row>
    <row r="58" spans="2:13" x14ac:dyDescent="0.25">
      <c r="B58">
        <v>14</v>
      </c>
      <c r="C58">
        <v>19</v>
      </c>
      <c r="D58">
        <f ca="1">IFERROR(LEN(_xlfn.FORMULATEXT('XL-Test'!C19)),0)</f>
        <v>27</v>
      </c>
      <c r="E58">
        <f ca="1">IFERROR(LEN(_xlfn.FORMULATEXT('XL-Test'!D19)),0)</f>
        <v>109</v>
      </c>
      <c r="F58">
        <f ca="1">IFERROR(LEN(_xlfn.FORMULATEXT('XL-Test'!E19)),0)</f>
        <v>161</v>
      </c>
      <c r="G58">
        <f ca="1">IFERROR(LEN(_xlfn.FORMULATEXT('XL-Test'!G19)),0)</f>
        <v>57</v>
      </c>
      <c r="H58">
        <f ca="1">IFERROR(LEN(_xlfn.FORMULATEXT('XL-Test'!H19)),0)</f>
        <v>65</v>
      </c>
      <c r="I58">
        <f ca="1">IFERROR(LEN(_xlfn.FORMULATEXT('XL-Test'!I19)),0)</f>
        <v>56</v>
      </c>
      <c r="J58">
        <f ca="1">IFERROR(LEN(_xlfn.FORMULATEXT('XL-Test'!K19)),0)</f>
        <v>56</v>
      </c>
      <c r="K58">
        <f ca="1">IFERROR(LEN(_xlfn.FORMULATEXT('XL-Test'!L19)),0)</f>
        <v>52</v>
      </c>
      <c r="L58">
        <f ca="1">IFERROR(LEN(_xlfn.FORMULATEXT('XL-Test'!M19)),0)</f>
        <v>52</v>
      </c>
      <c r="M58">
        <f ca="1">IFERROR(LEN(_xlfn.FORMULATEXT('XL-Test'!N19)),0)</f>
        <v>60</v>
      </c>
    </row>
    <row r="59" spans="2:13" x14ac:dyDescent="0.25">
      <c r="B59">
        <v>15</v>
      </c>
      <c r="C59">
        <v>20</v>
      </c>
      <c r="D59">
        <f ca="1">IFERROR(LEN(_xlfn.FORMULATEXT('XL-Test'!C20)),0)</f>
        <v>27</v>
      </c>
      <c r="E59">
        <f ca="1">IFERROR(LEN(_xlfn.FORMULATEXT('XL-Test'!D20)),0)</f>
        <v>109</v>
      </c>
      <c r="F59">
        <f ca="1">IFERROR(LEN(_xlfn.FORMULATEXT('XL-Test'!E20)),0)</f>
        <v>161</v>
      </c>
      <c r="G59">
        <f ca="1">IFERROR(LEN(_xlfn.FORMULATEXT('XL-Test'!G20)),0)</f>
        <v>57</v>
      </c>
      <c r="H59">
        <f ca="1">IFERROR(LEN(_xlfn.FORMULATEXT('XL-Test'!H20)),0)</f>
        <v>65</v>
      </c>
      <c r="I59">
        <f ca="1">IFERROR(LEN(_xlfn.FORMULATEXT('XL-Test'!I20)),0)</f>
        <v>56</v>
      </c>
      <c r="J59">
        <f ca="1">IFERROR(LEN(_xlfn.FORMULATEXT('XL-Test'!K20)),0)</f>
        <v>56</v>
      </c>
      <c r="K59">
        <f ca="1">IFERROR(LEN(_xlfn.FORMULATEXT('XL-Test'!L20)),0)</f>
        <v>52</v>
      </c>
      <c r="L59">
        <f ca="1">IFERROR(LEN(_xlfn.FORMULATEXT('XL-Test'!M20)),0)</f>
        <v>52</v>
      </c>
      <c r="M59">
        <f ca="1">IFERROR(LEN(_xlfn.FORMULATEXT('XL-Test'!N20)),0)</f>
        <v>60</v>
      </c>
    </row>
    <row r="60" spans="2:13" x14ac:dyDescent="0.25">
      <c r="B60">
        <v>16</v>
      </c>
      <c r="C60">
        <v>21</v>
      </c>
      <c r="D60">
        <f ca="1">IFERROR(LEN(_xlfn.FORMULATEXT('XL-Test'!C21)),0)</f>
        <v>27</v>
      </c>
      <c r="E60">
        <f ca="1">IFERROR(LEN(_xlfn.FORMULATEXT('XL-Test'!D21)),0)</f>
        <v>109</v>
      </c>
      <c r="F60">
        <f ca="1">IFERROR(LEN(_xlfn.FORMULATEXT('XL-Test'!E21)),0)</f>
        <v>161</v>
      </c>
      <c r="G60">
        <f ca="1">IFERROR(LEN(_xlfn.FORMULATEXT('XL-Test'!G21)),0)</f>
        <v>57</v>
      </c>
      <c r="H60">
        <f ca="1">IFERROR(LEN(_xlfn.FORMULATEXT('XL-Test'!H21)),0)</f>
        <v>65</v>
      </c>
      <c r="I60">
        <f ca="1">IFERROR(LEN(_xlfn.FORMULATEXT('XL-Test'!I21)),0)</f>
        <v>56</v>
      </c>
      <c r="J60">
        <f ca="1">IFERROR(LEN(_xlfn.FORMULATEXT('XL-Test'!K21)),0)</f>
        <v>56</v>
      </c>
      <c r="K60">
        <f ca="1">IFERROR(LEN(_xlfn.FORMULATEXT('XL-Test'!L21)),0)</f>
        <v>52</v>
      </c>
      <c r="L60">
        <f ca="1">IFERROR(LEN(_xlfn.FORMULATEXT('XL-Test'!M21)),0)</f>
        <v>52</v>
      </c>
      <c r="M60">
        <f ca="1">IFERROR(LEN(_xlfn.FORMULATEXT('XL-Test'!N21)),0)</f>
        <v>60</v>
      </c>
    </row>
    <row r="61" spans="2:13" x14ac:dyDescent="0.25">
      <c r="B61">
        <v>17</v>
      </c>
      <c r="C61">
        <v>22</v>
      </c>
      <c r="D61">
        <f ca="1">IFERROR(LEN(_xlfn.FORMULATEXT('XL-Test'!C22)),0)</f>
        <v>27</v>
      </c>
      <c r="E61">
        <f ca="1">IFERROR(LEN(_xlfn.FORMULATEXT('XL-Test'!D22)),0)</f>
        <v>109</v>
      </c>
      <c r="F61">
        <f ca="1">IFERROR(LEN(_xlfn.FORMULATEXT('XL-Test'!E22)),0)</f>
        <v>161</v>
      </c>
      <c r="G61">
        <f ca="1">IFERROR(LEN(_xlfn.FORMULATEXT('XL-Test'!G22)),0)</f>
        <v>57</v>
      </c>
      <c r="H61">
        <f ca="1">IFERROR(LEN(_xlfn.FORMULATEXT('XL-Test'!H22)),0)</f>
        <v>65</v>
      </c>
      <c r="I61">
        <f ca="1">IFERROR(LEN(_xlfn.FORMULATEXT('XL-Test'!I22)),0)</f>
        <v>56</v>
      </c>
      <c r="J61">
        <f ca="1">IFERROR(LEN(_xlfn.FORMULATEXT('XL-Test'!K22)),0)</f>
        <v>56</v>
      </c>
      <c r="K61">
        <f ca="1">IFERROR(LEN(_xlfn.FORMULATEXT('XL-Test'!L22)),0)</f>
        <v>52</v>
      </c>
      <c r="L61">
        <f ca="1">IFERROR(LEN(_xlfn.FORMULATEXT('XL-Test'!M22)),0)</f>
        <v>52</v>
      </c>
      <c r="M61">
        <f ca="1">IFERROR(LEN(_xlfn.FORMULATEXT('XL-Test'!N22)),0)</f>
        <v>60</v>
      </c>
    </row>
    <row r="62" spans="2:13" x14ac:dyDescent="0.25">
      <c r="B62">
        <v>18</v>
      </c>
      <c r="C62">
        <v>23</v>
      </c>
      <c r="D62">
        <f ca="1">IFERROR(LEN(_xlfn.FORMULATEXT('XL-Test'!C23)),0)</f>
        <v>27</v>
      </c>
      <c r="E62">
        <f ca="1">IFERROR(LEN(_xlfn.FORMULATEXT('XL-Test'!D23)),0)</f>
        <v>109</v>
      </c>
      <c r="F62">
        <f ca="1">IFERROR(LEN(_xlfn.FORMULATEXT('XL-Test'!E23)),0)</f>
        <v>161</v>
      </c>
      <c r="G62">
        <f ca="1">IFERROR(LEN(_xlfn.FORMULATEXT('XL-Test'!G23)),0)</f>
        <v>57</v>
      </c>
      <c r="H62">
        <f ca="1">IFERROR(LEN(_xlfn.FORMULATEXT('XL-Test'!H23)),0)</f>
        <v>65</v>
      </c>
      <c r="I62">
        <f ca="1">IFERROR(LEN(_xlfn.FORMULATEXT('XL-Test'!I23)),0)</f>
        <v>56</v>
      </c>
      <c r="J62">
        <f ca="1">IFERROR(LEN(_xlfn.FORMULATEXT('XL-Test'!K23)),0)</f>
        <v>56</v>
      </c>
      <c r="K62">
        <f ca="1">IFERROR(LEN(_xlfn.FORMULATEXT('XL-Test'!L23)),0)</f>
        <v>52</v>
      </c>
      <c r="L62">
        <f ca="1">IFERROR(LEN(_xlfn.FORMULATEXT('XL-Test'!M23)),0)</f>
        <v>52</v>
      </c>
      <c r="M62">
        <f ca="1">IFERROR(LEN(_xlfn.FORMULATEXT('XL-Test'!N23)),0)</f>
        <v>60</v>
      </c>
    </row>
    <row r="63" spans="2:13" x14ac:dyDescent="0.25">
      <c r="B63">
        <v>19</v>
      </c>
      <c r="C63">
        <v>24</v>
      </c>
      <c r="D63">
        <f ca="1">IFERROR(LEN(_xlfn.FORMULATEXT('XL-Test'!C24)),0)</f>
        <v>27</v>
      </c>
      <c r="E63">
        <f ca="1">IFERROR(LEN(_xlfn.FORMULATEXT('XL-Test'!D24)),0)</f>
        <v>109</v>
      </c>
      <c r="F63">
        <f ca="1">IFERROR(LEN(_xlfn.FORMULATEXT('XL-Test'!E24)),0)</f>
        <v>161</v>
      </c>
      <c r="G63">
        <f ca="1">IFERROR(LEN(_xlfn.FORMULATEXT('XL-Test'!G24)),0)</f>
        <v>57</v>
      </c>
      <c r="H63">
        <f ca="1">IFERROR(LEN(_xlfn.FORMULATEXT('XL-Test'!H24)),0)</f>
        <v>65</v>
      </c>
      <c r="I63">
        <f ca="1">IFERROR(LEN(_xlfn.FORMULATEXT('XL-Test'!I24)),0)</f>
        <v>56</v>
      </c>
      <c r="J63">
        <f ca="1">IFERROR(LEN(_xlfn.FORMULATEXT('XL-Test'!K24)),0)</f>
        <v>56</v>
      </c>
      <c r="K63">
        <f ca="1">IFERROR(LEN(_xlfn.FORMULATEXT('XL-Test'!L24)),0)</f>
        <v>52</v>
      </c>
      <c r="L63">
        <f ca="1">IFERROR(LEN(_xlfn.FORMULATEXT('XL-Test'!M24)),0)</f>
        <v>52</v>
      </c>
      <c r="M63">
        <f ca="1">IFERROR(LEN(_xlfn.FORMULATEXT('XL-Test'!N24)),0)</f>
        <v>60</v>
      </c>
    </row>
    <row r="64" spans="2:13" x14ac:dyDescent="0.25">
      <c r="B64">
        <v>20</v>
      </c>
      <c r="C64">
        <v>25</v>
      </c>
      <c r="D64">
        <f ca="1">IFERROR(LEN(_xlfn.FORMULATEXT('XL-Test'!C25)),0)</f>
        <v>27</v>
      </c>
      <c r="E64">
        <f ca="1">IFERROR(LEN(_xlfn.FORMULATEXT('XL-Test'!D25)),0)</f>
        <v>109</v>
      </c>
      <c r="F64">
        <f ca="1">IFERROR(LEN(_xlfn.FORMULATEXT('XL-Test'!E25)),0)</f>
        <v>161</v>
      </c>
      <c r="G64">
        <f ca="1">IFERROR(LEN(_xlfn.FORMULATEXT('XL-Test'!G25)),0)</f>
        <v>57</v>
      </c>
      <c r="H64">
        <f ca="1">IFERROR(LEN(_xlfn.FORMULATEXT('XL-Test'!H25)),0)</f>
        <v>65</v>
      </c>
      <c r="I64">
        <f ca="1">IFERROR(LEN(_xlfn.FORMULATEXT('XL-Test'!I25)),0)</f>
        <v>56</v>
      </c>
      <c r="J64">
        <f ca="1">IFERROR(LEN(_xlfn.FORMULATEXT('XL-Test'!K25)),0)</f>
        <v>56</v>
      </c>
      <c r="K64">
        <f ca="1">IFERROR(LEN(_xlfn.FORMULATEXT('XL-Test'!L25)),0)</f>
        <v>52</v>
      </c>
      <c r="L64">
        <f ca="1">IFERROR(LEN(_xlfn.FORMULATEXT('XL-Test'!M25)),0)</f>
        <v>52</v>
      </c>
      <c r="M64">
        <f ca="1">IFERROR(LEN(_xlfn.FORMULATEXT('XL-Test'!N25)),0)</f>
        <v>60</v>
      </c>
    </row>
    <row r="67" spans="3:18" x14ac:dyDescent="0.25">
      <c r="C67" t="s">
        <v>838</v>
      </c>
      <c r="D67">
        <f ca="1">AVERAGE(D45:D48)</f>
        <v>26</v>
      </c>
      <c r="E67">
        <f t="shared" ref="E67:M67" ca="1" si="13">AVERAGE(E45:E48)</f>
        <v>107</v>
      </c>
      <c r="F67">
        <f t="shared" ca="1" si="13"/>
        <v>158</v>
      </c>
      <c r="G67">
        <f t="shared" ca="1" si="13"/>
        <v>56</v>
      </c>
      <c r="H67">
        <f t="shared" ca="1" si="13"/>
        <v>64</v>
      </c>
      <c r="I67">
        <f t="shared" ca="1" si="13"/>
        <v>54</v>
      </c>
      <c r="J67">
        <f t="shared" ca="1" si="13"/>
        <v>54</v>
      </c>
      <c r="K67">
        <f t="shared" ca="1" si="13"/>
        <v>51</v>
      </c>
      <c r="L67">
        <f t="shared" ca="1" si="13"/>
        <v>51</v>
      </c>
      <c r="M67">
        <f t="shared" ca="1" si="13"/>
        <v>59</v>
      </c>
    </row>
    <row r="68" spans="3:18" x14ac:dyDescent="0.25">
      <c r="D68" t="b">
        <f ca="1">D67=D45</f>
        <v>1</v>
      </c>
      <c r="E68" t="b">
        <f t="shared" ref="E68:M68" ca="1" si="14">E67=E45</f>
        <v>1</v>
      </c>
      <c r="F68" t="b">
        <f t="shared" ca="1" si="14"/>
        <v>1</v>
      </c>
      <c r="G68" t="b">
        <f t="shared" ca="1" si="14"/>
        <v>1</v>
      </c>
      <c r="H68" t="b">
        <f t="shared" ca="1" si="14"/>
        <v>1</v>
      </c>
      <c r="I68" t="b">
        <f t="shared" ca="1" si="14"/>
        <v>1</v>
      </c>
      <c r="J68" t="b">
        <f t="shared" ca="1" si="14"/>
        <v>1</v>
      </c>
      <c r="K68" t="b">
        <f t="shared" ca="1" si="14"/>
        <v>1</v>
      </c>
      <c r="L68" t="b">
        <f t="shared" ca="1" si="14"/>
        <v>1</v>
      </c>
      <c r="M68" t="b">
        <f t="shared" ca="1" si="14"/>
        <v>1</v>
      </c>
    </row>
    <row r="69" spans="3:18" x14ac:dyDescent="0.25">
      <c r="C69" t="s">
        <v>839</v>
      </c>
      <c r="D69">
        <f ca="1">AVERAGE(D49:D64)</f>
        <v>27</v>
      </c>
      <c r="E69">
        <f t="shared" ref="E69:M69" ca="1" si="15">AVERAGE(E49:E64)</f>
        <v>109</v>
      </c>
      <c r="F69">
        <f t="shared" ca="1" si="15"/>
        <v>161</v>
      </c>
      <c r="G69">
        <f t="shared" ca="1" si="15"/>
        <v>57</v>
      </c>
      <c r="H69">
        <f t="shared" ca="1" si="15"/>
        <v>65</v>
      </c>
      <c r="I69">
        <f t="shared" ca="1" si="15"/>
        <v>56</v>
      </c>
      <c r="J69">
        <f t="shared" ca="1" si="15"/>
        <v>56</v>
      </c>
      <c r="K69">
        <f t="shared" ca="1" si="15"/>
        <v>52</v>
      </c>
      <c r="L69">
        <f t="shared" ca="1" si="15"/>
        <v>52</v>
      </c>
      <c r="M69">
        <f t="shared" ca="1" si="15"/>
        <v>60</v>
      </c>
    </row>
    <row r="70" spans="3:18" x14ac:dyDescent="0.25">
      <c r="D70" t="b">
        <f ca="1">D69=D49</f>
        <v>1</v>
      </c>
      <c r="E70" t="b">
        <f t="shared" ref="E70:M70" ca="1" si="16">E69=E49</f>
        <v>1</v>
      </c>
      <c r="F70" t="b">
        <f t="shared" ca="1" si="16"/>
        <v>1</v>
      </c>
      <c r="G70" t="b">
        <f t="shared" ca="1" si="16"/>
        <v>1</v>
      </c>
      <c r="H70" t="b">
        <f t="shared" ca="1" si="16"/>
        <v>1</v>
      </c>
      <c r="I70" t="b">
        <f t="shared" ca="1" si="16"/>
        <v>1</v>
      </c>
      <c r="J70" t="b">
        <f t="shared" ca="1" si="16"/>
        <v>1</v>
      </c>
      <c r="K70" t="b">
        <f t="shared" ca="1" si="16"/>
        <v>1</v>
      </c>
      <c r="L70" t="b">
        <f t="shared" ca="1" si="16"/>
        <v>1</v>
      </c>
      <c r="M70" t="b">
        <f t="shared" ca="1" si="16"/>
        <v>1</v>
      </c>
    </row>
    <row r="71" spans="3:18" x14ac:dyDescent="0.25">
      <c r="C71" t="s">
        <v>842</v>
      </c>
      <c r="D71" t="b">
        <f ca="1">AND(D70,D68)</f>
        <v>1</v>
      </c>
      <c r="E71" t="b">
        <f t="shared" ref="E71:M71" ca="1" si="17">AND(E70,E68)</f>
        <v>1</v>
      </c>
      <c r="F71" t="b">
        <f t="shared" ca="1" si="17"/>
        <v>1</v>
      </c>
      <c r="G71" t="b">
        <f t="shared" ca="1" si="17"/>
        <v>1</v>
      </c>
      <c r="H71" t="b">
        <f t="shared" ca="1" si="17"/>
        <v>1</v>
      </c>
      <c r="I71" t="b">
        <f t="shared" ca="1" si="17"/>
        <v>1</v>
      </c>
      <c r="J71" t="b">
        <f t="shared" ca="1" si="17"/>
        <v>1</v>
      </c>
      <c r="K71" t="b">
        <f t="shared" ca="1" si="17"/>
        <v>1</v>
      </c>
      <c r="L71" t="b">
        <f t="shared" ca="1" si="17"/>
        <v>1</v>
      </c>
      <c r="M71" t="b">
        <f t="shared" ca="1" si="17"/>
        <v>1</v>
      </c>
    </row>
    <row r="72" spans="3:18" x14ac:dyDescent="0.25">
      <c r="C72" t="s">
        <v>840</v>
      </c>
      <c r="D72" t="b">
        <f ca="1">AND(D45&gt;0,D52=0,D9&gt;0)</f>
        <v>0</v>
      </c>
      <c r="E72" t="b">
        <f t="shared" ref="E72:M72" ca="1" si="18">AND(E45&gt;0,E52=0,E9&gt;0)</f>
        <v>0</v>
      </c>
      <c r="F72" t="b">
        <f t="shared" ca="1" si="18"/>
        <v>0</v>
      </c>
      <c r="G72" t="b">
        <f t="shared" ca="1" si="18"/>
        <v>0</v>
      </c>
      <c r="H72" t="b">
        <f t="shared" ca="1" si="18"/>
        <v>0</v>
      </c>
      <c r="I72" t="b">
        <f t="shared" ca="1" si="18"/>
        <v>0</v>
      </c>
      <c r="J72" t="b">
        <f t="shared" ca="1" si="18"/>
        <v>0</v>
      </c>
      <c r="K72" t="b">
        <f t="shared" ca="1" si="18"/>
        <v>0</v>
      </c>
      <c r="L72" t="b">
        <f t="shared" ca="1" si="18"/>
        <v>0</v>
      </c>
      <c r="M72" t="b">
        <f t="shared" ca="1" si="18"/>
        <v>0</v>
      </c>
    </row>
    <row r="74" spans="3:18" x14ac:dyDescent="0.25">
      <c r="C74" t="s">
        <v>841</v>
      </c>
      <c r="D74" t="b">
        <f ca="1">IFERROR(OR(D72,D71),FALSE)</f>
        <v>1</v>
      </c>
      <c r="E74" t="b">
        <f t="shared" ref="E74:M74" ca="1" si="19">IFERROR(OR(E72,E71),FALSE)</f>
        <v>1</v>
      </c>
      <c r="F74" t="b">
        <f t="shared" ca="1" si="19"/>
        <v>1</v>
      </c>
      <c r="G74" t="b">
        <f t="shared" ca="1" si="19"/>
        <v>1</v>
      </c>
      <c r="H74" t="b">
        <f t="shared" ca="1" si="19"/>
        <v>1</v>
      </c>
      <c r="I74" t="b">
        <f t="shared" ca="1" si="19"/>
        <v>1</v>
      </c>
      <c r="J74" t="b">
        <f t="shared" ca="1" si="19"/>
        <v>1</v>
      </c>
      <c r="K74" t="b">
        <f t="shared" ca="1" si="19"/>
        <v>1</v>
      </c>
      <c r="L74" t="b">
        <f t="shared" ca="1" si="19"/>
        <v>1</v>
      </c>
      <c r="M74" t="b">
        <f t="shared" ca="1" si="19"/>
        <v>1</v>
      </c>
    </row>
    <row r="75" spans="3:18" x14ac:dyDescent="0.25">
      <c r="O75" t="s">
        <v>851</v>
      </c>
    </row>
    <row r="77" spans="3:18" x14ac:dyDescent="0.25">
      <c r="D77" t="str">
        <f ca="1">IFERROR(IF(D37,D26,D29),"EEE")</f>
        <v>7594</v>
      </c>
      <c r="E77" t="str">
        <f t="shared" ref="E77:M77" ca="1" si="20">IFERROR(IF(E37,E26,E29),"EEE")</f>
        <v>23BE</v>
      </c>
      <c r="F77" t="str">
        <f t="shared" ca="1" si="20"/>
        <v>210C</v>
      </c>
      <c r="G77" t="str">
        <f t="shared" ca="1" si="20"/>
        <v>4CF4</v>
      </c>
      <c r="H77" t="str">
        <f t="shared" ca="1" si="20"/>
        <v>E0B5F</v>
      </c>
      <c r="I77" t="str">
        <f t="shared" ca="1" si="20"/>
        <v>5B40</v>
      </c>
      <c r="J77" t="str">
        <f t="shared" ca="1" si="20"/>
        <v>138B35680</v>
      </c>
      <c r="K77" t="str">
        <f t="shared" ca="1" si="20"/>
        <v>850</v>
      </c>
      <c r="L77" t="str">
        <f t="shared" ca="1" si="20"/>
        <v>79E0</v>
      </c>
      <c r="M77" t="str">
        <f t="shared" ca="1" si="20"/>
        <v>76C0</v>
      </c>
    </row>
    <row r="78" spans="3:18" x14ac:dyDescent="0.25">
      <c r="D78" t="b">
        <f ca="1">D77=D26</f>
        <v>1</v>
      </c>
      <c r="E78" t="b">
        <f t="shared" ref="E78:M78" ca="1" si="21">E77=E26</f>
        <v>1</v>
      </c>
      <c r="F78" t="b">
        <f t="shared" ca="1" si="21"/>
        <v>1</v>
      </c>
      <c r="G78" t="b">
        <f t="shared" ca="1" si="21"/>
        <v>1</v>
      </c>
      <c r="H78" t="b">
        <f t="shared" ca="1" si="21"/>
        <v>1</v>
      </c>
      <c r="I78" t="b">
        <f t="shared" ca="1" si="21"/>
        <v>1</v>
      </c>
      <c r="J78" t="b">
        <f t="shared" ca="1" si="21"/>
        <v>1</v>
      </c>
      <c r="K78" t="b">
        <f t="shared" ca="1" si="21"/>
        <v>1</v>
      </c>
      <c r="L78" t="b">
        <f t="shared" ca="1" si="21"/>
        <v>1</v>
      </c>
      <c r="M78" t="b">
        <f t="shared" ca="1" si="21"/>
        <v>1</v>
      </c>
    </row>
    <row r="79" spans="3:18" x14ac:dyDescent="0.25">
      <c r="D79" t="str">
        <f ca="1">IF(D43,D31,D32)</f>
        <v>66</v>
      </c>
      <c r="E79" t="str">
        <f t="shared" ref="E79:M79" ca="1" si="22">IF(E43,E31,E32)</f>
        <v>20</v>
      </c>
      <c r="F79" t="str">
        <f t="shared" ca="1" si="22"/>
        <v>42</v>
      </c>
      <c r="G79" t="str">
        <f t="shared" ca="1" si="22"/>
        <v>1B</v>
      </c>
      <c r="H79" t="str">
        <f t="shared" ca="1" si="22"/>
        <v>30</v>
      </c>
      <c r="I79" t="str">
        <f t="shared" ca="1" si="22"/>
        <v>22</v>
      </c>
      <c r="J79" t="str">
        <f t="shared" ca="1" si="22"/>
        <v>30</v>
      </c>
      <c r="K79" t="str">
        <f t="shared" ca="1" si="22"/>
        <v>26</v>
      </c>
      <c r="L79" t="str">
        <f t="shared" ca="1" si="22"/>
        <v>4A</v>
      </c>
      <c r="M79" t="str">
        <f t="shared" ca="1" si="22"/>
        <v>38</v>
      </c>
    </row>
    <row r="80" spans="3:18" x14ac:dyDescent="0.25">
      <c r="P80" t="s">
        <v>844</v>
      </c>
      <c r="Q80" t="s">
        <v>849</v>
      </c>
      <c r="R80">
        <v>12</v>
      </c>
    </row>
    <row r="81" spans="4:18" x14ac:dyDescent="0.25">
      <c r="D81" t="str">
        <f ca="1">D79&amp;"-"&amp;D77&amp;";"</f>
        <v>66-7594;</v>
      </c>
      <c r="E81" t="str">
        <f t="shared" ref="E81:L81" ca="1" si="23">E79&amp;"-"&amp;E77&amp;";"</f>
        <v>20-23BE;</v>
      </c>
      <c r="F81" t="str">
        <f t="shared" ca="1" si="23"/>
        <v>42-210C;</v>
      </c>
      <c r="G81" t="str">
        <f t="shared" ca="1" si="23"/>
        <v>1B-4CF4;</v>
      </c>
      <c r="H81" t="str">
        <f t="shared" ca="1" si="23"/>
        <v>30-E0B5F;</v>
      </c>
      <c r="I81" t="str">
        <f t="shared" ca="1" si="23"/>
        <v>22-5B40;</v>
      </c>
      <c r="J81" t="str">
        <f t="shared" ca="1" si="23"/>
        <v>30-138B35680;</v>
      </c>
      <c r="K81" t="str">
        <f t="shared" ca="1" si="23"/>
        <v>26-850;</v>
      </c>
      <c r="L81" t="str">
        <f t="shared" ca="1" si="23"/>
        <v>4A-79E0;</v>
      </c>
      <c r="M81" t="str">
        <f ca="1">M79&amp;"-"&amp;M77</f>
        <v>38-76C0</v>
      </c>
      <c r="P81" t="s">
        <v>845</v>
      </c>
      <c r="Q81" t="s">
        <v>850</v>
      </c>
      <c r="R81">
        <v>34</v>
      </c>
    </row>
    <row r="82" spans="4:18" x14ac:dyDescent="0.25">
      <c r="D82" t="str">
        <f ca="1">A2&amp;"|"&amp;D81&amp;E81&amp;F81&amp;G81&amp;H81&amp;I81&amp;J81&amp;K81&amp;L81&amp;M81</f>
        <v>HJ2|66-7594;20-23BE;42-210C;1B-4CF4;30-E0B5F;22-5B40;30-138B35680;26-850;4A-79E0;38-76C0</v>
      </c>
      <c r="P82" t="s">
        <v>846</v>
      </c>
      <c r="Q82" t="s">
        <v>844</v>
      </c>
      <c r="R82">
        <v>75</v>
      </c>
    </row>
    <row r="83" spans="4:18" x14ac:dyDescent="0.25">
      <c r="D83" t="str">
        <f ca="1">D82</f>
        <v>HJ2|66-7594;20-23BE;42-210C;1B-4CF4;30-E0B5F;22-5B40;30-138B35680;26-850;4A-79E0;38-76C0</v>
      </c>
      <c r="P83" t="s">
        <v>847</v>
      </c>
      <c r="Q83" t="s">
        <v>852</v>
      </c>
      <c r="R83">
        <v>21</v>
      </c>
    </row>
    <row r="84" spans="4:18" x14ac:dyDescent="0.25">
      <c r="P84" t="s">
        <v>848</v>
      </c>
      <c r="Q84" t="s">
        <v>850</v>
      </c>
      <c r="R84">
        <v>23</v>
      </c>
    </row>
    <row r="85" spans="4:18" x14ac:dyDescent="0.25">
      <c r="D85" t="str" cm="1">
        <f t="array" aca="1" ref="D85" ca="1">INDIRECT(INDIRECT(VLOOKUP("y",P80:R84,2,0)&amp;VLOOKUP("t",P80:R84,3,0)))</f>
        <v>HJ2|66-7594;20-23BE;42-210C;1B-4CF4;30-E0B5F;22-5B40;30-138B35680;26-850;4A-79E0;38-76C0</v>
      </c>
    </row>
    <row r="86" spans="4:18" x14ac:dyDescent="0.25">
      <c r="D86" t="str">
        <f ca="1">eko</f>
        <v>HJ2|66-7594;20-23BE;42-210C;1B-4CF4;30-E0B5F;22-5B40;30-138B35680;26-850;4A-79E0;38-76C0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6FE6-390C-444B-9E77-DAF47A1FBDD9}">
  <sheetPr codeName="Sheet3"/>
  <dimension ref="A1:M23"/>
  <sheetViews>
    <sheetView workbookViewId="0">
      <selection activeCell="M24" sqref="M24"/>
    </sheetView>
  </sheetViews>
  <sheetFormatPr defaultRowHeight="15" x14ac:dyDescent="0.25"/>
  <cols>
    <col min="12" max="12" width="11" customWidth="1"/>
    <col min="13" max="13" width="17.28515625" customWidth="1"/>
  </cols>
  <sheetData>
    <row r="1" spans="1:13" ht="25.9" customHeight="1" x14ac:dyDescent="0.25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</row>
    <row r="3" spans="1:13" ht="21" customHeight="1" x14ac:dyDescent="0.25">
      <c r="A3" s="11" t="s">
        <v>2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3</v>
      </c>
      <c r="J3" s="11" t="s">
        <v>97</v>
      </c>
      <c r="K3" s="13"/>
      <c r="L3" s="16" t="s">
        <v>98</v>
      </c>
      <c r="M3" s="16" t="s">
        <v>99</v>
      </c>
    </row>
    <row r="4" spans="1:13" x14ac:dyDescent="0.25">
      <c r="A4" s="14" t="s">
        <v>13</v>
      </c>
      <c r="B4" s="14">
        <v>38</v>
      </c>
      <c r="C4" s="14">
        <v>24</v>
      </c>
      <c r="D4" s="14">
        <v>10</v>
      </c>
      <c r="E4" s="14">
        <v>4</v>
      </c>
      <c r="F4" s="14">
        <v>82</v>
      </c>
      <c r="G4" s="14">
        <v>56</v>
      </c>
      <c r="H4" s="14">
        <v>499</v>
      </c>
      <c r="I4" s="14">
        <v>150</v>
      </c>
      <c r="J4" s="14">
        <v>4</v>
      </c>
      <c r="L4" s="12" t="s">
        <v>90</v>
      </c>
      <c r="M4" s="9" t="s">
        <v>100</v>
      </c>
    </row>
    <row r="5" spans="1:13" x14ac:dyDescent="0.25">
      <c r="A5" s="14" t="s">
        <v>17</v>
      </c>
      <c r="B5" s="14">
        <v>38</v>
      </c>
      <c r="C5" s="14">
        <v>25</v>
      </c>
      <c r="D5" s="14">
        <v>6</v>
      </c>
      <c r="E5" s="14">
        <v>7</v>
      </c>
      <c r="F5" s="14">
        <v>81</v>
      </c>
      <c r="G5" s="14">
        <v>76</v>
      </c>
      <c r="H5" s="14">
        <v>565</v>
      </c>
      <c r="I5" s="14">
        <v>179</v>
      </c>
      <c r="J5" s="14">
        <v>8</v>
      </c>
      <c r="L5" s="12" t="s">
        <v>91</v>
      </c>
      <c r="M5" s="9" t="s">
        <v>101</v>
      </c>
    </row>
    <row r="6" spans="1:13" x14ac:dyDescent="0.25">
      <c r="A6" s="14" t="s">
        <v>22</v>
      </c>
      <c r="B6" s="14">
        <v>38</v>
      </c>
      <c r="C6" s="14">
        <v>22</v>
      </c>
      <c r="D6" s="14">
        <v>8</v>
      </c>
      <c r="E6" s="14">
        <v>8</v>
      </c>
      <c r="F6" s="14">
        <v>74</v>
      </c>
      <c r="G6" s="14">
        <v>76</v>
      </c>
      <c r="H6" s="14">
        <v>538</v>
      </c>
      <c r="I6" s="14">
        <v>181</v>
      </c>
      <c r="J6" s="14">
        <v>5</v>
      </c>
      <c r="L6" s="12" t="s">
        <v>92</v>
      </c>
      <c r="M6" s="9" t="s">
        <v>102</v>
      </c>
    </row>
    <row r="7" spans="1:13" x14ac:dyDescent="0.25">
      <c r="A7" s="14" t="s">
        <v>11</v>
      </c>
      <c r="B7" s="14">
        <v>38</v>
      </c>
      <c r="C7" s="14">
        <v>19</v>
      </c>
      <c r="D7" s="14">
        <v>12</v>
      </c>
      <c r="E7" s="14">
        <v>7</v>
      </c>
      <c r="F7" s="14">
        <v>69</v>
      </c>
      <c r="G7" s="14">
        <v>56</v>
      </c>
      <c r="H7" s="14">
        <v>509</v>
      </c>
      <c r="I7" s="14">
        <v>175</v>
      </c>
      <c r="J7" s="14">
        <v>6</v>
      </c>
      <c r="L7" s="12" t="s">
        <v>93</v>
      </c>
      <c r="M7" s="9" t="s">
        <v>103</v>
      </c>
    </row>
    <row r="8" spans="1:13" x14ac:dyDescent="0.25">
      <c r="A8" s="14" t="s">
        <v>20</v>
      </c>
      <c r="B8" s="14">
        <v>38</v>
      </c>
      <c r="C8" s="14">
        <v>20</v>
      </c>
      <c r="D8" s="14">
        <v>8</v>
      </c>
      <c r="E8" s="14">
        <v>10</v>
      </c>
      <c r="F8" s="14">
        <v>68</v>
      </c>
      <c r="G8" s="14">
        <v>55</v>
      </c>
      <c r="H8" s="14">
        <v>514</v>
      </c>
      <c r="I8" s="14">
        <v>162</v>
      </c>
      <c r="J8" s="14">
        <v>8</v>
      </c>
      <c r="L8" s="12" t="s">
        <v>94</v>
      </c>
      <c r="M8" s="9" t="s">
        <v>104</v>
      </c>
    </row>
    <row r="9" spans="1:13" x14ac:dyDescent="0.25">
      <c r="A9" s="14" t="s">
        <v>5</v>
      </c>
      <c r="B9" s="14">
        <v>38</v>
      </c>
      <c r="C9" s="14">
        <v>19</v>
      </c>
      <c r="D9" s="14">
        <v>7</v>
      </c>
      <c r="E9" s="14">
        <v>12</v>
      </c>
      <c r="F9" s="14">
        <v>64</v>
      </c>
      <c r="G9" s="14">
        <v>58</v>
      </c>
      <c r="H9" s="14">
        <v>439</v>
      </c>
      <c r="I9" s="14">
        <v>166</v>
      </c>
      <c r="J9" s="14">
        <v>6</v>
      </c>
      <c r="L9" s="12" t="s">
        <v>95</v>
      </c>
      <c r="M9" s="9" t="s">
        <v>76</v>
      </c>
    </row>
    <row r="10" spans="1:13" x14ac:dyDescent="0.25">
      <c r="A10" s="14" t="s">
        <v>18</v>
      </c>
      <c r="B10" s="14">
        <v>38</v>
      </c>
      <c r="C10" s="14">
        <v>18</v>
      </c>
      <c r="D10" s="14">
        <v>9</v>
      </c>
      <c r="E10" s="14">
        <v>11</v>
      </c>
      <c r="F10" s="14">
        <v>63</v>
      </c>
      <c r="G10" s="14">
        <v>61</v>
      </c>
      <c r="H10" s="14">
        <v>529</v>
      </c>
      <c r="I10" s="14">
        <v>186</v>
      </c>
      <c r="J10" s="14">
        <v>6</v>
      </c>
      <c r="L10" s="12" t="s">
        <v>96</v>
      </c>
      <c r="M10" s="9" t="s">
        <v>105</v>
      </c>
    </row>
    <row r="11" spans="1:13" x14ac:dyDescent="0.25">
      <c r="A11" s="14" t="s">
        <v>21</v>
      </c>
      <c r="B11" s="14">
        <v>38</v>
      </c>
      <c r="C11" s="14">
        <v>17</v>
      </c>
      <c r="D11" s="14">
        <v>11</v>
      </c>
      <c r="E11" s="14">
        <v>10</v>
      </c>
      <c r="F11" s="14">
        <v>62</v>
      </c>
      <c r="G11" s="14">
        <v>59</v>
      </c>
      <c r="H11" s="14">
        <v>555</v>
      </c>
      <c r="I11" s="14">
        <v>185</v>
      </c>
      <c r="J11" s="14">
        <v>4</v>
      </c>
      <c r="L11" s="12" t="s">
        <v>3</v>
      </c>
      <c r="M11" s="9" t="s">
        <v>106</v>
      </c>
    </row>
    <row r="12" spans="1:13" x14ac:dyDescent="0.25">
      <c r="A12" s="14" t="s">
        <v>6</v>
      </c>
      <c r="B12" s="14">
        <v>38</v>
      </c>
      <c r="C12" s="14">
        <v>16</v>
      </c>
      <c r="D12" s="14">
        <v>10</v>
      </c>
      <c r="E12" s="14">
        <v>12</v>
      </c>
      <c r="F12" s="14">
        <v>58</v>
      </c>
      <c r="G12" s="14">
        <v>56</v>
      </c>
      <c r="H12" s="14">
        <v>505</v>
      </c>
      <c r="I12" s="14">
        <v>166</v>
      </c>
      <c r="J12" s="14">
        <v>6</v>
      </c>
      <c r="L12" s="12" t="s">
        <v>97</v>
      </c>
      <c r="M12" s="9" t="s">
        <v>107</v>
      </c>
    </row>
    <row r="13" spans="1:13" x14ac:dyDescent="0.25">
      <c r="A13" s="14" t="s">
        <v>7</v>
      </c>
      <c r="B13" s="14">
        <v>38</v>
      </c>
      <c r="C13" s="14">
        <v>14</v>
      </c>
      <c r="D13" s="14">
        <v>6</v>
      </c>
      <c r="E13" s="14">
        <v>18</v>
      </c>
      <c r="F13" s="14">
        <v>48</v>
      </c>
      <c r="G13" s="14">
        <v>44</v>
      </c>
      <c r="H13" s="14">
        <v>519</v>
      </c>
      <c r="I13" s="14">
        <v>176</v>
      </c>
      <c r="J13" s="14">
        <v>0</v>
      </c>
    </row>
    <row r="14" spans="1:13" x14ac:dyDescent="0.25">
      <c r="A14" s="17" t="s">
        <v>4</v>
      </c>
      <c r="B14" s="17">
        <v>38</v>
      </c>
      <c r="C14" s="17">
        <v>11</v>
      </c>
      <c r="D14" s="17">
        <v>9</v>
      </c>
      <c r="E14" s="17">
        <v>18</v>
      </c>
      <c r="F14" s="17">
        <v>42</v>
      </c>
      <c r="G14" s="17">
        <v>36</v>
      </c>
      <c r="H14" s="17">
        <v>383</v>
      </c>
      <c r="I14" s="17">
        <v>123</v>
      </c>
      <c r="J14" s="17">
        <v>2</v>
      </c>
    </row>
    <row r="15" spans="1:13" x14ac:dyDescent="0.25">
      <c r="A15" s="14" t="s">
        <v>10</v>
      </c>
      <c r="B15" s="14">
        <v>38</v>
      </c>
      <c r="C15" s="14">
        <v>11</v>
      </c>
      <c r="D15" s="14">
        <v>8</v>
      </c>
      <c r="E15" s="14">
        <v>19</v>
      </c>
      <c r="F15" s="14">
        <v>41</v>
      </c>
      <c r="G15" s="14">
        <v>41</v>
      </c>
      <c r="H15" s="14">
        <v>430</v>
      </c>
      <c r="I15" s="14">
        <v>137</v>
      </c>
      <c r="J15" s="14">
        <v>2</v>
      </c>
    </row>
    <row r="16" spans="1:13" x14ac:dyDescent="0.25">
      <c r="A16" s="14" t="s">
        <v>9</v>
      </c>
      <c r="B16" s="14">
        <v>38</v>
      </c>
      <c r="C16" s="14">
        <v>10</v>
      </c>
      <c r="D16" s="14">
        <v>10</v>
      </c>
      <c r="E16" s="14">
        <v>18</v>
      </c>
      <c r="F16" s="14">
        <v>40</v>
      </c>
      <c r="G16" s="14">
        <v>35</v>
      </c>
      <c r="H16" s="14">
        <v>383</v>
      </c>
      <c r="I16" s="14">
        <v>117</v>
      </c>
      <c r="J16" s="14">
        <v>0</v>
      </c>
    </row>
    <row r="17" spans="1:10" x14ac:dyDescent="0.25">
      <c r="A17" s="14" t="s">
        <v>23</v>
      </c>
      <c r="B17" s="14">
        <v>38</v>
      </c>
      <c r="C17" s="14">
        <v>10</v>
      </c>
      <c r="D17" s="14">
        <v>7</v>
      </c>
      <c r="E17" s="14">
        <v>21</v>
      </c>
      <c r="F17" s="14">
        <v>37</v>
      </c>
      <c r="G17" s="14">
        <v>31</v>
      </c>
      <c r="H17" s="14">
        <v>372</v>
      </c>
      <c r="I17" s="14">
        <v>95</v>
      </c>
      <c r="J17" s="14">
        <v>2</v>
      </c>
    </row>
    <row r="18" spans="1:10" x14ac:dyDescent="0.25">
      <c r="A18" s="14" t="s">
        <v>15</v>
      </c>
      <c r="B18" s="14">
        <v>38</v>
      </c>
      <c r="C18" s="14">
        <v>9</v>
      </c>
      <c r="D18" s="14">
        <v>9</v>
      </c>
      <c r="E18" s="14">
        <v>20</v>
      </c>
      <c r="F18" s="14">
        <v>36</v>
      </c>
      <c r="G18" s="14">
        <v>38</v>
      </c>
      <c r="H18" s="14">
        <v>421</v>
      </c>
      <c r="I18" s="14">
        <v>115</v>
      </c>
      <c r="J18" s="14">
        <v>3</v>
      </c>
    </row>
    <row r="19" spans="1:10" x14ac:dyDescent="0.25">
      <c r="A19" s="14" t="s">
        <v>19</v>
      </c>
      <c r="B19" s="14">
        <v>38</v>
      </c>
      <c r="C19" s="14">
        <v>8</v>
      </c>
      <c r="D19" s="14">
        <v>11</v>
      </c>
      <c r="E19" s="14">
        <v>19</v>
      </c>
      <c r="F19" s="14">
        <v>35</v>
      </c>
      <c r="G19" s="14">
        <v>43</v>
      </c>
      <c r="H19" s="14">
        <v>418</v>
      </c>
      <c r="I19" s="14">
        <v>140</v>
      </c>
      <c r="J19" s="14">
        <v>6</v>
      </c>
    </row>
    <row r="20" spans="1:10" x14ac:dyDescent="0.25">
      <c r="A20" s="14" t="s">
        <v>14</v>
      </c>
      <c r="B20" s="14">
        <v>38</v>
      </c>
      <c r="C20" s="14">
        <v>8</v>
      </c>
      <c r="D20" s="14">
        <v>9</v>
      </c>
      <c r="E20" s="14">
        <v>21</v>
      </c>
      <c r="F20" s="14">
        <v>33</v>
      </c>
      <c r="G20" s="14">
        <v>27</v>
      </c>
      <c r="H20" s="14">
        <v>450</v>
      </c>
      <c r="I20" s="14">
        <v>119</v>
      </c>
      <c r="J20" s="14">
        <v>3</v>
      </c>
    </row>
    <row r="21" spans="1:10" x14ac:dyDescent="0.25">
      <c r="A21" s="14" t="s">
        <v>8</v>
      </c>
      <c r="B21" s="14">
        <v>38</v>
      </c>
      <c r="C21" s="14">
        <v>7</v>
      </c>
      <c r="D21" s="14">
        <v>9</v>
      </c>
      <c r="E21" s="14">
        <v>22</v>
      </c>
      <c r="F21" s="14">
        <v>30</v>
      </c>
      <c r="G21" s="14">
        <v>31</v>
      </c>
      <c r="H21" s="14">
        <v>367</v>
      </c>
      <c r="I21" s="14">
        <v>107</v>
      </c>
      <c r="J21" s="14">
        <v>2</v>
      </c>
    </row>
    <row r="22" spans="1:10" x14ac:dyDescent="0.25">
      <c r="A22" s="14" t="s">
        <v>16</v>
      </c>
      <c r="B22" s="14">
        <v>38</v>
      </c>
      <c r="C22" s="14">
        <v>6</v>
      </c>
      <c r="D22" s="14">
        <v>8</v>
      </c>
      <c r="E22" s="14">
        <v>24</v>
      </c>
      <c r="F22" s="14">
        <v>26</v>
      </c>
      <c r="G22" s="14">
        <v>31</v>
      </c>
      <c r="H22" s="14">
        <v>381</v>
      </c>
      <c r="I22" s="14">
        <v>120</v>
      </c>
      <c r="J22" s="14">
        <v>4</v>
      </c>
    </row>
    <row r="23" spans="1:10" x14ac:dyDescent="0.25">
      <c r="A23" s="14" t="s">
        <v>12</v>
      </c>
      <c r="B23" s="14">
        <v>38</v>
      </c>
      <c r="C23" s="14">
        <v>4</v>
      </c>
      <c r="D23" s="14">
        <v>5</v>
      </c>
      <c r="E23" s="14">
        <v>29</v>
      </c>
      <c r="F23" s="14">
        <v>17</v>
      </c>
      <c r="G23" s="14">
        <v>27</v>
      </c>
      <c r="H23" s="14">
        <v>333</v>
      </c>
      <c r="I23" s="14">
        <v>99</v>
      </c>
      <c r="J23" s="14">
        <v>3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6C8D-535B-4058-BF20-3F8DDEA7168C}">
  <sheetPr codeName="Sheet4"/>
  <dimension ref="A1:I383"/>
  <sheetViews>
    <sheetView workbookViewId="0">
      <selection activeCell="E392" sqref="E392"/>
    </sheetView>
  </sheetViews>
  <sheetFormatPr defaultRowHeight="15" x14ac:dyDescent="0.25"/>
  <cols>
    <col min="1" max="1" width="12.5703125" customWidth="1"/>
    <col min="2" max="2" width="13.42578125" bestFit="1" customWidth="1"/>
    <col min="3" max="3" width="14.28515625" customWidth="1"/>
    <col min="4" max="4" width="30.28515625" customWidth="1"/>
    <col min="5" max="6" width="12.7109375" customWidth="1"/>
    <col min="9" max="9" width="10.42578125" bestFit="1" customWidth="1"/>
  </cols>
  <sheetData>
    <row r="1" spans="1:9" x14ac:dyDescent="0.25">
      <c r="A1" s="44" t="s">
        <v>109</v>
      </c>
      <c r="B1" s="44"/>
      <c r="C1" s="44"/>
      <c r="D1" s="44"/>
      <c r="E1" s="44"/>
      <c r="F1" s="44"/>
    </row>
    <row r="3" spans="1:9" x14ac:dyDescent="0.25">
      <c r="A3" s="10" t="s">
        <v>110</v>
      </c>
      <c r="B3" s="10" t="s">
        <v>2</v>
      </c>
      <c r="C3" s="10" t="s">
        <v>111</v>
      </c>
      <c r="D3" s="10" t="s">
        <v>112</v>
      </c>
      <c r="E3" s="10" t="s">
        <v>113</v>
      </c>
      <c r="F3" s="10" t="s">
        <v>114</v>
      </c>
    </row>
    <row r="4" spans="1:9" x14ac:dyDescent="0.25">
      <c r="A4" s="18">
        <v>45521</v>
      </c>
      <c r="B4" t="s">
        <v>21</v>
      </c>
      <c r="C4" t="s">
        <v>4</v>
      </c>
      <c r="D4" t="s">
        <v>115</v>
      </c>
      <c r="E4" s="19">
        <v>75923</v>
      </c>
      <c r="F4" s="19">
        <v>70742</v>
      </c>
      <c r="I4" s="18"/>
    </row>
    <row r="5" spans="1:9" x14ac:dyDescent="0.25">
      <c r="A5" s="18">
        <v>45521</v>
      </c>
      <c r="B5" t="s">
        <v>9</v>
      </c>
      <c r="C5" t="s">
        <v>17</v>
      </c>
      <c r="D5" t="s">
        <v>116</v>
      </c>
      <c r="E5" s="19">
        <v>34901</v>
      </c>
      <c r="F5" s="19">
        <v>33300</v>
      </c>
      <c r="I5" s="18"/>
    </row>
    <row r="6" spans="1:9" x14ac:dyDescent="0.25">
      <c r="A6" s="18">
        <v>45521</v>
      </c>
      <c r="B6" t="s">
        <v>19</v>
      </c>
      <c r="C6" t="s">
        <v>5</v>
      </c>
      <c r="D6" t="s">
        <v>117</v>
      </c>
      <c r="E6" s="19">
        <v>22352</v>
      </c>
      <c r="F6" s="19">
        <v>21384</v>
      </c>
      <c r="I6" s="18"/>
    </row>
    <row r="7" spans="1:9" x14ac:dyDescent="0.25">
      <c r="A7" s="18">
        <v>45521</v>
      </c>
      <c r="B7" t="s">
        <v>8</v>
      </c>
      <c r="C7" t="s">
        <v>12</v>
      </c>
      <c r="D7" t="s">
        <v>118</v>
      </c>
      <c r="E7" s="19">
        <v>19847</v>
      </c>
      <c r="F7" s="19">
        <v>7746</v>
      </c>
      <c r="I7" s="18"/>
    </row>
    <row r="8" spans="1:9" x14ac:dyDescent="0.25">
      <c r="A8" s="18">
        <v>45522</v>
      </c>
      <c r="B8" t="s">
        <v>18</v>
      </c>
      <c r="C8" t="s">
        <v>16</v>
      </c>
      <c r="D8" t="s">
        <v>119</v>
      </c>
      <c r="E8" s="19">
        <v>70634</v>
      </c>
      <c r="F8" s="19">
        <v>42000</v>
      </c>
      <c r="I8" s="18"/>
    </row>
    <row r="9" spans="1:9" x14ac:dyDescent="0.25">
      <c r="A9" s="18">
        <v>45522</v>
      </c>
      <c r="B9" t="s">
        <v>6</v>
      </c>
      <c r="C9" t="s">
        <v>10</v>
      </c>
      <c r="D9" t="s">
        <v>120</v>
      </c>
      <c r="E9" s="19">
        <v>36462</v>
      </c>
      <c r="F9" s="19">
        <v>26418</v>
      </c>
      <c r="I9" s="18"/>
    </row>
    <row r="10" spans="1:9" x14ac:dyDescent="0.25">
      <c r="A10" s="18">
        <v>45522</v>
      </c>
      <c r="B10" t="s">
        <v>23</v>
      </c>
      <c r="C10" t="s">
        <v>13</v>
      </c>
      <c r="D10" t="s">
        <v>121</v>
      </c>
      <c r="E10" s="19">
        <v>39211</v>
      </c>
      <c r="F10" s="19">
        <v>20027</v>
      </c>
      <c r="I10" s="18"/>
    </row>
    <row r="11" spans="1:9" x14ac:dyDescent="0.25">
      <c r="A11" s="18">
        <v>45522</v>
      </c>
      <c r="B11" t="s">
        <v>15</v>
      </c>
      <c r="C11" t="s">
        <v>20</v>
      </c>
      <c r="D11" t="s">
        <v>122</v>
      </c>
      <c r="E11" s="19">
        <v>16364.999999999998</v>
      </c>
      <c r="F11" s="19">
        <v>16261</v>
      </c>
      <c r="I11" s="18"/>
    </row>
    <row r="12" spans="1:9" x14ac:dyDescent="0.25">
      <c r="A12" s="18">
        <v>45523</v>
      </c>
      <c r="B12" t="s">
        <v>11</v>
      </c>
      <c r="C12" t="s">
        <v>7</v>
      </c>
      <c r="D12" t="s">
        <v>123</v>
      </c>
      <c r="E12" s="19">
        <v>41507</v>
      </c>
      <c r="F12" s="19">
        <v>40696</v>
      </c>
      <c r="I12" s="18"/>
    </row>
    <row r="13" spans="1:9" x14ac:dyDescent="0.25">
      <c r="A13" s="18">
        <v>45523</v>
      </c>
      <c r="B13" t="s">
        <v>14</v>
      </c>
      <c r="C13" t="s">
        <v>22</v>
      </c>
      <c r="D13" t="s">
        <v>124</v>
      </c>
      <c r="E13" s="19">
        <v>31559</v>
      </c>
      <c r="F13" s="19">
        <v>28719</v>
      </c>
      <c r="I13" s="18"/>
    </row>
    <row r="14" spans="1:9" x14ac:dyDescent="0.25">
      <c r="A14" s="18">
        <v>45528</v>
      </c>
      <c r="B14" t="s">
        <v>17</v>
      </c>
      <c r="C14" t="s">
        <v>14</v>
      </c>
      <c r="D14" t="s">
        <v>115</v>
      </c>
      <c r="E14" s="19">
        <v>75923</v>
      </c>
      <c r="F14" s="19">
        <v>70921</v>
      </c>
      <c r="I14" s="18"/>
    </row>
    <row r="15" spans="1:9" x14ac:dyDescent="0.25">
      <c r="A15" s="18">
        <v>45528</v>
      </c>
      <c r="B15" t="s">
        <v>10</v>
      </c>
      <c r="C15" t="s">
        <v>18</v>
      </c>
      <c r="D15" t="s">
        <v>125</v>
      </c>
      <c r="E15" s="19">
        <v>25144</v>
      </c>
      <c r="F15" s="19">
        <v>21636</v>
      </c>
      <c r="I15" s="18"/>
    </row>
    <row r="16" spans="1:9" x14ac:dyDescent="0.25">
      <c r="A16" s="18">
        <v>45528</v>
      </c>
      <c r="B16" t="s">
        <v>19</v>
      </c>
      <c r="C16" t="s">
        <v>21</v>
      </c>
      <c r="D16" t="s">
        <v>117</v>
      </c>
      <c r="E16" s="19">
        <v>22352</v>
      </c>
      <c r="F16" s="19">
        <v>21808</v>
      </c>
      <c r="I16" s="18"/>
    </row>
    <row r="17" spans="1:9" x14ac:dyDescent="0.25">
      <c r="A17" s="18">
        <v>45528</v>
      </c>
      <c r="B17" t="s">
        <v>12</v>
      </c>
      <c r="C17" t="s">
        <v>9</v>
      </c>
      <c r="D17" t="s">
        <v>126</v>
      </c>
      <c r="E17" s="19">
        <v>17102</v>
      </c>
      <c r="F17" s="19">
        <v>10394</v>
      </c>
      <c r="I17" s="18"/>
    </row>
    <row r="18" spans="1:9" x14ac:dyDescent="0.25">
      <c r="A18" s="18">
        <v>45529</v>
      </c>
      <c r="B18" t="s">
        <v>13</v>
      </c>
      <c r="C18" t="s">
        <v>6</v>
      </c>
      <c r="D18" t="s">
        <v>127</v>
      </c>
      <c r="E18" s="19">
        <v>54726</v>
      </c>
      <c r="F18" s="19">
        <v>45000</v>
      </c>
      <c r="I18" s="18"/>
    </row>
    <row r="19" spans="1:9" x14ac:dyDescent="0.25">
      <c r="A19" s="18">
        <v>45529</v>
      </c>
      <c r="B19" t="s">
        <v>20</v>
      </c>
      <c r="C19" t="s">
        <v>8</v>
      </c>
      <c r="D19" t="s">
        <v>119</v>
      </c>
      <c r="E19" s="19">
        <v>70634</v>
      </c>
      <c r="F19" s="19">
        <v>67517</v>
      </c>
      <c r="I19" s="18"/>
    </row>
    <row r="20" spans="1:9" x14ac:dyDescent="0.25">
      <c r="A20" s="18">
        <v>45529</v>
      </c>
      <c r="B20" t="s">
        <v>5</v>
      </c>
      <c r="C20" t="s">
        <v>16</v>
      </c>
      <c r="D20" t="s">
        <v>128</v>
      </c>
      <c r="E20" s="19">
        <v>43147</v>
      </c>
      <c r="F20" s="19">
        <v>18915</v>
      </c>
      <c r="I20" s="18"/>
    </row>
    <row r="21" spans="1:9" x14ac:dyDescent="0.25">
      <c r="A21" s="18">
        <v>45529</v>
      </c>
      <c r="B21" t="s">
        <v>4</v>
      </c>
      <c r="C21" t="s">
        <v>22</v>
      </c>
      <c r="D21" t="s">
        <v>129</v>
      </c>
      <c r="E21" s="19">
        <v>28177</v>
      </c>
      <c r="F21" s="19">
        <v>20451</v>
      </c>
      <c r="I21" s="18"/>
    </row>
    <row r="22" spans="1:9" x14ac:dyDescent="0.25">
      <c r="A22" s="18">
        <v>45530</v>
      </c>
      <c r="B22" t="s">
        <v>23</v>
      </c>
      <c r="C22" t="s">
        <v>11</v>
      </c>
      <c r="D22" t="s">
        <v>121</v>
      </c>
      <c r="E22" s="19">
        <v>39211</v>
      </c>
      <c r="F22" s="19">
        <v>29575</v>
      </c>
      <c r="I22" s="18"/>
    </row>
    <row r="23" spans="1:9" x14ac:dyDescent="0.25">
      <c r="A23" s="18">
        <v>45530</v>
      </c>
      <c r="B23" t="s">
        <v>15</v>
      </c>
      <c r="C23" t="s">
        <v>7</v>
      </c>
      <c r="D23" t="s">
        <v>122</v>
      </c>
      <c r="E23" s="19">
        <v>16364.999999999998</v>
      </c>
      <c r="F23" s="19">
        <v>16365</v>
      </c>
      <c r="I23" s="18"/>
    </row>
    <row r="24" spans="1:9" x14ac:dyDescent="0.25">
      <c r="A24" s="18">
        <v>45534</v>
      </c>
      <c r="B24" t="s">
        <v>17</v>
      </c>
      <c r="C24" t="s">
        <v>22</v>
      </c>
      <c r="D24" t="s">
        <v>115</v>
      </c>
      <c r="E24" s="19">
        <v>75923</v>
      </c>
      <c r="F24" s="19">
        <v>71745</v>
      </c>
      <c r="I24" s="18"/>
    </row>
    <row r="25" spans="1:9" x14ac:dyDescent="0.25">
      <c r="A25" s="18">
        <v>45534</v>
      </c>
      <c r="B25" t="s">
        <v>16</v>
      </c>
      <c r="C25" t="s">
        <v>4</v>
      </c>
      <c r="D25" t="s">
        <v>130</v>
      </c>
      <c r="E25" s="19">
        <v>12048</v>
      </c>
      <c r="F25" s="19">
        <v>10652</v>
      </c>
      <c r="I25" s="18"/>
    </row>
    <row r="26" spans="1:9" x14ac:dyDescent="0.25">
      <c r="A26" s="18">
        <v>45535</v>
      </c>
      <c r="B26" t="s">
        <v>13</v>
      </c>
      <c r="C26" t="s">
        <v>19</v>
      </c>
      <c r="D26" t="s">
        <v>127</v>
      </c>
      <c r="E26" s="19">
        <v>54726</v>
      </c>
      <c r="F26" s="19">
        <v>51520</v>
      </c>
      <c r="I26" s="18"/>
    </row>
    <row r="27" spans="1:9" x14ac:dyDescent="0.25">
      <c r="A27" s="18">
        <v>45535</v>
      </c>
      <c r="B27" t="s">
        <v>18</v>
      </c>
      <c r="C27" t="s">
        <v>21</v>
      </c>
      <c r="D27" t="s">
        <v>119</v>
      </c>
      <c r="E27" s="19">
        <v>70634</v>
      </c>
      <c r="F27" s="19">
        <v>53000</v>
      </c>
      <c r="I27" s="18"/>
    </row>
    <row r="28" spans="1:9" x14ac:dyDescent="0.25">
      <c r="A28" s="18">
        <v>45535</v>
      </c>
      <c r="B28" t="s">
        <v>6</v>
      </c>
      <c r="C28" t="s">
        <v>8</v>
      </c>
      <c r="D28" t="s">
        <v>120</v>
      </c>
      <c r="E28" s="19">
        <v>36462</v>
      </c>
      <c r="F28" s="19">
        <v>25960</v>
      </c>
      <c r="I28" s="18"/>
    </row>
    <row r="29" spans="1:9" x14ac:dyDescent="0.25">
      <c r="A29" s="18">
        <v>45535</v>
      </c>
      <c r="B29" t="s">
        <v>14</v>
      </c>
      <c r="C29" t="s">
        <v>15</v>
      </c>
      <c r="D29" t="s">
        <v>124</v>
      </c>
      <c r="E29" s="19">
        <v>31559</v>
      </c>
      <c r="F29" s="19">
        <v>26836</v>
      </c>
      <c r="I29" s="18"/>
    </row>
    <row r="30" spans="1:9" x14ac:dyDescent="0.25">
      <c r="A30" s="18">
        <v>45536</v>
      </c>
      <c r="B30" t="s">
        <v>11</v>
      </c>
      <c r="C30" t="s">
        <v>20</v>
      </c>
      <c r="D30" t="s">
        <v>123</v>
      </c>
      <c r="E30" s="19">
        <v>41507</v>
      </c>
      <c r="F30" s="19">
        <v>41375</v>
      </c>
      <c r="I30" s="18"/>
    </row>
    <row r="31" spans="1:9" x14ac:dyDescent="0.25">
      <c r="A31" s="18">
        <v>45536</v>
      </c>
      <c r="B31" t="s">
        <v>5</v>
      </c>
      <c r="C31" t="s">
        <v>12</v>
      </c>
      <c r="D31" t="s">
        <v>128</v>
      </c>
      <c r="E31" s="19">
        <v>43147</v>
      </c>
      <c r="F31" s="19">
        <v>18376</v>
      </c>
      <c r="I31" s="18"/>
    </row>
    <row r="32" spans="1:9" x14ac:dyDescent="0.25">
      <c r="A32" s="18">
        <v>45536</v>
      </c>
      <c r="B32" t="s">
        <v>10</v>
      </c>
      <c r="C32" t="s">
        <v>7</v>
      </c>
      <c r="D32" t="s">
        <v>125</v>
      </c>
      <c r="E32" s="19">
        <v>25144</v>
      </c>
      <c r="F32" s="19">
        <v>20804</v>
      </c>
      <c r="I32" s="18"/>
    </row>
    <row r="33" spans="1:9" x14ac:dyDescent="0.25">
      <c r="A33" s="18">
        <v>45536</v>
      </c>
      <c r="B33" t="s">
        <v>9</v>
      </c>
      <c r="C33" t="s">
        <v>23</v>
      </c>
      <c r="D33" t="s">
        <v>116</v>
      </c>
      <c r="E33" s="19">
        <v>34901</v>
      </c>
      <c r="F33" s="19">
        <v>30747</v>
      </c>
      <c r="I33" s="18"/>
    </row>
    <row r="34" spans="1:9" x14ac:dyDescent="0.25">
      <c r="A34" s="18">
        <v>45549</v>
      </c>
      <c r="B34" t="s">
        <v>21</v>
      </c>
      <c r="C34" t="s">
        <v>16</v>
      </c>
      <c r="D34" t="s">
        <v>115</v>
      </c>
      <c r="E34" s="19">
        <v>75923</v>
      </c>
      <c r="F34" s="19">
        <v>71273</v>
      </c>
      <c r="I34" s="18"/>
    </row>
    <row r="35" spans="1:9" x14ac:dyDescent="0.25">
      <c r="A35" s="18">
        <v>45549</v>
      </c>
      <c r="B35" t="s">
        <v>7</v>
      </c>
      <c r="C35" t="s">
        <v>6</v>
      </c>
      <c r="D35" t="s">
        <v>131</v>
      </c>
      <c r="E35" s="19">
        <v>12039</v>
      </c>
      <c r="F35" s="19">
        <v>10500</v>
      </c>
      <c r="I35" s="18"/>
    </row>
    <row r="36" spans="1:9" x14ac:dyDescent="0.25">
      <c r="A36" s="18">
        <v>45549</v>
      </c>
      <c r="B36" t="s">
        <v>8</v>
      </c>
      <c r="C36" t="s">
        <v>11</v>
      </c>
      <c r="D36" t="s">
        <v>118</v>
      </c>
      <c r="E36" s="19">
        <v>19847</v>
      </c>
      <c r="F36" s="19">
        <v>15715</v>
      </c>
      <c r="I36" s="18"/>
    </row>
    <row r="37" spans="1:9" x14ac:dyDescent="0.25">
      <c r="A37" s="18">
        <v>45550</v>
      </c>
      <c r="B37" t="s">
        <v>22</v>
      </c>
      <c r="C37" t="s">
        <v>5</v>
      </c>
      <c r="D37" t="s">
        <v>132</v>
      </c>
      <c r="E37" s="19">
        <v>24950</v>
      </c>
      <c r="F37" s="19">
        <v>22705</v>
      </c>
      <c r="I37" s="18"/>
    </row>
    <row r="38" spans="1:9" x14ac:dyDescent="0.25">
      <c r="A38" s="18">
        <v>45550</v>
      </c>
      <c r="B38" t="s">
        <v>4</v>
      </c>
      <c r="C38" t="s">
        <v>14</v>
      </c>
      <c r="D38" t="s">
        <v>129</v>
      </c>
      <c r="E38" s="19">
        <v>28177</v>
      </c>
      <c r="F38" s="19">
        <v>24277</v>
      </c>
      <c r="I38" s="18"/>
    </row>
    <row r="39" spans="1:9" x14ac:dyDescent="0.25">
      <c r="A39" s="18">
        <v>45550</v>
      </c>
      <c r="B39" t="s">
        <v>9</v>
      </c>
      <c r="C39" t="s">
        <v>20</v>
      </c>
      <c r="D39" t="s">
        <v>116</v>
      </c>
      <c r="E39" s="19">
        <v>34901</v>
      </c>
      <c r="F39" s="19">
        <v>33009</v>
      </c>
      <c r="I39" s="18"/>
    </row>
    <row r="40" spans="1:9" x14ac:dyDescent="0.25">
      <c r="A40" s="18">
        <v>45550</v>
      </c>
      <c r="B40" t="s">
        <v>15</v>
      </c>
      <c r="C40" t="s">
        <v>13</v>
      </c>
      <c r="D40" t="s">
        <v>122</v>
      </c>
      <c r="E40" s="19">
        <v>16364.999999999998</v>
      </c>
      <c r="F40" s="19">
        <v>15733</v>
      </c>
      <c r="I40" s="18"/>
    </row>
    <row r="41" spans="1:9" x14ac:dyDescent="0.25">
      <c r="A41" s="18">
        <v>45550</v>
      </c>
      <c r="B41" t="s">
        <v>12</v>
      </c>
      <c r="C41" t="s">
        <v>17</v>
      </c>
      <c r="D41" t="s">
        <v>126</v>
      </c>
      <c r="E41" s="19">
        <v>17102</v>
      </c>
      <c r="F41" s="19">
        <v>14541</v>
      </c>
      <c r="I41" s="18"/>
    </row>
    <row r="42" spans="1:9" x14ac:dyDescent="0.25">
      <c r="A42" s="18">
        <v>45551</v>
      </c>
      <c r="B42" t="s">
        <v>18</v>
      </c>
      <c r="C42" t="s">
        <v>23</v>
      </c>
      <c r="D42" t="s">
        <v>119</v>
      </c>
      <c r="E42" s="19">
        <v>70634</v>
      </c>
      <c r="F42" s="19">
        <v>34000</v>
      </c>
      <c r="I42" s="18"/>
    </row>
    <row r="43" spans="1:9" x14ac:dyDescent="0.25">
      <c r="A43" s="18">
        <v>45551</v>
      </c>
      <c r="B43" t="s">
        <v>19</v>
      </c>
      <c r="C43" t="s">
        <v>10</v>
      </c>
      <c r="D43" t="s">
        <v>117</v>
      </c>
      <c r="E43" s="19">
        <v>22352</v>
      </c>
      <c r="F43" s="19">
        <v>17586</v>
      </c>
      <c r="I43" s="18"/>
    </row>
    <row r="44" spans="1:9" x14ac:dyDescent="0.25">
      <c r="A44" s="18">
        <v>45555</v>
      </c>
      <c r="B44" t="s">
        <v>23</v>
      </c>
      <c r="C44" t="s">
        <v>4</v>
      </c>
      <c r="D44" t="s">
        <v>121</v>
      </c>
      <c r="E44" s="19">
        <v>39211</v>
      </c>
      <c r="F44" s="19">
        <v>23000</v>
      </c>
      <c r="I44" s="18"/>
    </row>
    <row r="45" spans="1:9" x14ac:dyDescent="0.25">
      <c r="A45" s="18">
        <v>45555</v>
      </c>
      <c r="B45" t="s">
        <v>15</v>
      </c>
      <c r="C45" t="s">
        <v>8</v>
      </c>
      <c r="D45" t="s">
        <v>122</v>
      </c>
      <c r="E45" s="19">
        <v>16364.999999999998</v>
      </c>
      <c r="F45" s="19">
        <v>15225</v>
      </c>
      <c r="I45" s="18"/>
    </row>
    <row r="46" spans="1:9" x14ac:dyDescent="0.25">
      <c r="A46" s="18">
        <v>45556</v>
      </c>
      <c r="B46" t="s">
        <v>11</v>
      </c>
      <c r="C46" t="s">
        <v>13</v>
      </c>
      <c r="D46" t="s">
        <v>123</v>
      </c>
      <c r="E46" s="19">
        <v>41507</v>
      </c>
      <c r="F46" s="19">
        <v>40295</v>
      </c>
      <c r="I46" s="18"/>
    </row>
    <row r="47" spans="1:9" x14ac:dyDescent="0.25">
      <c r="A47" s="18">
        <v>45556</v>
      </c>
      <c r="B47" t="s">
        <v>14</v>
      </c>
      <c r="C47" t="s">
        <v>19</v>
      </c>
      <c r="D47" t="s">
        <v>124</v>
      </c>
      <c r="E47" s="19">
        <v>31559</v>
      </c>
      <c r="F47" s="19">
        <v>25503</v>
      </c>
      <c r="I47" s="18"/>
    </row>
    <row r="48" spans="1:9" x14ac:dyDescent="0.25">
      <c r="A48" s="18">
        <v>45556</v>
      </c>
      <c r="B48" t="s">
        <v>16</v>
      </c>
      <c r="C48" t="s">
        <v>9</v>
      </c>
      <c r="D48" t="s">
        <v>130</v>
      </c>
      <c r="E48" s="19">
        <v>12048</v>
      </c>
      <c r="F48" s="19">
        <v>10502</v>
      </c>
      <c r="I48" s="18"/>
    </row>
    <row r="49" spans="1:9" x14ac:dyDescent="0.25">
      <c r="A49" s="18">
        <v>45557</v>
      </c>
      <c r="B49" t="s">
        <v>17</v>
      </c>
      <c r="C49" t="s">
        <v>21</v>
      </c>
      <c r="D49" t="s">
        <v>115</v>
      </c>
      <c r="E49" s="19">
        <v>75923</v>
      </c>
      <c r="F49" s="19">
        <v>75366</v>
      </c>
      <c r="I49" s="18"/>
    </row>
    <row r="50" spans="1:9" x14ac:dyDescent="0.25">
      <c r="A50" s="18">
        <v>45557</v>
      </c>
      <c r="B50" t="s">
        <v>20</v>
      </c>
      <c r="C50" t="s">
        <v>10</v>
      </c>
      <c r="D50" t="s">
        <v>119</v>
      </c>
      <c r="E50" s="19">
        <v>70634</v>
      </c>
      <c r="F50" s="19">
        <v>63499</v>
      </c>
      <c r="I50" s="18"/>
    </row>
    <row r="51" spans="1:9" x14ac:dyDescent="0.25">
      <c r="A51" s="18">
        <v>45557</v>
      </c>
      <c r="B51" t="s">
        <v>5</v>
      </c>
      <c r="C51" t="s">
        <v>18</v>
      </c>
      <c r="D51" t="s">
        <v>128</v>
      </c>
      <c r="E51" s="19">
        <v>43147</v>
      </c>
      <c r="F51" s="19">
        <v>19624</v>
      </c>
      <c r="I51" s="18"/>
    </row>
    <row r="52" spans="1:9" x14ac:dyDescent="0.25">
      <c r="A52" s="18">
        <v>45557</v>
      </c>
      <c r="B52" t="s">
        <v>12</v>
      </c>
      <c r="C52" t="s">
        <v>6</v>
      </c>
      <c r="D52" t="s">
        <v>126</v>
      </c>
      <c r="E52" s="19">
        <v>17102</v>
      </c>
      <c r="F52" s="19">
        <v>9991</v>
      </c>
      <c r="I52" s="18"/>
    </row>
    <row r="53" spans="1:9" x14ac:dyDescent="0.25">
      <c r="A53" s="18">
        <v>45559</v>
      </c>
      <c r="B53" t="s">
        <v>22</v>
      </c>
      <c r="C53" t="s">
        <v>7</v>
      </c>
      <c r="D53" t="s">
        <v>132</v>
      </c>
      <c r="E53" s="19">
        <v>24950</v>
      </c>
      <c r="F53" s="19">
        <v>22977</v>
      </c>
      <c r="I53" s="18"/>
    </row>
    <row r="54" spans="1:9" x14ac:dyDescent="0.25">
      <c r="A54" s="18">
        <v>45562</v>
      </c>
      <c r="B54" t="s">
        <v>21</v>
      </c>
      <c r="C54" t="s">
        <v>14</v>
      </c>
      <c r="D54" t="s">
        <v>115</v>
      </c>
      <c r="E54" s="19">
        <v>75923</v>
      </c>
      <c r="F54" s="19">
        <v>71103</v>
      </c>
      <c r="I54" s="18"/>
    </row>
    <row r="55" spans="1:9" x14ac:dyDescent="0.25">
      <c r="A55" s="18">
        <v>45563</v>
      </c>
      <c r="B55" t="s">
        <v>6</v>
      </c>
      <c r="C55" t="s">
        <v>22</v>
      </c>
      <c r="D55" t="s">
        <v>120</v>
      </c>
      <c r="E55" s="19">
        <v>36462</v>
      </c>
      <c r="F55" s="19">
        <v>27126</v>
      </c>
      <c r="I55" s="18"/>
    </row>
    <row r="56" spans="1:9" x14ac:dyDescent="0.25">
      <c r="A56" s="18">
        <v>45563</v>
      </c>
      <c r="B56" t="s">
        <v>10</v>
      </c>
      <c r="C56" t="s">
        <v>17</v>
      </c>
      <c r="D56" t="s">
        <v>125</v>
      </c>
      <c r="E56" s="19">
        <v>25144</v>
      </c>
      <c r="F56" s="19">
        <v>24611</v>
      </c>
      <c r="I56" s="18"/>
    </row>
    <row r="57" spans="1:9" x14ac:dyDescent="0.25">
      <c r="A57" s="18">
        <v>45563</v>
      </c>
      <c r="B57" t="s">
        <v>9</v>
      </c>
      <c r="C57" t="s">
        <v>11</v>
      </c>
      <c r="D57" t="s">
        <v>116</v>
      </c>
      <c r="E57" s="19">
        <v>34901</v>
      </c>
      <c r="F57" s="19">
        <v>26599</v>
      </c>
      <c r="I57" s="18"/>
    </row>
    <row r="58" spans="1:9" x14ac:dyDescent="0.25">
      <c r="A58" s="18">
        <v>45564</v>
      </c>
      <c r="B58" t="s">
        <v>13</v>
      </c>
      <c r="C58" t="s">
        <v>12</v>
      </c>
      <c r="D58" t="s">
        <v>127</v>
      </c>
      <c r="E58" s="19">
        <v>54726</v>
      </c>
      <c r="F58" s="19">
        <v>50500</v>
      </c>
      <c r="I58" s="18"/>
    </row>
    <row r="59" spans="1:9" x14ac:dyDescent="0.25">
      <c r="A59" s="18">
        <v>45564</v>
      </c>
      <c r="B59" t="s">
        <v>20</v>
      </c>
      <c r="C59" t="s">
        <v>16</v>
      </c>
      <c r="D59" t="s">
        <v>119</v>
      </c>
      <c r="E59" s="19">
        <v>70634</v>
      </c>
      <c r="F59" s="19">
        <v>62165</v>
      </c>
      <c r="I59" s="18"/>
    </row>
    <row r="60" spans="1:9" x14ac:dyDescent="0.25">
      <c r="A60" s="18">
        <v>45564</v>
      </c>
      <c r="B60" t="s">
        <v>7</v>
      </c>
      <c r="C60" t="s">
        <v>23</v>
      </c>
      <c r="D60" t="s">
        <v>131</v>
      </c>
      <c r="E60" s="19">
        <v>12039</v>
      </c>
      <c r="F60" s="19">
        <v>10740</v>
      </c>
      <c r="I60" s="18"/>
    </row>
    <row r="61" spans="1:9" x14ac:dyDescent="0.25">
      <c r="A61" s="18">
        <v>45564</v>
      </c>
      <c r="B61" t="s">
        <v>4</v>
      </c>
      <c r="C61" t="s">
        <v>18</v>
      </c>
      <c r="D61" t="s">
        <v>129</v>
      </c>
      <c r="E61" s="19">
        <v>28177</v>
      </c>
      <c r="F61" s="19">
        <v>23130</v>
      </c>
      <c r="I61" s="18"/>
    </row>
    <row r="62" spans="1:9" x14ac:dyDescent="0.25">
      <c r="A62" s="18">
        <v>45564</v>
      </c>
      <c r="B62" t="s">
        <v>8</v>
      </c>
      <c r="C62" t="s">
        <v>5</v>
      </c>
      <c r="D62" t="s">
        <v>118</v>
      </c>
      <c r="E62" s="19">
        <v>19847</v>
      </c>
      <c r="F62" s="19">
        <v>13053</v>
      </c>
      <c r="I62" s="18"/>
    </row>
    <row r="63" spans="1:9" x14ac:dyDescent="0.25">
      <c r="A63" s="18">
        <v>45565</v>
      </c>
      <c r="B63" t="s">
        <v>19</v>
      </c>
      <c r="C63" t="s">
        <v>15</v>
      </c>
      <c r="D63" t="s">
        <v>117</v>
      </c>
      <c r="E63" s="19">
        <v>22352</v>
      </c>
      <c r="F63" s="19">
        <v>17718</v>
      </c>
      <c r="I63" s="18"/>
    </row>
    <row r="64" spans="1:9" x14ac:dyDescent="0.25">
      <c r="A64" s="18">
        <v>45569</v>
      </c>
      <c r="B64" t="s">
        <v>13</v>
      </c>
      <c r="C64" t="s">
        <v>7</v>
      </c>
      <c r="D64" t="s">
        <v>127</v>
      </c>
      <c r="E64" s="19">
        <v>54726</v>
      </c>
      <c r="F64" s="19">
        <v>50900</v>
      </c>
      <c r="I64" s="18"/>
    </row>
    <row r="65" spans="1:9" x14ac:dyDescent="0.25">
      <c r="A65" s="18">
        <v>45569</v>
      </c>
      <c r="B65" t="s">
        <v>23</v>
      </c>
      <c r="C65" t="s">
        <v>16</v>
      </c>
      <c r="D65" t="s">
        <v>121</v>
      </c>
      <c r="E65" s="19">
        <v>39211</v>
      </c>
      <c r="F65" s="19">
        <v>25979</v>
      </c>
      <c r="I65" s="18"/>
    </row>
    <row r="66" spans="1:9" x14ac:dyDescent="0.25">
      <c r="A66" s="18">
        <v>45570</v>
      </c>
      <c r="B66" t="s">
        <v>17</v>
      </c>
      <c r="C66" t="s">
        <v>4</v>
      </c>
      <c r="D66" t="s">
        <v>115</v>
      </c>
      <c r="E66" s="19">
        <v>75923</v>
      </c>
      <c r="F66" s="19">
        <v>73348</v>
      </c>
      <c r="I66" s="18"/>
    </row>
    <row r="67" spans="1:9" x14ac:dyDescent="0.25">
      <c r="A67" s="18">
        <v>45570</v>
      </c>
      <c r="B67" t="s">
        <v>22</v>
      </c>
      <c r="C67" t="s">
        <v>9</v>
      </c>
      <c r="D67" t="s">
        <v>132</v>
      </c>
      <c r="E67" s="19">
        <v>24950</v>
      </c>
      <c r="F67" s="19">
        <v>23138</v>
      </c>
      <c r="I67" s="18"/>
    </row>
    <row r="68" spans="1:9" x14ac:dyDescent="0.25">
      <c r="A68" s="18">
        <v>45570</v>
      </c>
      <c r="B68" t="s">
        <v>10</v>
      </c>
      <c r="C68" t="s">
        <v>14</v>
      </c>
      <c r="D68" t="s">
        <v>125</v>
      </c>
      <c r="E68" s="19">
        <v>25144</v>
      </c>
      <c r="F68" s="19">
        <v>21441</v>
      </c>
      <c r="I68" s="18"/>
    </row>
    <row r="69" spans="1:9" x14ac:dyDescent="0.25">
      <c r="A69" s="18">
        <v>45571</v>
      </c>
      <c r="B69" t="s">
        <v>11</v>
      </c>
      <c r="C69" t="s">
        <v>15</v>
      </c>
      <c r="D69" t="s">
        <v>123</v>
      </c>
      <c r="E69" s="19">
        <v>41507</v>
      </c>
      <c r="F69" s="19">
        <v>40557</v>
      </c>
      <c r="I69" s="18"/>
    </row>
    <row r="70" spans="1:9" x14ac:dyDescent="0.25">
      <c r="A70" s="18">
        <v>45571</v>
      </c>
      <c r="B70" t="s">
        <v>5</v>
      </c>
      <c r="C70" t="s">
        <v>21</v>
      </c>
      <c r="D70" t="s">
        <v>128</v>
      </c>
      <c r="E70" s="19">
        <v>43147</v>
      </c>
      <c r="F70" s="19">
        <v>21923</v>
      </c>
      <c r="I70" s="18"/>
    </row>
    <row r="71" spans="1:9" x14ac:dyDescent="0.25">
      <c r="A71" s="18">
        <v>45571</v>
      </c>
      <c r="B71" t="s">
        <v>18</v>
      </c>
      <c r="C71" t="s">
        <v>8</v>
      </c>
      <c r="D71" t="s">
        <v>119</v>
      </c>
      <c r="E71" s="19">
        <v>70634</v>
      </c>
      <c r="F71" s="19">
        <v>42000</v>
      </c>
      <c r="I71" s="18"/>
    </row>
    <row r="72" spans="1:9" x14ac:dyDescent="0.25">
      <c r="A72" s="18">
        <v>45571</v>
      </c>
      <c r="B72" t="s">
        <v>6</v>
      </c>
      <c r="C72" t="s">
        <v>19</v>
      </c>
      <c r="D72" t="s">
        <v>120</v>
      </c>
      <c r="E72" s="19">
        <v>36462</v>
      </c>
      <c r="F72" s="19">
        <v>28461</v>
      </c>
      <c r="I72" s="18"/>
    </row>
    <row r="73" spans="1:9" x14ac:dyDescent="0.25">
      <c r="A73" s="18">
        <v>45571</v>
      </c>
      <c r="B73" t="s">
        <v>12</v>
      </c>
      <c r="C73" t="s">
        <v>20</v>
      </c>
      <c r="D73" t="s">
        <v>126</v>
      </c>
      <c r="E73" s="19">
        <v>17102</v>
      </c>
      <c r="F73" s="19">
        <v>12021</v>
      </c>
      <c r="I73" s="18"/>
    </row>
    <row r="74" spans="1:9" x14ac:dyDescent="0.25">
      <c r="A74" s="18">
        <v>45584</v>
      </c>
      <c r="B74" t="s">
        <v>11</v>
      </c>
      <c r="C74" t="s">
        <v>18</v>
      </c>
      <c r="D74" t="s">
        <v>123</v>
      </c>
      <c r="E74" s="19">
        <v>41507</v>
      </c>
      <c r="F74" s="19">
        <v>40800</v>
      </c>
      <c r="I74" s="18"/>
    </row>
    <row r="75" spans="1:9" x14ac:dyDescent="0.25">
      <c r="A75" s="18">
        <v>45584</v>
      </c>
      <c r="B75" t="s">
        <v>21</v>
      </c>
      <c r="C75" t="s">
        <v>10</v>
      </c>
      <c r="D75" t="s">
        <v>115</v>
      </c>
      <c r="E75" s="19">
        <v>75923</v>
      </c>
      <c r="F75" s="19">
        <v>71018</v>
      </c>
      <c r="I75" s="18"/>
    </row>
    <row r="76" spans="1:9" x14ac:dyDescent="0.25">
      <c r="A76" s="18">
        <v>45584</v>
      </c>
      <c r="B76" t="s">
        <v>7</v>
      </c>
      <c r="C76" t="s">
        <v>19</v>
      </c>
      <c r="D76" t="s">
        <v>131</v>
      </c>
      <c r="E76" s="19">
        <v>12039</v>
      </c>
      <c r="F76" s="19">
        <v>10114</v>
      </c>
      <c r="I76" s="18"/>
    </row>
    <row r="77" spans="1:9" x14ac:dyDescent="0.25">
      <c r="A77" s="18">
        <v>45584</v>
      </c>
      <c r="B77" t="s">
        <v>9</v>
      </c>
      <c r="C77" t="s">
        <v>6</v>
      </c>
      <c r="D77" t="s">
        <v>116</v>
      </c>
      <c r="E77" s="19">
        <v>34901</v>
      </c>
      <c r="F77" s="19">
        <v>30952</v>
      </c>
      <c r="I77" s="18"/>
    </row>
    <row r="78" spans="1:9" x14ac:dyDescent="0.25">
      <c r="A78" s="18">
        <v>45585</v>
      </c>
      <c r="B78" t="s">
        <v>20</v>
      </c>
      <c r="C78" t="s">
        <v>17</v>
      </c>
      <c r="D78" t="s">
        <v>119</v>
      </c>
      <c r="E78" s="19">
        <v>70634</v>
      </c>
      <c r="F78" s="19">
        <v>64199</v>
      </c>
      <c r="I78" s="18"/>
    </row>
    <row r="79" spans="1:9" x14ac:dyDescent="0.25">
      <c r="A79" s="18">
        <v>45585</v>
      </c>
      <c r="B79" t="s">
        <v>15</v>
      </c>
      <c r="C79" t="s">
        <v>4</v>
      </c>
      <c r="D79" t="s">
        <v>122</v>
      </c>
      <c r="E79" s="19">
        <v>16364.999999999998</v>
      </c>
      <c r="F79" s="19">
        <v>16265</v>
      </c>
      <c r="I79" s="18"/>
    </row>
    <row r="80" spans="1:9" x14ac:dyDescent="0.25">
      <c r="A80" s="18">
        <v>45585</v>
      </c>
      <c r="B80" t="s">
        <v>14</v>
      </c>
      <c r="C80" t="s">
        <v>5</v>
      </c>
      <c r="D80" t="s">
        <v>124</v>
      </c>
      <c r="E80" s="19">
        <v>31559</v>
      </c>
      <c r="F80" s="19">
        <v>25124</v>
      </c>
      <c r="I80" s="18"/>
    </row>
    <row r="81" spans="1:9" x14ac:dyDescent="0.25">
      <c r="A81" s="18">
        <v>45585</v>
      </c>
      <c r="B81" t="s">
        <v>8</v>
      </c>
      <c r="C81" t="s">
        <v>13</v>
      </c>
      <c r="D81" t="s">
        <v>118</v>
      </c>
      <c r="E81" s="19">
        <v>19847</v>
      </c>
      <c r="F81" s="19">
        <v>15164</v>
      </c>
      <c r="I81" s="18"/>
    </row>
    <row r="82" spans="1:9" x14ac:dyDescent="0.25">
      <c r="A82" s="18">
        <v>45585</v>
      </c>
      <c r="B82" t="s">
        <v>16</v>
      </c>
      <c r="C82" t="s">
        <v>22</v>
      </c>
      <c r="D82" t="s">
        <v>130</v>
      </c>
      <c r="E82" s="19">
        <v>12048</v>
      </c>
      <c r="F82" s="19">
        <v>11979</v>
      </c>
      <c r="I82" s="18"/>
    </row>
    <row r="83" spans="1:9" x14ac:dyDescent="0.25">
      <c r="A83" s="18">
        <v>45586</v>
      </c>
      <c r="B83" t="s">
        <v>23</v>
      </c>
      <c r="C83" t="s">
        <v>12</v>
      </c>
      <c r="D83" t="s">
        <v>121</v>
      </c>
      <c r="E83" s="19">
        <v>39211</v>
      </c>
      <c r="F83" s="19">
        <v>24854</v>
      </c>
      <c r="I83" s="18"/>
    </row>
    <row r="84" spans="1:9" x14ac:dyDescent="0.25">
      <c r="A84" s="18">
        <v>45590</v>
      </c>
      <c r="B84" t="s">
        <v>4</v>
      </c>
      <c r="C84" t="s">
        <v>7</v>
      </c>
      <c r="D84" t="s">
        <v>129</v>
      </c>
      <c r="E84" s="19">
        <v>28177</v>
      </c>
      <c r="F84" s="19">
        <v>23571</v>
      </c>
      <c r="I84" s="18"/>
    </row>
    <row r="85" spans="1:9" x14ac:dyDescent="0.25">
      <c r="A85" s="18">
        <v>45590</v>
      </c>
      <c r="B85" t="s">
        <v>10</v>
      </c>
      <c r="C85" t="s">
        <v>15</v>
      </c>
      <c r="D85" t="s">
        <v>125</v>
      </c>
      <c r="E85" s="19">
        <v>25144</v>
      </c>
      <c r="F85" s="19">
        <v>21095</v>
      </c>
      <c r="I85" s="18"/>
    </row>
    <row r="86" spans="1:9" x14ac:dyDescent="0.25">
      <c r="A86" s="18">
        <v>45591</v>
      </c>
      <c r="B86" t="s">
        <v>13</v>
      </c>
      <c r="C86" t="s">
        <v>14</v>
      </c>
      <c r="D86" t="s">
        <v>127</v>
      </c>
      <c r="E86" s="19">
        <v>54726</v>
      </c>
      <c r="F86" s="19">
        <v>51103</v>
      </c>
      <c r="I86" s="18"/>
    </row>
    <row r="87" spans="1:9" x14ac:dyDescent="0.25">
      <c r="A87" s="18">
        <v>45591</v>
      </c>
      <c r="B87" t="s">
        <v>22</v>
      </c>
      <c r="C87" t="s">
        <v>23</v>
      </c>
      <c r="D87" t="s">
        <v>132</v>
      </c>
      <c r="E87" s="19">
        <v>24950</v>
      </c>
      <c r="F87" s="19">
        <v>23015</v>
      </c>
      <c r="I87" s="18"/>
    </row>
    <row r="88" spans="1:9" x14ac:dyDescent="0.25">
      <c r="A88" s="18">
        <v>45592</v>
      </c>
      <c r="B88" t="s">
        <v>17</v>
      </c>
      <c r="C88" t="s">
        <v>11</v>
      </c>
      <c r="D88" t="s">
        <v>115</v>
      </c>
      <c r="E88" s="19">
        <v>75923</v>
      </c>
      <c r="F88" s="19">
        <v>75056</v>
      </c>
      <c r="I88" s="18"/>
    </row>
    <row r="89" spans="1:9" x14ac:dyDescent="0.25">
      <c r="A89" s="18">
        <v>45592</v>
      </c>
      <c r="B89" t="s">
        <v>5</v>
      </c>
      <c r="C89" t="s">
        <v>20</v>
      </c>
      <c r="D89" t="s">
        <v>128</v>
      </c>
      <c r="E89" s="19">
        <v>43147</v>
      </c>
      <c r="F89" s="19">
        <v>20440</v>
      </c>
      <c r="I89" s="18"/>
    </row>
    <row r="90" spans="1:9" x14ac:dyDescent="0.25">
      <c r="A90" s="18">
        <v>45592</v>
      </c>
      <c r="B90" t="s">
        <v>18</v>
      </c>
      <c r="C90" t="s">
        <v>9</v>
      </c>
      <c r="D90" t="s">
        <v>119</v>
      </c>
      <c r="E90" s="19">
        <v>70634</v>
      </c>
      <c r="F90" s="19">
        <v>43000</v>
      </c>
      <c r="I90" s="18"/>
    </row>
    <row r="91" spans="1:9" x14ac:dyDescent="0.25">
      <c r="A91" s="18">
        <v>45592</v>
      </c>
      <c r="B91" t="s">
        <v>19</v>
      </c>
      <c r="C91" t="s">
        <v>8</v>
      </c>
      <c r="D91" t="s">
        <v>117</v>
      </c>
      <c r="E91" s="19">
        <v>22352</v>
      </c>
      <c r="F91" s="19">
        <v>17802</v>
      </c>
      <c r="I91" s="18"/>
    </row>
    <row r="92" spans="1:9" x14ac:dyDescent="0.25">
      <c r="A92" s="18">
        <v>45592</v>
      </c>
      <c r="B92" t="s">
        <v>12</v>
      </c>
      <c r="C92" t="s">
        <v>16</v>
      </c>
      <c r="D92" t="s">
        <v>126</v>
      </c>
      <c r="E92" s="19">
        <v>17102</v>
      </c>
      <c r="F92" s="19">
        <v>10141</v>
      </c>
      <c r="I92" s="18"/>
    </row>
    <row r="93" spans="1:9" x14ac:dyDescent="0.25">
      <c r="A93" s="18">
        <v>45594</v>
      </c>
      <c r="B93" t="s">
        <v>21</v>
      </c>
      <c r="C93" t="s">
        <v>13</v>
      </c>
      <c r="D93" t="s">
        <v>115</v>
      </c>
      <c r="E93" s="19">
        <v>75923</v>
      </c>
      <c r="F93" s="19">
        <v>73507</v>
      </c>
      <c r="I93" s="18"/>
    </row>
    <row r="94" spans="1:9" x14ac:dyDescent="0.25">
      <c r="A94" s="18">
        <v>45594</v>
      </c>
      <c r="B94" t="s">
        <v>15</v>
      </c>
      <c r="C94" t="s">
        <v>6</v>
      </c>
      <c r="D94" t="s">
        <v>122</v>
      </c>
      <c r="E94" s="19">
        <v>16364.999999999998</v>
      </c>
      <c r="F94" s="19">
        <v>15977</v>
      </c>
      <c r="I94" s="18"/>
    </row>
    <row r="95" spans="1:9" x14ac:dyDescent="0.25">
      <c r="A95" s="18">
        <v>45594</v>
      </c>
      <c r="B95" t="s">
        <v>14</v>
      </c>
      <c r="C95" t="s">
        <v>23</v>
      </c>
      <c r="D95" t="s">
        <v>124</v>
      </c>
      <c r="E95" s="19">
        <v>31559</v>
      </c>
      <c r="F95" s="19">
        <v>23698</v>
      </c>
      <c r="I95" s="18"/>
    </row>
    <row r="96" spans="1:9" x14ac:dyDescent="0.25">
      <c r="A96" s="18">
        <v>45595</v>
      </c>
      <c r="B96" t="s">
        <v>22</v>
      </c>
      <c r="C96" t="s">
        <v>12</v>
      </c>
      <c r="D96" t="s">
        <v>132</v>
      </c>
      <c r="E96" s="19">
        <v>24950</v>
      </c>
      <c r="F96" s="19">
        <v>22142</v>
      </c>
      <c r="I96" s="18"/>
    </row>
    <row r="97" spans="1:9" x14ac:dyDescent="0.25">
      <c r="A97" s="18">
        <v>45595</v>
      </c>
      <c r="B97" t="s">
        <v>11</v>
      </c>
      <c r="C97" t="s">
        <v>19</v>
      </c>
      <c r="D97" t="s">
        <v>123</v>
      </c>
      <c r="E97" s="19">
        <v>41507</v>
      </c>
      <c r="F97" s="19">
        <v>40809</v>
      </c>
      <c r="I97" s="18"/>
    </row>
    <row r="98" spans="1:9" x14ac:dyDescent="0.25">
      <c r="A98" s="18">
        <v>45595</v>
      </c>
      <c r="B98" t="s">
        <v>8</v>
      </c>
      <c r="C98" t="s">
        <v>17</v>
      </c>
      <c r="D98" t="s">
        <v>118</v>
      </c>
      <c r="E98" s="19">
        <v>19847</v>
      </c>
      <c r="F98" s="19">
        <v>15076</v>
      </c>
      <c r="I98" s="18"/>
    </row>
    <row r="99" spans="1:9" x14ac:dyDescent="0.25">
      <c r="A99" s="18">
        <v>45595</v>
      </c>
      <c r="B99" t="s">
        <v>16</v>
      </c>
      <c r="C99" t="s">
        <v>10</v>
      </c>
      <c r="D99" t="s">
        <v>130</v>
      </c>
      <c r="E99" s="19">
        <v>12048</v>
      </c>
      <c r="F99" s="19">
        <v>10465</v>
      </c>
      <c r="I99" s="18"/>
    </row>
    <row r="100" spans="1:9" x14ac:dyDescent="0.25">
      <c r="A100" s="18">
        <v>45596</v>
      </c>
      <c r="B100" t="s">
        <v>20</v>
      </c>
      <c r="C100" t="s">
        <v>4</v>
      </c>
      <c r="D100" t="s">
        <v>119</v>
      </c>
      <c r="E100" s="19">
        <v>70634</v>
      </c>
      <c r="F100" s="19">
        <v>60920</v>
      </c>
      <c r="I100" s="18"/>
    </row>
    <row r="101" spans="1:9" x14ac:dyDescent="0.25">
      <c r="A101" s="18">
        <v>45596</v>
      </c>
      <c r="B101" t="s">
        <v>7</v>
      </c>
      <c r="C101" t="s">
        <v>18</v>
      </c>
      <c r="D101" t="s">
        <v>131</v>
      </c>
      <c r="E101" s="19">
        <v>12039</v>
      </c>
      <c r="F101" s="19">
        <v>10750</v>
      </c>
      <c r="I101" s="18"/>
    </row>
    <row r="102" spans="1:9" x14ac:dyDescent="0.25">
      <c r="A102" s="18">
        <v>45596</v>
      </c>
      <c r="B102" t="s">
        <v>9</v>
      </c>
      <c r="C102" t="s">
        <v>5</v>
      </c>
      <c r="D102" t="s">
        <v>116</v>
      </c>
      <c r="E102" s="19">
        <v>34901</v>
      </c>
      <c r="F102" s="19">
        <v>30254</v>
      </c>
      <c r="I102" s="18"/>
    </row>
    <row r="103" spans="1:9" x14ac:dyDescent="0.25">
      <c r="A103" s="18">
        <v>45598</v>
      </c>
      <c r="B103" t="s">
        <v>6</v>
      </c>
      <c r="C103" t="s">
        <v>14</v>
      </c>
      <c r="D103" t="s">
        <v>120</v>
      </c>
      <c r="E103" s="19">
        <v>36462</v>
      </c>
      <c r="F103" s="19">
        <v>25000</v>
      </c>
      <c r="I103" s="18"/>
    </row>
    <row r="104" spans="1:9" x14ac:dyDescent="0.25">
      <c r="A104" s="18">
        <v>45598</v>
      </c>
      <c r="B104" t="s">
        <v>10</v>
      </c>
      <c r="C104" t="s">
        <v>11</v>
      </c>
      <c r="D104" t="s">
        <v>125</v>
      </c>
      <c r="E104" s="19">
        <v>25144</v>
      </c>
      <c r="F104" s="19">
        <v>24990</v>
      </c>
      <c r="I104" s="18"/>
    </row>
    <row r="105" spans="1:9" x14ac:dyDescent="0.25">
      <c r="A105" s="18">
        <v>45598</v>
      </c>
      <c r="B105" t="s">
        <v>12</v>
      </c>
      <c r="C105" t="s">
        <v>21</v>
      </c>
      <c r="D105" t="s">
        <v>126</v>
      </c>
      <c r="E105" s="19">
        <v>17102</v>
      </c>
      <c r="F105" s="19">
        <v>17000</v>
      </c>
      <c r="I105" s="18"/>
    </row>
    <row r="106" spans="1:9" x14ac:dyDescent="0.25">
      <c r="A106" s="18">
        <v>45599</v>
      </c>
      <c r="B106" t="s">
        <v>13</v>
      </c>
      <c r="C106" t="s">
        <v>22</v>
      </c>
      <c r="D106" t="s">
        <v>127</v>
      </c>
      <c r="E106" s="19">
        <v>54726</v>
      </c>
      <c r="F106" s="19">
        <v>50873</v>
      </c>
      <c r="I106" s="18"/>
    </row>
    <row r="107" spans="1:9" x14ac:dyDescent="0.25">
      <c r="A107" s="18">
        <v>45599</v>
      </c>
      <c r="B107" t="s">
        <v>17</v>
      </c>
      <c r="C107" t="s">
        <v>16</v>
      </c>
      <c r="D107" t="s">
        <v>115</v>
      </c>
      <c r="E107" s="19">
        <v>75923</v>
      </c>
      <c r="F107" s="19">
        <v>66326</v>
      </c>
      <c r="I107" s="18"/>
    </row>
    <row r="108" spans="1:9" x14ac:dyDescent="0.25">
      <c r="A108" s="18">
        <v>45599</v>
      </c>
      <c r="B108" t="s">
        <v>4</v>
      </c>
      <c r="C108" t="s">
        <v>5</v>
      </c>
      <c r="D108" t="s">
        <v>129</v>
      </c>
      <c r="E108" s="19">
        <v>28177</v>
      </c>
      <c r="F108" s="19">
        <v>23326</v>
      </c>
      <c r="I108" s="18"/>
    </row>
    <row r="109" spans="1:9" x14ac:dyDescent="0.25">
      <c r="A109" s="18">
        <v>45599</v>
      </c>
      <c r="B109" t="s">
        <v>23</v>
      </c>
      <c r="C109" t="s">
        <v>20</v>
      </c>
      <c r="D109" t="s">
        <v>121</v>
      </c>
      <c r="E109" s="19">
        <v>39211</v>
      </c>
      <c r="F109" s="19">
        <v>28185</v>
      </c>
      <c r="I109" s="18"/>
    </row>
    <row r="110" spans="1:9" x14ac:dyDescent="0.25">
      <c r="A110" s="18">
        <v>45600</v>
      </c>
      <c r="B110" t="s">
        <v>18</v>
      </c>
      <c r="C110" t="s">
        <v>15</v>
      </c>
      <c r="D110" t="s">
        <v>119</v>
      </c>
      <c r="E110" s="19">
        <v>70634</v>
      </c>
      <c r="F110" s="19">
        <v>36000</v>
      </c>
      <c r="I110" s="18"/>
    </row>
    <row r="111" spans="1:9" x14ac:dyDescent="0.25">
      <c r="A111" s="18">
        <v>45600</v>
      </c>
      <c r="B111" t="s">
        <v>19</v>
      </c>
      <c r="C111" t="s">
        <v>9</v>
      </c>
      <c r="D111" t="s">
        <v>117</v>
      </c>
      <c r="E111" s="19">
        <v>22352</v>
      </c>
      <c r="F111" s="19">
        <v>16151</v>
      </c>
      <c r="I111" s="18"/>
    </row>
    <row r="112" spans="1:9" x14ac:dyDescent="0.25">
      <c r="A112" s="18">
        <v>45600</v>
      </c>
      <c r="B112" t="s">
        <v>8</v>
      </c>
      <c r="C112" t="s">
        <v>7</v>
      </c>
      <c r="D112" t="s">
        <v>118</v>
      </c>
      <c r="E112" s="19">
        <v>19847</v>
      </c>
      <c r="F112" s="19">
        <v>8102</v>
      </c>
      <c r="I112" s="18"/>
    </row>
    <row r="113" spans="1:9" x14ac:dyDescent="0.25">
      <c r="A113" s="18">
        <v>45603</v>
      </c>
      <c r="B113" t="s">
        <v>9</v>
      </c>
      <c r="C113" t="s">
        <v>7</v>
      </c>
      <c r="D113" t="s">
        <v>116</v>
      </c>
      <c r="E113" s="19">
        <v>34901</v>
      </c>
      <c r="F113" s="19">
        <v>30708</v>
      </c>
      <c r="I113" s="18"/>
    </row>
    <row r="114" spans="1:9" x14ac:dyDescent="0.25">
      <c r="A114" s="18">
        <v>45604</v>
      </c>
      <c r="B114" t="s">
        <v>14</v>
      </c>
      <c r="C114" t="s">
        <v>8</v>
      </c>
      <c r="D114" t="s">
        <v>124</v>
      </c>
      <c r="E114" s="19">
        <v>31559</v>
      </c>
      <c r="F114" s="19">
        <v>23907</v>
      </c>
      <c r="I114" s="18"/>
    </row>
    <row r="115" spans="1:9" x14ac:dyDescent="0.25">
      <c r="A115" s="18">
        <v>45605</v>
      </c>
      <c r="B115" t="s">
        <v>11</v>
      </c>
      <c r="C115" t="s">
        <v>4</v>
      </c>
      <c r="D115" t="s">
        <v>123</v>
      </c>
      <c r="E115" s="19">
        <v>41507</v>
      </c>
      <c r="F115" s="19">
        <v>41066</v>
      </c>
      <c r="I115" s="18"/>
    </row>
    <row r="116" spans="1:9" x14ac:dyDescent="0.25">
      <c r="A116" s="18">
        <v>45605</v>
      </c>
      <c r="B116" t="s">
        <v>15</v>
      </c>
      <c r="C116" t="s">
        <v>21</v>
      </c>
      <c r="D116" t="s">
        <v>122</v>
      </c>
      <c r="E116" s="19">
        <v>16364.999999999998</v>
      </c>
      <c r="F116" s="19">
        <v>16271</v>
      </c>
      <c r="I116" s="18"/>
    </row>
    <row r="117" spans="1:9" x14ac:dyDescent="0.25">
      <c r="A117" s="18">
        <v>45605</v>
      </c>
      <c r="B117" t="s">
        <v>16</v>
      </c>
      <c r="C117" t="s">
        <v>19</v>
      </c>
      <c r="D117" t="s">
        <v>130</v>
      </c>
      <c r="E117" s="19">
        <v>12048</v>
      </c>
      <c r="F117" s="19">
        <v>10866</v>
      </c>
      <c r="I117" s="18"/>
    </row>
    <row r="118" spans="1:9" x14ac:dyDescent="0.25">
      <c r="A118" s="18">
        <v>45606</v>
      </c>
      <c r="B118" t="s">
        <v>17</v>
      </c>
      <c r="C118" t="s">
        <v>13</v>
      </c>
      <c r="D118" t="s">
        <v>115</v>
      </c>
      <c r="E118" s="19">
        <v>75923</v>
      </c>
      <c r="F118" s="19">
        <v>72951</v>
      </c>
      <c r="I118" s="18"/>
    </row>
    <row r="119" spans="1:9" x14ac:dyDescent="0.25">
      <c r="A119" s="18">
        <v>45606</v>
      </c>
      <c r="B119" t="s">
        <v>22</v>
      </c>
      <c r="C119" t="s">
        <v>10</v>
      </c>
      <c r="D119" t="s">
        <v>132</v>
      </c>
      <c r="E119" s="19">
        <v>24950</v>
      </c>
      <c r="F119" s="19">
        <v>22884</v>
      </c>
      <c r="I119" s="18"/>
    </row>
    <row r="120" spans="1:9" x14ac:dyDescent="0.25">
      <c r="A120" s="18">
        <v>45606</v>
      </c>
      <c r="B120" t="s">
        <v>20</v>
      </c>
      <c r="C120" t="s">
        <v>6</v>
      </c>
      <c r="D120" t="s">
        <v>119</v>
      </c>
      <c r="E120" s="19">
        <v>70634</v>
      </c>
      <c r="F120" s="19">
        <v>60681</v>
      </c>
      <c r="I120" s="18"/>
    </row>
    <row r="121" spans="1:9" x14ac:dyDescent="0.25">
      <c r="A121" s="18">
        <v>45606</v>
      </c>
      <c r="B121" t="s">
        <v>5</v>
      </c>
      <c r="C121" t="s">
        <v>23</v>
      </c>
      <c r="D121" t="s">
        <v>128</v>
      </c>
      <c r="E121" s="19">
        <v>43147</v>
      </c>
      <c r="F121" s="19">
        <v>22495</v>
      </c>
      <c r="I121" s="18"/>
    </row>
    <row r="122" spans="1:9" x14ac:dyDescent="0.25">
      <c r="A122" s="18">
        <v>45606</v>
      </c>
      <c r="B122" t="s">
        <v>12</v>
      </c>
      <c r="C122" t="s">
        <v>18</v>
      </c>
      <c r="D122" t="s">
        <v>126</v>
      </c>
      <c r="E122" s="19">
        <v>17102</v>
      </c>
      <c r="F122" s="19">
        <v>11706</v>
      </c>
      <c r="I122" s="18"/>
    </row>
    <row r="123" spans="1:9" x14ac:dyDescent="0.25">
      <c r="A123" s="18">
        <v>45619</v>
      </c>
      <c r="B123" t="s">
        <v>21</v>
      </c>
      <c r="C123" t="s">
        <v>11</v>
      </c>
      <c r="D123" t="s">
        <v>115</v>
      </c>
      <c r="E123" s="19">
        <v>75923</v>
      </c>
      <c r="F123" s="19">
        <v>75502</v>
      </c>
      <c r="I123" s="18"/>
    </row>
    <row r="124" spans="1:9" x14ac:dyDescent="0.25">
      <c r="A124" s="18">
        <v>45619</v>
      </c>
      <c r="B124" t="s">
        <v>23</v>
      </c>
      <c r="C124" t="s">
        <v>17</v>
      </c>
      <c r="D124" t="s">
        <v>121</v>
      </c>
      <c r="E124" s="19">
        <v>39211</v>
      </c>
      <c r="F124" s="19">
        <v>27141</v>
      </c>
      <c r="I124" s="18"/>
    </row>
    <row r="125" spans="1:9" x14ac:dyDescent="0.25">
      <c r="A125" s="18">
        <v>45619</v>
      </c>
      <c r="B125" t="s">
        <v>19</v>
      </c>
      <c r="C125" t="s">
        <v>22</v>
      </c>
      <c r="D125" t="s">
        <v>117</v>
      </c>
      <c r="E125" s="19">
        <v>22352</v>
      </c>
      <c r="F125" s="19">
        <v>18790</v>
      </c>
      <c r="I125" s="18"/>
    </row>
    <row r="126" spans="1:9" x14ac:dyDescent="0.25">
      <c r="A126" s="18">
        <v>45620</v>
      </c>
      <c r="B126" t="s">
        <v>13</v>
      </c>
      <c r="C126" t="s">
        <v>20</v>
      </c>
      <c r="D126" t="s">
        <v>127</v>
      </c>
      <c r="E126" s="19">
        <v>54726</v>
      </c>
      <c r="F126" s="19">
        <v>51164</v>
      </c>
      <c r="I126" s="18"/>
    </row>
    <row r="127" spans="1:9" x14ac:dyDescent="0.25">
      <c r="A127" s="18">
        <v>45620</v>
      </c>
      <c r="B127" t="s">
        <v>18</v>
      </c>
      <c r="C127" t="s">
        <v>6</v>
      </c>
      <c r="D127" t="s">
        <v>119</v>
      </c>
      <c r="E127" s="19">
        <v>70634</v>
      </c>
      <c r="F127" s="19">
        <v>40000</v>
      </c>
      <c r="I127" s="18"/>
    </row>
    <row r="128" spans="1:9" x14ac:dyDescent="0.25">
      <c r="A128" s="18">
        <v>45620</v>
      </c>
      <c r="B128" t="s">
        <v>7</v>
      </c>
      <c r="C128" t="s">
        <v>5</v>
      </c>
      <c r="D128" t="s">
        <v>131</v>
      </c>
      <c r="E128" s="19">
        <v>12039</v>
      </c>
      <c r="F128" s="19">
        <v>8500</v>
      </c>
      <c r="I128" s="18"/>
    </row>
    <row r="129" spans="1:9" x14ac:dyDescent="0.25">
      <c r="A129" s="18">
        <v>45620</v>
      </c>
      <c r="B129" t="s">
        <v>4</v>
      </c>
      <c r="C129" t="s">
        <v>12</v>
      </c>
      <c r="D129" t="s">
        <v>129</v>
      </c>
      <c r="E129" s="19">
        <v>28177</v>
      </c>
      <c r="F129" s="19">
        <v>21944</v>
      </c>
      <c r="I129" s="18"/>
    </row>
    <row r="130" spans="1:9" x14ac:dyDescent="0.25">
      <c r="A130" s="18">
        <v>45620</v>
      </c>
      <c r="B130" t="s">
        <v>9</v>
      </c>
      <c r="C130" t="s">
        <v>15</v>
      </c>
      <c r="D130" t="s">
        <v>116</v>
      </c>
      <c r="E130" s="19">
        <v>34901</v>
      </c>
      <c r="F130" s="19">
        <v>21070</v>
      </c>
      <c r="I130" s="18"/>
    </row>
    <row r="131" spans="1:9" x14ac:dyDescent="0.25">
      <c r="A131" s="18">
        <v>45621</v>
      </c>
      <c r="B131" t="s">
        <v>8</v>
      </c>
      <c r="C131" t="s">
        <v>10</v>
      </c>
      <c r="D131" t="s">
        <v>118</v>
      </c>
      <c r="E131" s="19">
        <v>19847</v>
      </c>
      <c r="F131" s="19">
        <v>1449</v>
      </c>
      <c r="I131" s="18"/>
    </row>
    <row r="132" spans="1:9" x14ac:dyDescent="0.25">
      <c r="A132" s="18">
        <v>45621</v>
      </c>
      <c r="B132" t="s">
        <v>16</v>
      </c>
      <c r="C132" t="s">
        <v>14</v>
      </c>
      <c r="D132" t="s">
        <v>130</v>
      </c>
      <c r="E132" s="19">
        <v>12048</v>
      </c>
      <c r="F132" s="19">
        <v>9448</v>
      </c>
      <c r="I132" s="18"/>
    </row>
    <row r="133" spans="1:9" x14ac:dyDescent="0.25">
      <c r="A133" s="18">
        <v>45625</v>
      </c>
      <c r="B133" t="s">
        <v>15</v>
      </c>
      <c r="C133" t="s">
        <v>23</v>
      </c>
      <c r="D133" t="s">
        <v>122</v>
      </c>
      <c r="E133" s="19">
        <v>16364.999999999998</v>
      </c>
      <c r="F133" s="19">
        <v>16162</v>
      </c>
      <c r="I133" s="18"/>
    </row>
    <row r="134" spans="1:9" x14ac:dyDescent="0.25">
      <c r="A134" s="18">
        <v>45626</v>
      </c>
      <c r="B134" t="s">
        <v>21</v>
      </c>
      <c r="C134" t="s">
        <v>8</v>
      </c>
      <c r="D134" t="s">
        <v>115</v>
      </c>
      <c r="E134" s="19">
        <v>75923</v>
      </c>
      <c r="F134" s="19">
        <v>68725</v>
      </c>
      <c r="I134" s="18"/>
    </row>
    <row r="135" spans="1:9" x14ac:dyDescent="0.25">
      <c r="A135" s="18">
        <v>45626</v>
      </c>
      <c r="B135" t="s">
        <v>6</v>
      </c>
      <c r="C135" t="s">
        <v>16</v>
      </c>
      <c r="D135" t="s">
        <v>120</v>
      </c>
      <c r="E135" s="19">
        <v>36462</v>
      </c>
      <c r="F135" s="19">
        <v>24866</v>
      </c>
      <c r="I135" s="18"/>
    </row>
    <row r="136" spans="1:9" x14ac:dyDescent="0.25">
      <c r="A136" s="18">
        <v>45626</v>
      </c>
      <c r="B136" t="s">
        <v>7</v>
      </c>
      <c r="C136" t="s">
        <v>12</v>
      </c>
      <c r="D136" t="s">
        <v>131</v>
      </c>
      <c r="E136" s="19">
        <v>12039</v>
      </c>
      <c r="F136" s="19">
        <v>9749</v>
      </c>
      <c r="I136" s="18"/>
    </row>
    <row r="137" spans="1:9" x14ac:dyDescent="0.25">
      <c r="A137" s="18">
        <v>45627</v>
      </c>
      <c r="B137" t="s">
        <v>4</v>
      </c>
      <c r="C137" t="s">
        <v>13</v>
      </c>
      <c r="D137" t="s">
        <v>129</v>
      </c>
      <c r="E137" s="19">
        <v>28177</v>
      </c>
      <c r="F137" s="19">
        <v>25060</v>
      </c>
      <c r="I137" s="18"/>
    </row>
    <row r="138" spans="1:9" x14ac:dyDescent="0.25">
      <c r="A138" s="18">
        <v>45627</v>
      </c>
      <c r="B138" t="s">
        <v>10</v>
      </c>
      <c r="C138" t="s">
        <v>9</v>
      </c>
      <c r="D138" t="s">
        <v>125</v>
      </c>
      <c r="E138" s="19">
        <v>25144</v>
      </c>
      <c r="F138" s="19">
        <v>21995</v>
      </c>
      <c r="I138" s="18"/>
    </row>
    <row r="139" spans="1:9" x14ac:dyDescent="0.25">
      <c r="A139" s="18">
        <v>45627</v>
      </c>
      <c r="B139" t="s">
        <v>19</v>
      </c>
      <c r="C139" t="s">
        <v>18</v>
      </c>
      <c r="D139" t="s">
        <v>117</v>
      </c>
      <c r="E139" s="19">
        <v>22352</v>
      </c>
      <c r="F139" s="19">
        <v>22885</v>
      </c>
      <c r="I139" s="18"/>
    </row>
    <row r="140" spans="1:9" x14ac:dyDescent="0.25">
      <c r="A140" s="18">
        <v>45627</v>
      </c>
      <c r="B140" t="s">
        <v>14</v>
      </c>
      <c r="C140" t="s">
        <v>11</v>
      </c>
      <c r="D140" t="s">
        <v>124</v>
      </c>
      <c r="E140" s="19">
        <v>31559</v>
      </c>
      <c r="F140" s="19">
        <v>27080</v>
      </c>
      <c r="I140" s="18"/>
    </row>
    <row r="141" spans="1:9" x14ac:dyDescent="0.25">
      <c r="A141" s="18">
        <v>45628</v>
      </c>
      <c r="B141" t="s">
        <v>20</v>
      </c>
      <c r="C141" t="s">
        <v>22</v>
      </c>
      <c r="D141" t="s">
        <v>119</v>
      </c>
      <c r="E141" s="19">
        <v>70634</v>
      </c>
      <c r="F141" s="19">
        <v>55772</v>
      </c>
      <c r="I141" s="18"/>
    </row>
    <row r="142" spans="1:9" x14ac:dyDescent="0.25">
      <c r="A142" s="18">
        <v>45632</v>
      </c>
      <c r="B142" t="s">
        <v>17</v>
      </c>
      <c r="C142" t="s">
        <v>19</v>
      </c>
      <c r="D142" t="s">
        <v>115</v>
      </c>
      <c r="E142" s="19">
        <v>75923</v>
      </c>
      <c r="F142" s="19">
        <v>71879</v>
      </c>
      <c r="I142" s="18"/>
    </row>
    <row r="143" spans="1:9" x14ac:dyDescent="0.25">
      <c r="A143" s="18">
        <v>45632</v>
      </c>
      <c r="B143" t="s">
        <v>22</v>
      </c>
      <c r="C143" t="s">
        <v>21</v>
      </c>
      <c r="D143" t="s">
        <v>132</v>
      </c>
      <c r="E143" s="19">
        <v>24950</v>
      </c>
      <c r="F143" s="19">
        <v>22606</v>
      </c>
      <c r="I143" s="18"/>
    </row>
    <row r="144" spans="1:9" x14ac:dyDescent="0.25">
      <c r="A144" s="18">
        <v>45633</v>
      </c>
      <c r="B144" t="s">
        <v>11</v>
      </c>
      <c r="C144" t="s">
        <v>6</v>
      </c>
      <c r="D144" t="s">
        <v>123</v>
      </c>
      <c r="E144" s="19">
        <v>41507</v>
      </c>
      <c r="F144" s="19">
        <v>40748</v>
      </c>
      <c r="I144" s="18"/>
    </row>
    <row r="145" spans="1:9" x14ac:dyDescent="0.25">
      <c r="A145" s="18">
        <v>45633</v>
      </c>
      <c r="B145" t="s">
        <v>20</v>
      </c>
      <c r="C145" t="s">
        <v>14</v>
      </c>
      <c r="D145" t="s">
        <v>119</v>
      </c>
      <c r="E145" s="19">
        <v>70634</v>
      </c>
      <c r="F145" s="19">
        <v>58213</v>
      </c>
      <c r="I145" s="18"/>
    </row>
    <row r="146" spans="1:9" x14ac:dyDescent="0.25">
      <c r="A146" s="18">
        <v>45633</v>
      </c>
      <c r="B146" t="s">
        <v>9</v>
      </c>
      <c r="C146" t="s">
        <v>4</v>
      </c>
      <c r="D146" t="s">
        <v>116</v>
      </c>
      <c r="E146" s="19">
        <v>34901</v>
      </c>
      <c r="F146" s="19">
        <v>32363</v>
      </c>
      <c r="I146" s="18"/>
    </row>
    <row r="147" spans="1:9" x14ac:dyDescent="0.25">
      <c r="A147" s="18">
        <v>45634</v>
      </c>
      <c r="B147" t="s">
        <v>13</v>
      </c>
      <c r="C147" t="s">
        <v>18</v>
      </c>
      <c r="D147" t="s">
        <v>127</v>
      </c>
      <c r="E147" s="19">
        <v>54726</v>
      </c>
      <c r="F147" s="19">
        <v>50000</v>
      </c>
      <c r="I147" s="18"/>
    </row>
    <row r="148" spans="1:9" x14ac:dyDescent="0.25">
      <c r="A148" s="18">
        <v>45634</v>
      </c>
      <c r="B148" t="s">
        <v>5</v>
      </c>
      <c r="C148" t="s">
        <v>15</v>
      </c>
      <c r="D148" t="s">
        <v>128</v>
      </c>
      <c r="E148" s="19">
        <v>43147</v>
      </c>
      <c r="F148" s="19">
        <v>19851</v>
      </c>
      <c r="I148" s="18"/>
    </row>
    <row r="149" spans="1:9" x14ac:dyDescent="0.25">
      <c r="A149" s="18">
        <v>45634</v>
      </c>
      <c r="B149" t="s">
        <v>23</v>
      </c>
      <c r="C149" t="s">
        <v>8</v>
      </c>
      <c r="D149" t="s">
        <v>121</v>
      </c>
      <c r="E149" s="19">
        <v>39211</v>
      </c>
      <c r="F149" s="19">
        <v>23949</v>
      </c>
      <c r="I149" s="18"/>
    </row>
    <row r="150" spans="1:9" x14ac:dyDescent="0.25">
      <c r="A150" s="18">
        <v>45634</v>
      </c>
      <c r="B150" t="s">
        <v>16</v>
      </c>
      <c r="C150" t="s">
        <v>7</v>
      </c>
      <c r="D150" t="s">
        <v>130</v>
      </c>
      <c r="E150" s="19">
        <v>12048</v>
      </c>
      <c r="F150" s="19">
        <v>8026</v>
      </c>
      <c r="I150" s="18"/>
    </row>
    <row r="151" spans="1:9" x14ac:dyDescent="0.25">
      <c r="A151" s="18">
        <v>45635</v>
      </c>
      <c r="B151" t="s">
        <v>12</v>
      </c>
      <c r="C151" t="s">
        <v>10</v>
      </c>
      <c r="D151" t="s">
        <v>126</v>
      </c>
      <c r="E151" s="19">
        <v>17102</v>
      </c>
      <c r="F151" s="19">
        <v>9317</v>
      </c>
      <c r="I151" s="18"/>
    </row>
    <row r="152" spans="1:9" x14ac:dyDescent="0.25">
      <c r="A152" s="18">
        <v>45639</v>
      </c>
      <c r="B152" t="s">
        <v>8</v>
      </c>
      <c r="C152" t="s">
        <v>4</v>
      </c>
      <c r="D152" t="s">
        <v>118</v>
      </c>
      <c r="E152" s="19">
        <v>19847</v>
      </c>
      <c r="F152" s="19">
        <v>7832</v>
      </c>
      <c r="I152" s="18"/>
    </row>
    <row r="153" spans="1:9" x14ac:dyDescent="0.25">
      <c r="A153" s="18">
        <v>45640</v>
      </c>
      <c r="B153" t="s">
        <v>11</v>
      </c>
      <c r="C153" t="s">
        <v>16</v>
      </c>
      <c r="D153" t="s">
        <v>123</v>
      </c>
      <c r="E153" s="19">
        <v>41507</v>
      </c>
      <c r="F153" s="19">
        <v>38425</v>
      </c>
      <c r="I153" s="18"/>
    </row>
    <row r="154" spans="1:9" x14ac:dyDescent="0.25">
      <c r="A154" s="18">
        <v>45640</v>
      </c>
      <c r="B154" t="s">
        <v>10</v>
      </c>
      <c r="C154" t="s">
        <v>13</v>
      </c>
      <c r="D154" t="s">
        <v>125</v>
      </c>
      <c r="E154" s="19">
        <v>25144</v>
      </c>
      <c r="F154" s="19">
        <v>19981</v>
      </c>
      <c r="I154" s="18"/>
    </row>
    <row r="155" spans="1:9" x14ac:dyDescent="0.25">
      <c r="A155" s="18">
        <v>45640</v>
      </c>
      <c r="B155" t="s">
        <v>15</v>
      </c>
      <c r="C155" t="s">
        <v>22</v>
      </c>
      <c r="D155" t="s">
        <v>122</v>
      </c>
      <c r="E155" s="19">
        <v>16364.999999999998</v>
      </c>
      <c r="F155" s="19">
        <v>15985</v>
      </c>
      <c r="I155" s="18"/>
    </row>
    <row r="156" spans="1:9" x14ac:dyDescent="0.25">
      <c r="A156" s="18">
        <v>45641</v>
      </c>
      <c r="B156" t="s">
        <v>21</v>
      </c>
      <c r="C156" t="s">
        <v>9</v>
      </c>
      <c r="D156" t="s">
        <v>115</v>
      </c>
      <c r="E156" s="19">
        <v>75923</v>
      </c>
      <c r="F156" s="19">
        <v>70078</v>
      </c>
      <c r="I156" s="18"/>
    </row>
    <row r="157" spans="1:9" x14ac:dyDescent="0.25">
      <c r="A157" s="18">
        <v>45641</v>
      </c>
      <c r="B157" t="s">
        <v>6</v>
      </c>
      <c r="C157" t="s">
        <v>5</v>
      </c>
      <c r="D157" t="s">
        <v>120</v>
      </c>
      <c r="E157" s="19">
        <v>36462</v>
      </c>
      <c r="F157" s="19">
        <v>27970</v>
      </c>
      <c r="I157" s="18"/>
    </row>
    <row r="158" spans="1:9" x14ac:dyDescent="0.25">
      <c r="A158" s="18">
        <v>45641</v>
      </c>
      <c r="B158" t="s">
        <v>7</v>
      </c>
      <c r="C158" t="s">
        <v>20</v>
      </c>
      <c r="D158" t="s">
        <v>131</v>
      </c>
      <c r="E158" s="19">
        <v>12039</v>
      </c>
      <c r="F158" s="19">
        <v>10376</v>
      </c>
      <c r="I158" s="18"/>
    </row>
    <row r="159" spans="1:9" x14ac:dyDescent="0.25">
      <c r="A159" s="18">
        <v>45641</v>
      </c>
      <c r="B159" t="s">
        <v>19</v>
      </c>
      <c r="C159" t="s">
        <v>23</v>
      </c>
      <c r="D159" t="s">
        <v>117</v>
      </c>
      <c r="E159" s="19">
        <v>22352</v>
      </c>
      <c r="F159" s="19">
        <v>17003</v>
      </c>
      <c r="I159" s="18"/>
    </row>
    <row r="160" spans="1:9" x14ac:dyDescent="0.25">
      <c r="A160" s="18">
        <v>45641</v>
      </c>
      <c r="B160" t="s">
        <v>14</v>
      </c>
      <c r="C160" t="s">
        <v>12</v>
      </c>
      <c r="D160" t="s">
        <v>124</v>
      </c>
      <c r="E160" s="19">
        <v>31559</v>
      </c>
      <c r="F160" s="19">
        <v>23663</v>
      </c>
      <c r="I160" s="18"/>
    </row>
    <row r="161" spans="1:9" x14ac:dyDescent="0.25">
      <c r="A161" s="18">
        <v>45642</v>
      </c>
      <c r="B161" t="s">
        <v>18</v>
      </c>
      <c r="C161" t="s">
        <v>17</v>
      </c>
      <c r="D161" t="s">
        <v>119</v>
      </c>
      <c r="E161" s="19">
        <v>70634</v>
      </c>
      <c r="F161" s="19">
        <v>60000</v>
      </c>
      <c r="I161" s="18"/>
    </row>
    <row r="162" spans="1:9" x14ac:dyDescent="0.25">
      <c r="A162" s="18">
        <v>45646</v>
      </c>
      <c r="B162" t="s">
        <v>23</v>
      </c>
      <c r="C162" t="s">
        <v>21</v>
      </c>
      <c r="D162" t="s">
        <v>121</v>
      </c>
      <c r="E162" s="19">
        <v>39211</v>
      </c>
      <c r="F162" s="19">
        <v>23635</v>
      </c>
      <c r="I162" s="18"/>
    </row>
    <row r="163" spans="1:9" x14ac:dyDescent="0.25">
      <c r="A163" s="18">
        <v>45647</v>
      </c>
      <c r="B163" t="s">
        <v>4</v>
      </c>
      <c r="C163" t="s">
        <v>6</v>
      </c>
      <c r="D163" t="s">
        <v>129</v>
      </c>
      <c r="E163" s="19">
        <v>28177</v>
      </c>
      <c r="F163" s="19">
        <v>19860</v>
      </c>
      <c r="I163" s="18"/>
    </row>
    <row r="164" spans="1:9" x14ac:dyDescent="0.25">
      <c r="A164" s="18">
        <v>45647</v>
      </c>
      <c r="B164" t="s">
        <v>9</v>
      </c>
      <c r="C164" t="s">
        <v>13</v>
      </c>
      <c r="D164" t="s">
        <v>116</v>
      </c>
      <c r="E164" s="19">
        <v>34901</v>
      </c>
      <c r="F164" s="19">
        <v>33435</v>
      </c>
      <c r="I164" s="18"/>
    </row>
    <row r="165" spans="1:9" x14ac:dyDescent="0.25">
      <c r="A165" s="18">
        <v>45647</v>
      </c>
      <c r="B165" t="s">
        <v>14</v>
      </c>
      <c r="C165" t="s">
        <v>18</v>
      </c>
      <c r="D165" t="s">
        <v>124</v>
      </c>
      <c r="E165" s="19">
        <v>31559</v>
      </c>
      <c r="F165" s="19">
        <v>26749</v>
      </c>
      <c r="I165" s="18"/>
    </row>
    <row r="166" spans="1:9" x14ac:dyDescent="0.25">
      <c r="A166" s="18">
        <v>45648</v>
      </c>
      <c r="B166" t="s">
        <v>22</v>
      </c>
      <c r="C166" t="s">
        <v>8</v>
      </c>
      <c r="D166" t="s">
        <v>132</v>
      </c>
      <c r="E166" s="19">
        <v>24950</v>
      </c>
      <c r="F166" s="19">
        <v>22163</v>
      </c>
      <c r="I166" s="18"/>
    </row>
    <row r="167" spans="1:9" x14ac:dyDescent="0.25">
      <c r="A167" s="18">
        <v>45648</v>
      </c>
      <c r="B167" t="s">
        <v>20</v>
      </c>
      <c r="C167" t="s">
        <v>19</v>
      </c>
      <c r="D167" t="s">
        <v>119</v>
      </c>
      <c r="E167" s="19">
        <v>70634</v>
      </c>
      <c r="F167" s="19">
        <v>62968</v>
      </c>
      <c r="I167" s="18"/>
    </row>
    <row r="168" spans="1:9" x14ac:dyDescent="0.25">
      <c r="A168" s="18">
        <v>45648</v>
      </c>
      <c r="B168" t="s">
        <v>16</v>
      </c>
      <c r="C168" t="s">
        <v>15</v>
      </c>
      <c r="D168" t="s">
        <v>130</v>
      </c>
      <c r="E168" s="19">
        <v>12048</v>
      </c>
      <c r="F168" s="19">
        <v>9713</v>
      </c>
      <c r="I168" s="18"/>
    </row>
    <row r="169" spans="1:9" x14ac:dyDescent="0.25">
      <c r="A169" s="18">
        <v>45648</v>
      </c>
      <c r="B169" t="s">
        <v>12</v>
      </c>
      <c r="C169" t="s">
        <v>11</v>
      </c>
      <c r="D169" t="s">
        <v>126</v>
      </c>
      <c r="E169" s="19">
        <v>17102</v>
      </c>
      <c r="F169" s="19">
        <v>15479</v>
      </c>
      <c r="I169" s="18"/>
    </row>
    <row r="170" spans="1:9" x14ac:dyDescent="0.25">
      <c r="A170" s="18">
        <v>45649</v>
      </c>
      <c r="B170" t="s">
        <v>17</v>
      </c>
      <c r="C170" t="s">
        <v>7</v>
      </c>
      <c r="D170" t="s">
        <v>115</v>
      </c>
      <c r="E170" s="19">
        <v>75923</v>
      </c>
      <c r="F170" s="19">
        <v>73204</v>
      </c>
      <c r="I170" s="18"/>
    </row>
    <row r="171" spans="1:9" x14ac:dyDescent="0.25">
      <c r="A171" s="18">
        <v>45649</v>
      </c>
      <c r="B171" t="s">
        <v>5</v>
      </c>
      <c r="C171" t="s">
        <v>10</v>
      </c>
      <c r="D171" t="s">
        <v>128</v>
      </c>
      <c r="E171" s="19">
        <v>43147</v>
      </c>
      <c r="F171" s="19">
        <v>20505</v>
      </c>
      <c r="I171" s="18"/>
    </row>
    <row r="172" spans="1:9" x14ac:dyDescent="0.25">
      <c r="A172" s="18">
        <v>45654</v>
      </c>
      <c r="B172" t="s">
        <v>18</v>
      </c>
      <c r="C172" t="s">
        <v>22</v>
      </c>
      <c r="D172" t="s">
        <v>119</v>
      </c>
      <c r="E172" s="19">
        <v>70634</v>
      </c>
      <c r="F172" s="19">
        <v>48000</v>
      </c>
      <c r="I172" s="18"/>
    </row>
    <row r="173" spans="1:9" x14ac:dyDescent="0.25">
      <c r="A173" s="18">
        <v>45654</v>
      </c>
      <c r="B173" t="s">
        <v>15</v>
      </c>
      <c r="C173" t="s">
        <v>17</v>
      </c>
      <c r="D173" t="s">
        <v>122</v>
      </c>
      <c r="E173" s="19">
        <v>16364.999999999998</v>
      </c>
      <c r="F173" s="19">
        <v>16412</v>
      </c>
      <c r="I173" s="18"/>
    </row>
    <row r="174" spans="1:9" x14ac:dyDescent="0.25">
      <c r="A174" s="18">
        <v>45654</v>
      </c>
      <c r="B174" t="s">
        <v>19</v>
      </c>
      <c r="C174" t="s">
        <v>12</v>
      </c>
      <c r="D174" t="s">
        <v>117</v>
      </c>
      <c r="E174" s="19">
        <v>22352</v>
      </c>
      <c r="F174" s="19">
        <v>17499</v>
      </c>
      <c r="I174" s="18"/>
    </row>
    <row r="175" spans="1:9" x14ac:dyDescent="0.25">
      <c r="A175" s="18">
        <v>45654</v>
      </c>
      <c r="B175" t="s">
        <v>8</v>
      </c>
      <c r="C175" t="s">
        <v>9</v>
      </c>
      <c r="D175" t="s">
        <v>118</v>
      </c>
      <c r="E175" s="19">
        <v>19847</v>
      </c>
      <c r="F175" s="19">
        <v>12657</v>
      </c>
      <c r="I175" s="18"/>
    </row>
    <row r="176" spans="1:9" x14ac:dyDescent="0.25">
      <c r="A176" s="18">
        <v>45655</v>
      </c>
      <c r="B176" t="s">
        <v>13</v>
      </c>
      <c r="C176" t="s">
        <v>16</v>
      </c>
      <c r="D176" t="s">
        <v>127</v>
      </c>
      <c r="E176" s="19">
        <v>54726</v>
      </c>
      <c r="F176" s="19">
        <v>51199</v>
      </c>
      <c r="I176" s="18"/>
    </row>
    <row r="177" spans="1:9" x14ac:dyDescent="0.25">
      <c r="A177" s="18">
        <v>45655</v>
      </c>
      <c r="B177" t="s">
        <v>11</v>
      </c>
      <c r="C177" t="s">
        <v>5</v>
      </c>
      <c r="D177" t="s">
        <v>123</v>
      </c>
      <c r="E177" s="19">
        <v>41507</v>
      </c>
      <c r="F177" s="19">
        <v>41188</v>
      </c>
      <c r="I177" s="18"/>
    </row>
    <row r="178" spans="1:9" x14ac:dyDescent="0.25">
      <c r="A178" s="18">
        <v>45655</v>
      </c>
      <c r="B178" t="s">
        <v>21</v>
      </c>
      <c r="C178" t="s">
        <v>20</v>
      </c>
      <c r="D178" t="s">
        <v>115</v>
      </c>
      <c r="E178" s="19">
        <v>75923</v>
      </c>
      <c r="F178" s="19">
        <v>74283</v>
      </c>
      <c r="I178" s="18"/>
    </row>
    <row r="179" spans="1:9" x14ac:dyDescent="0.25">
      <c r="A179" s="18">
        <v>45655</v>
      </c>
      <c r="B179" t="s">
        <v>10</v>
      </c>
      <c r="C179" t="s">
        <v>4</v>
      </c>
      <c r="D179" t="s">
        <v>125</v>
      </c>
      <c r="E179" s="19">
        <v>25144</v>
      </c>
      <c r="F179" s="19">
        <v>23082</v>
      </c>
      <c r="I179" s="18"/>
    </row>
    <row r="180" spans="1:9" x14ac:dyDescent="0.25">
      <c r="A180" s="18">
        <v>45656</v>
      </c>
      <c r="B180" t="s">
        <v>6</v>
      </c>
      <c r="C180" t="s">
        <v>23</v>
      </c>
      <c r="D180" t="s">
        <v>120</v>
      </c>
      <c r="E180" s="19">
        <v>36462</v>
      </c>
      <c r="F180" s="19">
        <v>26484</v>
      </c>
      <c r="I180" s="18"/>
    </row>
    <row r="181" spans="1:9" x14ac:dyDescent="0.25">
      <c r="A181" s="18">
        <v>45656</v>
      </c>
      <c r="B181" t="s">
        <v>7</v>
      </c>
      <c r="C181" t="s">
        <v>14</v>
      </c>
      <c r="D181" t="s">
        <v>131</v>
      </c>
      <c r="E181" s="19">
        <v>12039</v>
      </c>
      <c r="F181" s="19">
        <v>12000</v>
      </c>
      <c r="I181" s="18"/>
    </row>
    <row r="182" spans="1:9" x14ac:dyDescent="0.25">
      <c r="A182" s="18">
        <v>45661</v>
      </c>
      <c r="B182" t="s">
        <v>5</v>
      </c>
      <c r="C182" t="s">
        <v>13</v>
      </c>
      <c r="D182" t="s">
        <v>128</v>
      </c>
      <c r="E182" s="19">
        <v>43147</v>
      </c>
      <c r="F182" s="19">
        <v>21685</v>
      </c>
      <c r="I182" s="18"/>
    </row>
    <row r="183" spans="1:9" x14ac:dyDescent="0.25">
      <c r="A183" s="18">
        <v>45661</v>
      </c>
      <c r="B183" t="s">
        <v>23</v>
      </c>
      <c r="C183" t="s">
        <v>10</v>
      </c>
      <c r="D183" t="s">
        <v>121</v>
      </c>
      <c r="E183" s="19">
        <v>39211</v>
      </c>
      <c r="F183" s="19">
        <v>23663</v>
      </c>
      <c r="I183" s="18"/>
    </row>
    <row r="184" spans="1:9" x14ac:dyDescent="0.25">
      <c r="A184" s="18">
        <v>45661</v>
      </c>
      <c r="B184" t="s">
        <v>16</v>
      </c>
      <c r="C184" t="s">
        <v>8</v>
      </c>
      <c r="D184" t="s">
        <v>130</v>
      </c>
      <c r="E184" s="19">
        <v>12048</v>
      </c>
      <c r="F184" s="19">
        <v>10591</v>
      </c>
      <c r="I184" s="18"/>
    </row>
    <row r="185" spans="1:9" x14ac:dyDescent="0.25">
      <c r="A185" s="18">
        <v>45662</v>
      </c>
      <c r="B185" t="s">
        <v>20</v>
      </c>
      <c r="C185" t="s">
        <v>18</v>
      </c>
      <c r="D185" t="s">
        <v>119</v>
      </c>
      <c r="E185" s="19">
        <v>70634</v>
      </c>
      <c r="F185" s="19">
        <v>65042</v>
      </c>
      <c r="I185" s="18"/>
    </row>
    <row r="186" spans="1:9" x14ac:dyDescent="0.25">
      <c r="A186" s="18">
        <v>45662</v>
      </c>
      <c r="B186" t="s">
        <v>4</v>
      </c>
      <c r="C186" t="s">
        <v>19</v>
      </c>
      <c r="D186" t="s">
        <v>129</v>
      </c>
      <c r="E186" s="19">
        <v>28177</v>
      </c>
      <c r="F186" s="19">
        <v>19744</v>
      </c>
      <c r="I186" s="18"/>
    </row>
    <row r="187" spans="1:9" x14ac:dyDescent="0.25">
      <c r="A187" s="18">
        <v>45662</v>
      </c>
      <c r="B187" t="s">
        <v>14</v>
      </c>
      <c r="C187" t="s">
        <v>9</v>
      </c>
      <c r="D187" t="s">
        <v>124</v>
      </c>
      <c r="E187" s="19">
        <v>31559</v>
      </c>
      <c r="F187" s="19">
        <v>26436</v>
      </c>
      <c r="I187" s="18"/>
    </row>
    <row r="188" spans="1:9" x14ac:dyDescent="0.25">
      <c r="A188" s="18">
        <v>45662</v>
      </c>
      <c r="B188" t="s">
        <v>12</v>
      </c>
      <c r="C188" t="s">
        <v>15</v>
      </c>
      <c r="D188" t="s">
        <v>126</v>
      </c>
      <c r="E188" s="19">
        <v>17102</v>
      </c>
      <c r="F188" s="19">
        <v>10942</v>
      </c>
      <c r="I188" s="18"/>
    </row>
    <row r="189" spans="1:9" x14ac:dyDescent="0.25">
      <c r="A189" s="18">
        <v>45667</v>
      </c>
      <c r="B189" t="s">
        <v>18</v>
      </c>
      <c r="C189" t="s">
        <v>7</v>
      </c>
      <c r="D189" t="s">
        <v>119</v>
      </c>
      <c r="E189" s="19">
        <v>70634</v>
      </c>
      <c r="F189" s="19">
        <v>40000</v>
      </c>
      <c r="I189" s="18"/>
    </row>
    <row r="190" spans="1:9" x14ac:dyDescent="0.25">
      <c r="A190" s="18">
        <v>45668</v>
      </c>
      <c r="B190" t="s">
        <v>21</v>
      </c>
      <c r="C190" t="s">
        <v>15</v>
      </c>
      <c r="D190" t="s">
        <v>115</v>
      </c>
      <c r="E190" s="19">
        <v>75923</v>
      </c>
      <c r="F190" s="19">
        <v>69263</v>
      </c>
      <c r="I190" s="18"/>
    </row>
    <row r="191" spans="1:9" x14ac:dyDescent="0.25">
      <c r="A191" s="18">
        <v>45668</v>
      </c>
      <c r="B191" t="s">
        <v>4</v>
      </c>
      <c r="C191" t="s">
        <v>11</v>
      </c>
      <c r="D191" t="s">
        <v>129</v>
      </c>
      <c r="E191" s="19">
        <v>28177</v>
      </c>
      <c r="F191" s="19">
        <v>27014</v>
      </c>
      <c r="I191" s="18"/>
    </row>
    <row r="192" spans="1:9" x14ac:dyDescent="0.25">
      <c r="A192" s="18">
        <v>45668</v>
      </c>
      <c r="B192" t="s">
        <v>10</v>
      </c>
      <c r="C192" t="s">
        <v>22</v>
      </c>
      <c r="D192" t="s">
        <v>125</v>
      </c>
      <c r="E192" s="19">
        <v>25144</v>
      </c>
      <c r="F192" s="19">
        <v>21727</v>
      </c>
      <c r="I192" s="18"/>
    </row>
    <row r="193" spans="1:9" x14ac:dyDescent="0.25">
      <c r="A193" s="18">
        <v>45668</v>
      </c>
      <c r="B193" t="s">
        <v>8</v>
      </c>
      <c r="C193" t="s">
        <v>14</v>
      </c>
      <c r="D193" t="s">
        <v>118</v>
      </c>
      <c r="E193" s="19">
        <v>19847</v>
      </c>
      <c r="F193" s="19">
        <v>9096</v>
      </c>
      <c r="I193" s="18"/>
    </row>
    <row r="194" spans="1:9" x14ac:dyDescent="0.25">
      <c r="A194" s="18">
        <v>45669</v>
      </c>
      <c r="B194" t="s">
        <v>13</v>
      </c>
      <c r="C194" t="s">
        <v>23</v>
      </c>
      <c r="D194" t="s">
        <v>127</v>
      </c>
      <c r="E194" s="19">
        <v>54726</v>
      </c>
      <c r="F194" s="19">
        <v>54726</v>
      </c>
      <c r="I194" s="18"/>
    </row>
    <row r="195" spans="1:9" x14ac:dyDescent="0.25">
      <c r="A195" s="18">
        <v>45669</v>
      </c>
      <c r="B195" t="s">
        <v>6</v>
      </c>
      <c r="C195" t="s">
        <v>20</v>
      </c>
      <c r="D195" t="s">
        <v>120</v>
      </c>
      <c r="E195" s="19">
        <v>36462</v>
      </c>
      <c r="F195" s="19">
        <v>30226</v>
      </c>
      <c r="I195" s="18"/>
    </row>
    <row r="196" spans="1:9" x14ac:dyDescent="0.25">
      <c r="A196" s="18">
        <v>45669</v>
      </c>
      <c r="B196" t="s">
        <v>9</v>
      </c>
      <c r="C196" t="s">
        <v>19</v>
      </c>
      <c r="D196" t="s">
        <v>116</v>
      </c>
      <c r="E196" s="19">
        <v>34901</v>
      </c>
      <c r="F196" s="19">
        <v>31689</v>
      </c>
      <c r="I196" s="18"/>
    </row>
    <row r="197" spans="1:9" x14ac:dyDescent="0.25">
      <c r="A197" s="18">
        <v>45669</v>
      </c>
      <c r="B197" t="s">
        <v>16</v>
      </c>
      <c r="C197" t="s">
        <v>17</v>
      </c>
      <c r="D197" t="s">
        <v>130</v>
      </c>
      <c r="E197" s="19">
        <v>12048</v>
      </c>
      <c r="F197" s="19">
        <v>12048</v>
      </c>
      <c r="I197" s="18"/>
    </row>
    <row r="198" spans="1:9" x14ac:dyDescent="0.25">
      <c r="A198" s="18">
        <v>45670</v>
      </c>
      <c r="B198" t="s">
        <v>12</v>
      </c>
      <c r="C198" t="s">
        <v>5</v>
      </c>
      <c r="D198" t="s">
        <v>126</v>
      </c>
      <c r="E198" s="19">
        <v>17102</v>
      </c>
      <c r="F198" s="19">
        <v>9153</v>
      </c>
      <c r="I198" s="18"/>
    </row>
    <row r="199" spans="1:9" x14ac:dyDescent="0.25">
      <c r="A199" s="18">
        <v>45671</v>
      </c>
      <c r="B199" t="s">
        <v>22</v>
      </c>
      <c r="C199" t="s">
        <v>11</v>
      </c>
      <c r="D199" t="s">
        <v>132</v>
      </c>
      <c r="E199" s="19">
        <v>24950</v>
      </c>
      <c r="F199" s="19">
        <v>22920</v>
      </c>
      <c r="I199" s="18"/>
    </row>
    <row r="200" spans="1:9" x14ac:dyDescent="0.25">
      <c r="A200" s="18">
        <v>45671</v>
      </c>
      <c r="B200" t="s">
        <v>7</v>
      </c>
      <c r="C200" t="s">
        <v>21</v>
      </c>
      <c r="D200" t="s">
        <v>131</v>
      </c>
      <c r="E200" s="19">
        <v>12039</v>
      </c>
      <c r="F200" s="19">
        <v>13602</v>
      </c>
      <c r="I200" s="18"/>
    </row>
    <row r="201" spans="1:9" x14ac:dyDescent="0.25">
      <c r="A201" s="18">
        <v>45672</v>
      </c>
      <c r="B201" t="s">
        <v>17</v>
      </c>
      <c r="C201" t="s">
        <v>6</v>
      </c>
      <c r="D201" t="s">
        <v>115</v>
      </c>
      <c r="E201" s="19">
        <v>75923</v>
      </c>
      <c r="F201" s="19">
        <v>63074</v>
      </c>
      <c r="I201" s="18"/>
    </row>
    <row r="202" spans="1:9" x14ac:dyDescent="0.25">
      <c r="A202" s="18">
        <v>45674</v>
      </c>
      <c r="B202" t="s">
        <v>20</v>
      </c>
      <c r="C202" t="s">
        <v>9</v>
      </c>
      <c r="D202" t="s">
        <v>119</v>
      </c>
      <c r="E202" s="19">
        <v>70634</v>
      </c>
      <c r="F202" s="19">
        <v>62217</v>
      </c>
      <c r="I202" s="18"/>
    </row>
    <row r="203" spans="1:9" x14ac:dyDescent="0.25">
      <c r="A203" s="18">
        <v>45675</v>
      </c>
      <c r="B203" t="s">
        <v>22</v>
      </c>
      <c r="C203" t="s">
        <v>13</v>
      </c>
      <c r="D203" t="s">
        <v>132</v>
      </c>
      <c r="E203" s="19">
        <v>24950</v>
      </c>
      <c r="F203" s="19">
        <v>22874</v>
      </c>
      <c r="I203" s="18"/>
    </row>
    <row r="204" spans="1:9" x14ac:dyDescent="0.25">
      <c r="A204" s="18">
        <v>45675</v>
      </c>
      <c r="B204" t="s">
        <v>11</v>
      </c>
      <c r="C204" t="s">
        <v>21</v>
      </c>
      <c r="D204" t="s">
        <v>123</v>
      </c>
      <c r="E204" s="19">
        <v>41507</v>
      </c>
      <c r="F204" s="19">
        <v>40784</v>
      </c>
      <c r="I204" s="18"/>
    </row>
    <row r="205" spans="1:9" x14ac:dyDescent="0.25">
      <c r="A205" s="18">
        <v>45675</v>
      </c>
      <c r="B205" t="s">
        <v>6</v>
      </c>
      <c r="C205" t="s">
        <v>12</v>
      </c>
      <c r="D205" t="s">
        <v>120</v>
      </c>
      <c r="E205" s="19">
        <v>36462</v>
      </c>
      <c r="F205" s="19">
        <v>23381</v>
      </c>
      <c r="I205" s="18"/>
    </row>
    <row r="206" spans="1:9" x14ac:dyDescent="0.25">
      <c r="A206" s="18">
        <v>45676</v>
      </c>
      <c r="B206" t="s">
        <v>17</v>
      </c>
      <c r="C206" t="s">
        <v>8</v>
      </c>
      <c r="D206" t="s">
        <v>115</v>
      </c>
      <c r="E206" s="19">
        <v>75923</v>
      </c>
      <c r="F206" s="19">
        <v>61230</v>
      </c>
      <c r="I206" s="18"/>
    </row>
    <row r="207" spans="1:9" x14ac:dyDescent="0.25">
      <c r="A207" s="18">
        <v>45676</v>
      </c>
      <c r="B207" t="s">
        <v>5</v>
      </c>
      <c r="C207" t="s">
        <v>4</v>
      </c>
      <c r="D207" t="s">
        <v>128</v>
      </c>
      <c r="E207" s="19">
        <v>43147</v>
      </c>
      <c r="F207" s="19">
        <v>19313</v>
      </c>
      <c r="I207" s="18"/>
    </row>
    <row r="208" spans="1:9" x14ac:dyDescent="0.25">
      <c r="A208" s="18">
        <v>45676</v>
      </c>
      <c r="B208" t="s">
        <v>23</v>
      </c>
      <c r="C208" t="s">
        <v>18</v>
      </c>
      <c r="D208" t="s">
        <v>121</v>
      </c>
      <c r="E208" s="19">
        <v>39211</v>
      </c>
      <c r="F208" s="19">
        <v>25747</v>
      </c>
      <c r="I208" s="18"/>
    </row>
    <row r="209" spans="1:9" x14ac:dyDescent="0.25">
      <c r="A209" s="18">
        <v>45676</v>
      </c>
      <c r="B209" t="s">
        <v>15</v>
      </c>
      <c r="C209" t="s">
        <v>14</v>
      </c>
      <c r="D209" t="s">
        <v>122</v>
      </c>
      <c r="E209" s="19">
        <v>16364.999999999998</v>
      </c>
      <c r="F209" s="19">
        <v>16306</v>
      </c>
      <c r="I209" s="18"/>
    </row>
    <row r="210" spans="1:9" x14ac:dyDescent="0.25">
      <c r="A210" s="18">
        <v>45676</v>
      </c>
      <c r="B210" t="s">
        <v>19</v>
      </c>
      <c r="C210" t="s">
        <v>16</v>
      </c>
      <c r="D210" t="s">
        <v>117</v>
      </c>
      <c r="E210" s="19">
        <v>22352</v>
      </c>
      <c r="F210" s="19">
        <v>15865</v>
      </c>
      <c r="I210" s="18"/>
    </row>
    <row r="211" spans="1:9" x14ac:dyDescent="0.25">
      <c r="A211" s="18">
        <v>45677</v>
      </c>
      <c r="B211" t="s">
        <v>7</v>
      </c>
      <c r="C211" t="s">
        <v>10</v>
      </c>
      <c r="D211" t="s">
        <v>131</v>
      </c>
      <c r="E211" s="19">
        <v>12039</v>
      </c>
      <c r="F211" s="19">
        <v>9566</v>
      </c>
      <c r="I211" s="18"/>
    </row>
    <row r="212" spans="1:9" x14ac:dyDescent="0.25">
      <c r="A212" s="18">
        <v>45681</v>
      </c>
      <c r="B212" t="s">
        <v>4</v>
      </c>
      <c r="C212" t="s">
        <v>15</v>
      </c>
      <c r="D212" t="s">
        <v>129</v>
      </c>
      <c r="E212" s="19">
        <v>28177</v>
      </c>
      <c r="F212" s="19">
        <v>18992</v>
      </c>
      <c r="I212" s="18"/>
    </row>
    <row r="213" spans="1:9" x14ac:dyDescent="0.25">
      <c r="A213" s="18">
        <v>45682</v>
      </c>
      <c r="B213" t="s">
        <v>13</v>
      </c>
      <c r="C213" t="s">
        <v>11</v>
      </c>
      <c r="D213" t="s">
        <v>127</v>
      </c>
      <c r="E213" s="19">
        <v>54726</v>
      </c>
      <c r="F213" s="19">
        <v>53589</v>
      </c>
      <c r="I213" s="18"/>
    </row>
    <row r="214" spans="1:9" x14ac:dyDescent="0.25">
      <c r="A214" s="18">
        <v>45682</v>
      </c>
      <c r="B214" t="s">
        <v>7</v>
      </c>
      <c r="C214" t="s">
        <v>22</v>
      </c>
      <c r="D214" t="s">
        <v>131</v>
      </c>
      <c r="E214" s="19">
        <v>12039</v>
      </c>
      <c r="F214" s="19">
        <v>10366</v>
      </c>
      <c r="I214" s="18"/>
    </row>
    <row r="215" spans="1:9" x14ac:dyDescent="0.25">
      <c r="A215" s="18">
        <v>45682</v>
      </c>
      <c r="B215" t="s">
        <v>8</v>
      </c>
      <c r="C215" t="s">
        <v>6</v>
      </c>
      <c r="D215" t="s">
        <v>118</v>
      </c>
      <c r="E215" s="19">
        <v>19847</v>
      </c>
      <c r="F215" s="19">
        <v>10321</v>
      </c>
      <c r="I215" s="18"/>
    </row>
    <row r="216" spans="1:9" x14ac:dyDescent="0.25">
      <c r="A216" s="18">
        <v>45683</v>
      </c>
      <c r="B216" t="s">
        <v>18</v>
      </c>
      <c r="C216" t="s">
        <v>5</v>
      </c>
      <c r="D216" t="s">
        <v>119</v>
      </c>
      <c r="E216" s="19">
        <v>70634</v>
      </c>
      <c r="F216" s="19">
        <v>37708</v>
      </c>
      <c r="I216" s="18"/>
    </row>
    <row r="217" spans="1:9" x14ac:dyDescent="0.25">
      <c r="A217" s="18">
        <v>45683</v>
      </c>
      <c r="B217" t="s">
        <v>21</v>
      </c>
      <c r="C217" t="s">
        <v>19</v>
      </c>
      <c r="D217" t="s">
        <v>115</v>
      </c>
      <c r="E217" s="19">
        <v>75923</v>
      </c>
      <c r="F217" s="19">
        <v>72304</v>
      </c>
      <c r="I217" s="18"/>
    </row>
    <row r="218" spans="1:9" x14ac:dyDescent="0.25">
      <c r="A218" s="18">
        <v>45683</v>
      </c>
      <c r="B218" t="s">
        <v>10</v>
      </c>
      <c r="C218" t="s">
        <v>20</v>
      </c>
      <c r="D218" t="s">
        <v>125</v>
      </c>
      <c r="E218" s="19">
        <v>25144</v>
      </c>
      <c r="F218" s="19">
        <v>23853</v>
      </c>
      <c r="I218" s="18"/>
    </row>
    <row r="219" spans="1:9" x14ac:dyDescent="0.25">
      <c r="A219" s="18">
        <v>45683</v>
      </c>
      <c r="B219" t="s">
        <v>14</v>
      </c>
      <c r="C219" t="s">
        <v>17</v>
      </c>
      <c r="D219" t="s">
        <v>124</v>
      </c>
      <c r="E219" s="19">
        <v>31559</v>
      </c>
      <c r="F219" s="19">
        <v>27223</v>
      </c>
      <c r="I219" s="18"/>
    </row>
    <row r="220" spans="1:9" x14ac:dyDescent="0.25">
      <c r="A220" s="18">
        <v>45684</v>
      </c>
      <c r="B220" t="s">
        <v>9</v>
      </c>
      <c r="C220" t="s">
        <v>12</v>
      </c>
      <c r="D220" t="s">
        <v>116</v>
      </c>
      <c r="E220" s="19">
        <v>34901</v>
      </c>
      <c r="F220" s="19">
        <v>29976</v>
      </c>
      <c r="I220" s="18"/>
    </row>
    <row r="221" spans="1:9" x14ac:dyDescent="0.25">
      <c r="A221" s="18">
        <v>45684</v>
      </c>
      <c r="B221" t="s">
        <v>16</v>
      </c>
      <c r="C221" t="s">
        <v>23</v>
      </c>
      <c r="D221" t="s">
        <v>130</v>
      </c>
      <c r="E221" s="19">
        <v>12048</v>
      </c>
      <c r="F221" s="19">
        <v>9481</v>
      </c>
      <c r="I221" s="18"/>
    </row>
    <row r="222" spans="1:9" x14ac:dyDescent="0.25">
      <c r="A222" s="18">
        <v>45688</v>
      </c>
      <c r="B222" t="s">
        <v>19</v>
      </c>
      <c r="C222" t="s">
        <v>14</v>
      </c>
      <c r="D222" t="s">
        <v>117</v>
      </c>
      <c r="E222" s="19">
        <v>22352</v>
      </c>
      <c r="F222" s="19">
        <v>18238</v>
      </c>
      <c r="I222" s="18"/>
    </row>
    <row r="223" spans="1:9" x14ac:dyDescent="0.25">
      <c r="A223" s="18">
        <v>45689</v>
      </c>
      <c r="B223" t="s">
        <v>22</v>
      </c>
      <c r="C223" t="s">
        <v>4</v>
      </c>
      <c r="D223" t="s">
        <v>132</v>
      </c>
      <c r="E223" s="19">
        <v>24950</v>
      </c>
      <c r="F223" s="19">
        <v>22547</v>
      </c>
      <c r="I223" s="18"/>
    </row>
    <row r="224" spans="1:9" x14ac:dyDescent="0.25">
      <c r="A224" s="18">
        <v>45689</v>
      </c>
      <c r="B224" t="s">
        <v>6</v>
      </c>
      <c r="C224" t="s">
        <v>7</v>
      </c>
      <c r="D224" t="s">
        <v>120</v>
      </c>
      <c r="E224" s="19">
        <v>36462</v>
      </c>
      <c r="F224" s="19">
        <v>26492</v>
      </c>
      <c r="I224" s="18"/>
    </row>
    <row r="225" spans="1:9" x14ac:dyDescent="0.25">
      <c r="A225" s="18">
        <v>45689</v>
      </c>
      <c r="B225" t="s">
        <v>10</v>
      </c>
      <c r="C225" t="s">
        <v>16</v>
      </c>
      <c r="D225" t="s">
        <v>125</v>
      </c>
      <c r="E225" s="19">
        <v>25144</v>
      </c>
      <c r="F225" s="19">
        <v>19767</v>
      </c>
      <c r="I225" s="18"/>
    </row>
    <row r="226" spans="1:9" x14ac:dyDescent="0.25">
      <c r="A226" s="18">
        <v>45689</v>
      </c>
      <c r="B226" t="s">
        <v>12</v>
      </c>
      <c r="C226" t="s">
        <v>23</v>
      </c>
      <c r="D226" t="s">
        <v>126</v>
      </c>
      <c r="E226" s="19">
        <v>17102</v>
      </c>
      <c r="F226" s="19">
        <v>11723</v>
      </c>
      <c r="I226" s="18"/>
    </row>
    <row r="227" spans="1:9" x14ac:dyDescent="0.25">
      <c r="A227" s="18">
        <v>45690</v>
      </c>
      <c r="B227" t="s">
        <v>11</v>
      </c>
      <c r="C227" t="s">
        <v>8</v>
      </c>
      <c r="D227" t="s">
        <v>123</v>
      </c>
      <c r="E227" s="19">
        <v>41507</v>
      </c>
      <c r="F227" s="19">
        <v>40160</v>
      </c>
      <c r="I227" s="18"/>
    </row>
    <row r="228" spans="1:9" x14ac:dyDescent="0.25">
      <c r="A228" s="18">
        <v>45690</v>
      </c>
      <c r="B228" t="s">
        <v>20</v>
      </c>
      <c r="C228" t="s">
        <v>13</v>
      </c>
      <c r="D228" t="s">
        <v>119</v>
      </c>
      <c r="E228" s="19">
        <v>70634</v>
      </c>
      <c r="F228" s="19">
        <v>60788</v>
      </c>
      <c r="I228" s="18"/>
    </row>
    <row r="229" spans="1:9" x14ac:dyDescent="0.25">
      <c r="A229" s="18">
        <v>45690</v>
      </c>
      <c r="B229" t="s">
        <v>5</v>
      </c>
      <c r="C229" t="s">
        <v>9</v>
      </c>
      <c r="D229" t="s">
        <v>128</v>
      </c>
      <c r="E229" s="19">
        <v>43147</v>
      </c>
      <c r="F229" s="19">
        <v>19088</v>
      </c>
      <c r="I229" s="18"/>
    </row>
    <row r="230" spans="1:9" x14ac:dyDescent="0.25">
      <c r="A230" s="18">
        <v>45690</v>
      </c>
      <c r="B230" t="s">
        <v>21</v>
      </c>
      <c r="C230" t="s">
        <v>17</v>
      </c>
      <c r="D230" t="s">
        <v>115</v>
      </c>
      <c r="E230" s="19">
        <v>75923</v>
      </c>
      <c r="F230" s="19">
        <v>75493</v>
      </c>
      <c r="I230" s="18"/>
    </row>
    <row r="231" spans="1:9" x14ac:dyDescent="0.25">
      <c r="A231" s="18">
        <v>45691</v>
      </c>
      <c r="B231" t="s">
        <v>15</v>
      </c>
      <c r="C231" t="s">
        <v>18</v>
      </c>
      <c r="D231" t="s">
        <v>122</v>
      </c>
      <c r="E231" s="19">
        <v>16364.999999999998</v>
      </c>
      <c r="F231" s="19">
        <v>15751</v>
      </c>
      <c r="I231" s="18"/>
    </row>
    <row r="232" spans="1:9" x14ac:dyDescent="0.25">
      <c r="A232" s="18">
        <v>45694</v>
      </c>
      <c r="B232" t="s">
        <v>5</v>
      </c>
      <c r="C232" t="s">
        <v>17</v>
      </c>
      <c r="D232" t="s">
        <v>128</v>
      </c>
      <c r="E232" s="19">
        <v>43147</v>
      </c>
      <c r="F232" s="19">
        <v>22351</v>
      </c>
      <c r="I232" s="18"/>
    </row>
    <row r="233" spans="1:9" x14ac:dyDescent="0.25">
      <c r="A233" s="18">
        <v>45695</v>
      </c>
      <c r="B233" t="s">
        <v>7</v>
      </c>
      <c r="C233" t="s">
        <v>11</v>
      </c>
      <c r="D233" t="s">
        <v>131</v>
      </c>
      <c r="E233" s="19">
        <v>12039</v>
      </c>
      <c r="F233" s="19">
        <v>13602</v>
      </c>
      <c r="I233" s="18"/>
    </row>
    <row r="234" spans="1:9" x14ac:dyDescent="0.25">
      <c r="A234" s="18">
        <v>45696</v>
      </c>
      <c r="B234" t="s">
        <v>4</v>
      </c>
      <c r="C234" t="s">
        <v>9</v>
      </c>
      <c r="D234" t="s">
        <v>129</v>
      </c>
      <c r="E234" s="19">
        <v>28177</v>
      </c>
      <c r="F234" s="19">
        <v>22359</v>
      </c>
      <c r="I234" s="18"/>
    </row>
    <row r="235" spans="1:9" x14ac:dyDescent="0.25">
      <c r="A235" s="18">
        <v>45696</v>
      </c>
      <c r="B235" t="s">
        <v>23</v>
      </c>
      <c r="C235" t="s">
        <v>22</v>
      </c>
      <c r="D235" t="s">
        <v>121</v>
      </c>
      <c r="E235" s="19">
        <v>39211</v>
      </c>
      <c r="F235" s="19">
        <v>20872</v>
      </c>
      <c r="I235" s="18"/>
    </row>
    <row r="236" spans="1:9" x14ac:dyDescent="0.25">
      <c r="A236" s="18">
        <v>45696</v>
      </c>
      <c r="B236" t="s">
        <v>8</v>
      </c>
      <c r="C236" t="s">
        <v>21</v>
      </c>
      <c r="D236" t="s">
        <v>118</v>
      </c>
      <c r="E236" s="19">
        <v>19847</v>
      </c>
      <c r="F236" s="19">
        <v>14500</v>
      </c>
      <c r="I236" s="18"/>
    </row>
    <row r="237" spans="1:9" x14ac:dyDescent="0.25">
      <c r="A237" s="18">
        <v>45697</v>
      </c>
      <c r="B237" t="s">
        <v>13</v>
      </c>
      <c r="C237" t="s">
        <v>10</v>
      </c>
      <c r="D237" t="s">
        <v>127</v>
      </c>
      <c r="E237" s="19">
        <v>54726</v>
      </c>
      <c r="F237" s="19">
        <v>50938</v>
      </c>
      <c r="I237" s="18"/>
    </row>
    <row r="238" spans="1:9" x14ac:dyDescent="0.25">
      <c r="A238" s="18">
        <v>45697</v>
      </c>
      <c r="B238" t="s">
        <v>18</v>
      </c>
      <c r="C238" t="s">
        <v>12</v>
      </c>
      <c r="D238" t="s">
        <v>119</v>
      </c>
      <c r="E238" s="19">
        <v>70634</v>
      </c>
      <c r="F238" s="19">
        <v>31540</v>
      </c>
      <c r="I238" s="18"/>
    </row>
    <row r="239" spans="1:9" x14ac:dyDescent="0.25">
      <c r="A239" s="18">
        <v>45697</v>
      </c>
      <c r="B239" t="s">
        <v>15</v>
      </c>
      <c r="C239" t="s">
        <v>19</v>
      </c>
      <c r="D239" t="s">
        <v>122</v>
      </c>
      <c r="E239" s="19">
        <v>16364.999999999998</v>
      </c>
      <c r="F239" s="19">
        <v>16154</v>
      </c>
      <c r="I239" s="18"/>
    </row>
    <row r="240" spans="1:9" x14ac:dyDescent="0.25">
      <c r="A240" s="18">
        <v>45697</v>
      </c>
      <c r="B240" t="s">
        <v>14</v>
      </c>
      <c r="C240" t="s">
        <v>6</v>
      </c>
      <c r="D240" t="s">
        <v>124</v>
      </c>
      <c r="E240" s="19">
        <v>31559</v>
      </c>
      <c r="F240" s="19">
        <v>24910</v>
      </c>
      <c r="I240" s="18"/>
    </row>
    <row r="241" spans="1:9" x14ac:dyDescent="0.25">
      <c r="A241" s="18">
        <v>45697</v>
      </c>
      <c r="B241" t="s">
        <v>16</v>
      </c>
      <c r="C241" t="s">
        <v>20</v>
      </c>
      <c r="D241" t="s">
        <v>130</v>
      </c>
      <c r="E241" s="19">
        <v>12048</v>
      </c>
      <c r="F241" s="19">
        <v>9380</v>
      </c>
      <c r="I241" s="18"/>
    </row>
    <row r="242" spans="1:9" x14ac:dyDescent="0.25">
      <c r="A242" s="18">
        <v>45698</v>
      </c>
      <c r="B242" t="s">
        <v>17</v>
      </c>
      <c r="C242" t="s">
        <v>5</v>
      </c>
      <c r="D242" t="s">
        <v>115</v>
      </c>
      <c r="E242" s="19">
        <v>75923</v>
      </c>
      <c r="F242" s="19">
        <v>67484</v>
      </c>
      <c r="I242" s="18"/>
    </row>
    <row r="243" spans="1:9" x14ac:dyDescent="0.25">
      <c r="A243" s="18">
        <v>45702</v>
      </c>
      <c r="B243" t="s">
        <v>6</v>
      </c>
      <c r="C243" t="s">
        <v>4</v>
      </c>
      <c r="D243" t="s">
        <v>120</v>
      </c>
      <c r="E243" s="19">
        <v>36462</v>
      </c>
      <c r="F243" s="19">
        <v>24274</v>
      </c>
      <c r="I243" s="18"/>
    </row>
    <row r="244" spans="1:9" x14ac:dyDescent="0.25">
      <c r="A244" s="18">
        <v>45703</v>
      </c>
      <c r="B244" t="s">
        <v>22</v>
      </c>
      <c r="C244" t="s">
        <v>15</v>
      </c>
      <c r="D244" t="s">
        <v>132</v>
      </c>
      <c r="E244" s="19">
        <v>24950</v>
      </c>
      <c r="F244" s="19">
        <v>21485</v>
      </c>
      <c r="I244" s="18"/>
    </row>
    <row r="245" spans="1:9" x14ac:dyDescent="0.25">
      <c r="A245" s="18">
        <v>45703</v>
      </c>
      <c r="B245" t="s">
        <v>18</v>
      </c>
      <c r="C245" t="s">
        <v>13</v>
      </c>
      <c r="D245" t="s">
        <v>119</v>
      </c>
      <c r="E245" s="19">
        <v>70634</v>
      </c>
      <c r="F245" s="19">
        <v>41500</v>
      </c>
      <c r="I245" s="18"/>
    </row>
    <row r="246" spans="1:9" x14ac:dyDescent="0.25">
      <c r="A246" s="18">
        <v>45703</v>
      </c>
      <c r="B246" t="s">
        <v>21</v>
      </c>
      <c r="C246" t="s">
        <v>23</v>
      </c>
      <c r="D246" t="s">
        <v>115</v>
      </c>
      <c r="E246" s="19">
        <v>75923</v>
      </c>
      <c r="F246" s="19">
        <v>69578</v>
      </c>
      <c r="I246" s="18"/>
    </row>
    <row r="247" spans="1:9" x14ac:dyDescent="0.25">
      <c r="A247" s="18">
        <v>45704</v>
      </c>
      <c r="B247" t="s">
        <v>11</v>
      </c>
      <c r="C247" t="s">
        <v>17</v>
      </c>
      <c r="D247" t="s">
        <v>123</v>
      </c>
      <c r="E247" s="19">
        <v>41507</v>
      </c>
      <c r="F247" s="19">
        <v>41361</v>
      </c>
      <c r="I247" s="18"/>
    </row>
    <row r="248" spans="1:9" x14ac:dyDescent="0.25">
      <c r="A248" s="18">
        <v>45704</v>
      </c>
      <c r="B248" t="s">
        <v>5</v>
      </c>
      <c r="C248" t="s">
        <v>7</v>
      </c>
      <c r="D248" t="s">
        <v>128</v>
      </c>
      <c r="E248" s="19">
        <v>43147</v>
      </c>
      <c r="F248" s="19">
        <v>20000</v>
      </c>
      <c r="I248" s="18"/>
    </row>
    <row r="249" spans="1:9" x14ac:dyDescent="0.25">
      <c r="A249" s="18">
        <v>45704</v>
      </c>
      <c r="B249" t="s">
        <v>10</v>
      </c>
      <c r="C249" t="s">
        <v>8</v>
      </c>
      <c r="D249" t="s">
        <v>125</v>
      </c>
      <c r="E249" s="19">
        <v>25144</v>
      </c>
      <c r="F249" s="19">
        <v>19539</v>
      </c>
      <c r="I249" s="18"/>
    </row>
    <row r="250" spans="1:9" x14ac:dyDescent="0.25">
      <c r="A250" s="18">
        <v>45704</v>
      </c>
      <c r="B250" t="s">
        <v>19</v>
      </c>
      <c r="C250" t="s">
        <v>20</v>
      </c>
      <c r="D250" t="s">
        <v>117</v>
      </c>
      <c r="E250" s="19">
        <v>22352</v>
      </c>
      <c r="F250" s="19">
        <v>20559</v>
      </c>
      <c r="I250" s="18"/>
    </row>
    <row r="251" spans="1:9" x14ac:dyDescent="0.25">
      <c r="A251" s="18">
        <v>45704</v>
      </c>
      <c r="B251" t="s">
        <v>12</v>
      </c>
      <c r="C251" t="s">
        <v>14</v>
      </c>
      <c r="D251" t="s">
        <v>126</v>
      </c>
      <c r="E251" s="19">
        <v>17102</v>
      </c>
      <c r="F251" s="19">
        <v>11050</v>
      </c>
      <c r="I251" s="18"/>
    </row>
    <row r="252" spans="1:9" x14ac:dyDescent="0.25">
      <c r="A252" s="18">
        <v>45705</v>
      </c>
      <c r="B252" t="s">
        <v>9</v>
      </c>
      <c r="C252" t="s">
        <v>16</v>
      </c>
      <c r="D252" t="s">
        <v>116</v>
      </c>
      <c r="E252" s="19">
        <v>34901</v>
      </c>
      <c r="F252" s="19">
        <v>30487</v>
      </c>
      <c r="I252" s="18"/>
    </row>
    <row r="253" spans="1:9" x14ac:dyDescent="0.25">
      <c r="A253" s="18">
        <v>45709</v>
      </c>
      <c r="B253" t="s">
        <v>14</v>
      </c>
      <c r="C253" t="s">
        <v>10</v>
      </c>
      <c r="D253" t="s">
        <v>124</v>
      </c>
      <c r="E253" s="19">
        <v>31559</v>
      </c>
      <c r="F253" s="19">
        <v>23989</v>
      </c>
      <c r="I253" s="18"/>
    </row>
    <row r="254" spans="1:9" x14ac:dyDescent="0.25">
      <c r="A254" s="18">
        <v>45710</v>
      </c>
      <c r="B254" t="s">
        <v>17</v>
      </c>
      <c r="C254" t="s">
        <v>9</v>
      </c>
      <c r="D254" t="s">
        <v>115</v>
      </c>
      <c r="E254" s="19">
        <v>75923</v>
      </c>
      <c r="F254" s="19">
        <v>68271</v>
      </c>
      <c r="I254" s="18"/>
    </row>
    <row r="255" spans="1:9" x14ac:dyDescent="0.25">
      <c r="A255" s="18">
        <v>45710</v>
      </c>
      <c r="B255" t="s">
        <v>4</v>
      </c>
      <c r="C255" t="s">
        <v>21</v>
      </c>
      <c r="D255" t="s">
        <v>129</v>
      </c>
      <c r="E255" s="19">
        <v>28177</v>
      </c>
      <c r="F255" s="19">
        <v>26868</v>
      </c>
      <c r="I255" s="18"/>
    </row>
    <row r="256" spans="1:9" x14ac:dyDescent="0.25">
      <c r="A256" s="18">
        <v>45710</v>
      </c>
      <c r="B256" t="s">
        <v>19</v>
      </c>
      <c r="C256" t="s">
        <v>6</v>
      </c>
      <c r="D256" t="s">
        <v>117</v>
      </c>
      <c r="E256" s="19">
        <v>22352</v>
      </c>
      <c r="F256" s="19">
        <v>19510</v>
      </c>
      <c r="I256" s="18"/>
    </row>
    <row r="257" spans="1:9" x14ac:dyDescent="0.25">
      <c r="A257" s="18">
        <v>45710</v>
      </c>
      <c r="B257" t="s">
        <v>16</v>
      </c>
      <c r="C257" t="s">
        <v>18</v>
      </c>
      <c r="D257" t="s">
        <v>130</v>
      </c>
      <c r="E257" s="19">
        <v>12048</v>
      </c>
      <c r="F257" s="19">
        <v>8796</v>
      </c>
      <c r="I257" s="18"/>
    </row>
    <row r="258" spans="1:9" x14ac:dyDescent="0.25">
      <c r="A258" s="18">
        <v>45711</v>
      </c>
      <c r="B258" t="s">
        <v>7</v>
      </c>
      <c r="C258" t="s">
        <v>13</v>
      </c>
      <c r="D258" t="s">
        <v>131</v>
      </c>
      <c r="E258" s="19">
        <v>12039</v>
      </c>
      <c r="F258" s="19">
        <v>10500</v>
      </c>
      <c r="I258" s="18"/>
    </row>
    <row r="259" spans="1:9" x14ac:dyDescent="0.25">
      <c r="A259" s="18">
        <v>45711</v>
      </c>
      <c r="B259" t="s">
        <v>23</v>
      </c>
      <c r="C259" t="s">
        <v>5</v>
      </c>
      <c r="D259" t="s">
        <v>121</v>
      </c>
      <c r="E259" s="19">
        <v>39211</v>
      </c>
      <c r="F259" s="19">
        <v>26496</v>
      </c>
      <c r="I259" s="18"/>
    </row>
    <row r="260" spans="1:9" x14ac:dyDescent="0.25">
      <c r="A260" s="18">
        <v>45711</v>
      </c>
      <c r="B260" t="s">
        <v>15</v>
      </c>
      <c r="C260" t="s">
        <v>11</v>
      </c>
      <c r="D260" t="s">
        <v>122</v>
      </c>
      <c r="E260" s="19">
        <v>16364.999999999998</v>
      </c>
      <c r="F260" s="19">
        <v>16412</v>
      </c>
      <c r="I260" s="18"/>
    </row>
    <row r="261" spans="1:9" x14ac:dyDescent="0.25">
      <c r="A261" s="18">
        <v>45711</v>
      </c>
      <c r="B261" t="s">
        <v>8</v>
      </c>
      <c r="C261" t="s">
        <v>22</v>
      </c>
      <c r="D261" t="s">
        <v>118</v>
      </c>
      <c r="E261" s="19">
        <v>19847</v>
      </c>
      <c r="F261" s="19">
        <v>9176</v>
      </c>
      <c r="I261" s="18"/>
    </row>
    <row r="262" spans="1:9" x14ac:dyDescent="0.25">
      <c r="A262" s="18">
        <v>45712</v>
      </c>
      <c r="B262" t="s">
        <v>20</v>
      </c>
      <c r="C262" t="s">
        <v>12</v>
      </c>
      <c r="D262" t="s">
        <v>119</v>
      </c>
      <c r="E262" s="19">
        <v>70634</v>
      </c>
      <c r="F262" s="19">
        <v>56965</v>
      </c>
      <c r="I262" s="18"/>
    </row>
    <row r="263" spans="1:9" x14ac:dyDescent="0.25">
      <c r="A263" s="18">
        <v>45715</v>
      </c>
      <c r="B263" t="s">
        <v>6</v>
      </c>
      <c r="C263" t="s">
        <v>21</v>
      </c>
      <c r="D263" t="s">
        <v>120</v>
      </c>
      <c r="E263" s="19">
        <v>36462</v>
      </c>
      <c r="F263" s="19">
        <v>31784</v>
      </c>
      <c r="I263" s="18"/>
    </row>
    <row r="264" spans="1:9" x14ac:dyDescent="0.25">
      <c r="A264" s="18">
        <v>45716</v>
      </c>
      <c r="B264" t="s">
        <v>5</v>
      </c>
      <c r="C264" t="s">
        <v>14</v>
      </c>
      <c r="D264" t="s">
        <v>128</v>
      </c>
      <c r="E264" s="19">
        <v>43147</v>
      </c>
      <c r="F264" s="19">
        <v>17383</v>
      </c>
      <c r="I264" s="18"/>
    </row>
    <row r="265" spans="1:9" x14ac:dyDescent="0.25">
      <c r="A265" s="18">
        <v>45717</v>
      </c>
      <c r="B265" t="s">
        <v>13</v>
      </c>
      <c r="C265" t="s">
        <v>17</v>
      </c>
      <c r="D265" t="s">
        <v>127</v>
      </c>
      <c r="E265" s="19">
        <v>54726</v>
      </c>
      <c r="F265" s="19">
        <v>53851</v>
      </c>
      <c r="I265" s="18"/>
    </row>
    <row r="266" spans="1:9" x14ac:dyDescent="0.25">
      <c r="A266" s="18">
        <v>45717</v>
      </c>
      <c r="B266" t="s">
        <v>22</v>
      </c>
      <c r="C266" t="s">
        <v>16</v>
      </c>
      <c r="D266" t="s">
        <v>132</v>
      </c>
      <c r="E266" s="19">
        <v>24950</v>
      </c>
      <c r="F266" s="19">
        <v>21991</v>
      </c>
      <c r="I266" s="18"/>
    </row>
    <row r="267" spans="1:9" x14ac:dyDescent="0.25">
      <c r="A267" s="18">
        <v>45717</v>
      </c>
      <c r="B267" t="s">
        <v>10</v>
      </c>
      <c r="C267" t="s">
        <v>19</v>
      </c>
      <c r="D267" t="s">
        <v>125</v>
      </c>
      <c r="E267" s="19">
        <v>25144</v>
      </c>
      <c r="F267" s="19">
        <v>20430</v>
      </c>
      <c r="I267" s="18"/>
    </row>
    <row r="268" spans="1:9" x14ac:dyDescent="0.25">
      <c r="A268" s="18">
        <v>45718</v>
      </c>
      <c r="B268" t="s">
        <v>20</v>
      </c>
      <c r="C268" t="s">
        <v>7</v>
      </c>
      <c r="D268" t="s">
        <v>119</v>
      </c>
      <c r="E268" s="19">
        <v>70634</v>
      </c>
      <c r="F268" s="19">
        <v>62125</v>
      </c>
      <c r="I268" s="18"/>
    </row>
    <row r="269" spans="1:9" x14ac:dyDescent="0.25">
      <c r="A269" s="18">
        <v>45718</v>
      </c>
      <c r="B269" t="s">
        <v>21</v>
      </c>
      <c r="C269" t="s">
        <v>18</v>
      </c>
      <c r="D269" t="s">
        <v>115</v>
      </c>
      <c r="E269" s="19">
        <v>75923</v>
      </c>
      <c r="F269" s="19">
        <v>65969</v>
      </c>
      <c r="I269" s="18"/>
    </row>
    <row r="270" spans="1:9" x14ac:dyDescent="0.25">
      <c r="A270" s="18">
        <v>45718</v>
      </c>
      <c r="B270" t="s">
        <v>6</v>
      </c>
      <c r="C270" t="s">
        <v>15</v>
      </c>
      <c r="D270" t="s">
        <v>120</v>
      </c>
      <c r="E270" s="19">
        <v>36462</v>
      </c>
      <c r="F270" s="19">
        <v>25676</v>
      </c>
      <c r="I270" s="18"/>
    </row>
    <row r="271" spans="1:9" x14ac:dyDescent="0.25">
      <c r="A271" s="18">
        <v>45718</v>
      </c>
      <c r="B271" t="s">
        <v>9</v>
      </c>
      <c r="C271" t="s">
        <v>8</v>
      </c>
      <c r="D271" t="s">
        <v>116</v>
      </c>
      <c r="E271" s="19">
        <v>34901</v>
      </c>
      <c r="F271" s="19">
        <v>31295</v>
      </c>
      <c r="I271" s="18"/>
    </row>
    <row r="272" spans="1:9" x14ac:dyDescent="0.25">
      <c r="A272" s="18">
        <v>45718</v>
      </c>
      <c r="B272" t="s">
        <v>12</v>
      </c>
      <c r="C272" t="s">
        <v>4</v>
      </c>
      <c r="D272" t="s">
        <v>126</v>
      </c>
      <c r="E272" s="19">
        <v>17102</v>
      </c>
      <c r="F272" s="19">
        <v>11053</v>
      </c>
      <c r="I272" s="18"/>
    </row>
    <row r="273" spans="1:9" x14ac:dyDescent="0.25">
      <c r="A273" s="18">
        <v>45719</v>
      </c>
      <c r="B273" t="s">
        <v>11</v>
      </c>
      <c r="C273" t="s">
        <v>23</v>
      </c>
      <c r="D273" t="s">
        <v>123</v>
      </c>
      <c r="E273" s="19">
        <v>41507</v>
      </c>
      <c r="F273" s="19">
        <v>36215</v>
      </c>
      <c r="I273" s="18"/>
    </row>
    <row r="274" spans="1:9" x14ac:dyDescent="0.25">
      <c r="A274" s="18">
        <v>45723</v>
      </c>
      <c r="B274" t="s">
        <v>15</v>
      </c>
      <c r="C274" t="s">
        <v>9</v>
      </c>
      <c r="D274" t="s">
        <v>122</v>
      </c>
      <c r="E274" s="19">
        <v>16364.999999999998</v>
      </c>
      <c r="F274" s="19">
        <v>15827</v>
      </c>
      <c r="I274" s="18"/>
    </row>
    <row r="275" spans="1:9" x14ac:dyDescent="0.25">
      <c r="A275" s="18">
        <v>45724</v>
      </c>
      <c r="B275" t="s">
        <v>17</v>
      </c>
      <c r="C275" t="s">
        <v>12</v>
      </c>
      <c r="D275" t="s">
        <v>115</v>
      </c>
      <c r="E275" s="19">
        <v>75923</v>
      </c>
      <c r="F275" s="19">
        <v>66344</v>
      </c>
      <c r="I275" s="18"/>
    </row>
    <row r="276" spans="1:9" x14ac:dyDescent="0.25">
      <c r="A276" s="18">
        <v>45724</v>
      </c>
      <c r="B276" t="s">
        <v>7</v>
      </c>
      <c r="C276" t="s">
        <v>16</v>
      </c>
      <c r="D276" t="s">
        <v>131</v>
      </c>
      <c r="E276" s="19">
        <v>12039</v>
      </c>
      <c r="F276" s="19">
        <v>10080</v>
      </c>
      <c r="I276" s="18"/>
    </row>
    <row r="277" spans="1:9" x14ac:dyDescent="0.25">
      <c r="A277" s="18">
        <v>45724</v>
      </c>
      <c r="B277" t="s">
        <v>19</v>
      </c>
      <c r="C277" t="s">
        <v>4</v>
      </c>
      <c r="D277" t="s">
        <v>117</v>
      </c>
      <c r="E277" s="19">
        <v>22352</v>
      </c>
      <c r="F277" s="19">
        <v>18938</v>
      </c>
      <c r="I277" s="18"/>
    </row>
    <row r="278" spans="1:9" x14ac:dyDescent="0.25">
      <c r="A278" s="18">
        <v>45724</v>
      </c>
      <c r="B278" t="s">
        <v>14</v>
      </c>
      <c r="C278" t="s">
        <v>21</v>
      </c>
      <c r="D278" t="s">
        <v>124</v>
      </c>
      <c r="E278" s="19">
        <v>31559</v>
      </c>
      <c r="F278" s="19">
        <v>25753</v>
      </c>
      <c r="I278" s="18"/>
    </row>
    <row r="279" spans="1:9" x14ac:dyDescent="0.25">
      <c r="A279" s="18">
        <v>45725</v>
      </c>
      <c r="B279" t="s">
        <v>13</v>
      </c>
      <c r="C279" t="s">
        <v>5</v>
      </c>
      <c r="D279" t="s">
        <v>127</v>
      </c>
      <c r="E279" s="19">
        <v>54726</v>
      </c>
      <c r="F279" s="19">
        <v>51504</v>
      </c>
      <c r="I279" s="18"/>
    </row>
    <row r="280" spans="1:9" x14ac:dyDescent="0.25">
      <c r="A280" s="18">
        <v>45725</v>
      </c>
      <c r="B280" t="s">
        <v>11</v>
      </c>
      <c r="C280" t="s">
        <v>22</v>
      </c>
      <c r="D280" t="s">
        <v>123</v>
      </c>
      <c r="E280" s="19">
        <v>41507</v>
      </c>
      <c r="F280" s="19">
        <v>40266</v>
      </c>
      <c r="I280" s="18"/>
    </row>
    <row r="281" spans="1:9" x14ac:dyDescent="0.25">
      <c r="A281" s="18">
        <v>45725</v>
      </c>
      <c r="B281" t="s">
        <v>23</v>
      </c>
      <c r="C281" t="s">
        <v>6</v>
      </c>
      <c r="D281" t="s">
        <v>121</v>
      </c>
      <c r="E281" s="19">
        <v>39211</v>
      </c>
      <c r="F281" s="19">
        <v>24612</v>
      </c>
      <c r="I281" s="18"/>
    </row>
    <row r="282" spans="1:9" x14ac:dyDescent="0.25">
      <c r="A282" s="18">
        <v>45725</v>
      </c>
      <c r="B282" t="s">
        <v>8</v>
      </c>
      <c r="C282" t="s">
        <v>20</v>
      </c>
      <c r="D282" t="s">
        <v>118</v>
      </c>
      <c r="E282" s="19">
        <v>19847</v>
      </c>
      <c r="F282" s="19">
        <v>12393</v>
      </c>
      <c r="I282" s="18"/>
    </row>
    <row r="283" spans="1:9" x14ac:dyDescent="0.25">
      <c r="A283" s="18">
        <v>45726</v>
      </c>
      <c r="B283" t="s">
        <v>18</v>
      </c>
      <c r="C283" t="s">
        <v>10</v>
      </c>
      <c r="D283" t="s">
        <v>119</v>
      </c>
      <c r="E283" s="19">
        <v>70634</v>
      </c>
      <c r="F283" s="19">
        <v>33000</v>
      </c>
      <c r="I283" s="18"/>
    </row>
    <row r="284" spans="1:9" x14ac:dyDescent="0.25">
      <c r="A284" s="18">
        <v>45730</v>
      </c>
      <c r="B284" t="s">
        <v>9</v>
      </c>
      <c r="C284" t="s">
        <v>14</v>
      </c>
      <c r="D284" t="s">
        <v>116</v>
      </c>
      <c r="E284" s="19">
        <v>34901</v>
      </c>
      <c r="F284" s="19">
        <v>31495</v>
      </c>
      <c r="I284" s="18"/>
    </row>
    <row r="285" spans="1:9" x14ac:dyDescent="0.25">
      <c r="A285" s="18">
        <v>45731</v>
      </c>
      <c r="B285" t="s">
        <v>21</v>
      </c>
      <c r="C285" t="s">
        <v>7</v>
      </c>
      <c r="D285" t="s">
        <v>115</v>
      </c>
      <c r="E285" s="19">
        <v>75923</v>
      </c>
      <c r="F285" s="19">
        <v>74500</v>
      </c>
      <c r="I285" s="18"/>
    </row>
    <row r="286" spans="1:9" x14ac:dyDescent="0.25">
      <c r="A286" s="18">
        <v>45731</v>
      </c>
      <c r="B286" t="s">
        <v>4</v>
      </c>
      <c r="C286" t="s">
        <v>8</v>
      </c>
      <c r="D286" t="s">
        <v>129</v>
      </c>
      <c r="E286" s="19">
        <v>28177</v>
      </c>
      <c r="F286" s="19">
        <v>20402</v>
      </c>
      <c r="I286" s="18"/>
    </row>
    <row r="287" spans="1:9" x14ac:dyDescent="0.25">
      <c r="A287" s="18">
        <v>45731</v>
      </c>
      <c r="B287" t="s">
        <v>10</v>
      </c>
      <c r="C287" t="s">
        <v>23</v>
      </c>
      <c r="D287" t="s">
        <v>125</v>
      </c>
      <c r="E287" s="19">
        <v>25144</v>
      </c>
      <c r="F287" s="19">
        <v>20754</v>
      </c>
      <c r="I287" s="18"/>
    </row>
    <row r="288" spans="1:9" x14ac:dyDescent="0.25">
      <c r="A288" s="18">
        <v>45731</v>
      </c>
      <c r="B288" t="s">
        <v>12</v>
      </c>
      <c r="C288" t="s">
        <v>19</v>
      </c>
      <c r="D288" t="s">
        <v>126</v>
      </c>
      <c r="E288" s="19">
        <v>17102</v>
      </c>
      <c r="F288" s="19">
        <v>9251</v>
      </c>
      <c r="I288" s="18"/>
    </row>
    <row r="289" spans="1:9" x14ac:dyDescent="0.25">
      <c r="A289" s="18">
        <v>45732</v>
      </c>
      <c r="B289" t="s">
        <v>22</v>
      </c>
      <c r="C289" t="s">
        <v>17</v>
      </c>
      <c r="D289" t="s">
        <v>132</v>
      </c>
      <c r="E289" s="19">
        <v>24950</v>
      </c>
      <c r="F289" s="19">
        <v>23215</v>
      </c>
      <c r="I289" s="18"/>
    </row>
    <row r="290" spans="1:9" x14ac:dyDescent="0.25">
      <c r="A290" s="18">
        <v>45732</v>
      </c>
      <c r="B290" t="s">
        <v>20</v>
      </c>
      <c r="C290" t="s">
        <v>15</v>
      </c>
      <c r="D290" t="s">
        <v>119</v>
      </c>
      <c r="E290" s="19">
        <v>70634</v>
      </c>
      <c r="F290" s="19">
        <v>62911</v>
      </c>
      <c r="I290" s="18"/>
    </row>
    <row r="291" spans="1:9" x14ac:dyDescent="0.25">
      <c r="A291" s="18">
        <v>45732</v>
      </c>
      <c r="B291" t="s">
        <v>5</v>
      </c>
      <c r="C291" t="s">
        <v>11</v>
      </c>
      <c r="D291" t="s">
        <v>128</v>
      </c>
      <c r="E291" s="19">
        <v>43147</v>
      </c>
      <c r="F291" s="19">
        <v>22253</v>
      </c>
      <c r="I291" s="18"/>
    </row>
    <row r="292" spans="1:9" x14ac:dyDescent="0.25">
      <c r="A292" s="18">
        <v>45732</v>
      </c>
      <c r="B292" t="s">
        <v>6</v>
      </c>
      <c r="C292" t="s">
        <v>18</v>
      </c>
      <c r="D292" t="s">
        <v>120</v>
      </c>
      <c r="E292" s="19">
        <v>36462</v>
      </c>
      <c r="F292" s="19">
        <v>30846</v>
      </c>
      <c r="I292" s="18"/>
    </row>
    <row r="293" spans="1:9" x14ac:dyDescent="0.25">
      <c r="A293" s="18">
        <v>45732</v>
      </c>
      <c r="B293" t="s">
        <v>16</v>
      </c>
      <c r="C293" t="s">
        <v>13</v>
      </c>
      <c r="D293" t="s">
        <v>130</v>
      </c>
      <c r="E293" s="19">
        <v>12048</v>
      </c>
      <c r="F293" s="19">
        <v>11440</v>
      </c>
      <c r="I293" s="18"/>
    </row>
    <row r="294" spans="1:9" x14ac:dyDescent="0.25">
      <c r="A294" s="18">
        <v>45745</v>
      </c>
      <c r="B294" t="s">
        <v>11</v>
      </c>
      <c r="C294" t="s">
        <v>9</v>
      </c>
      <c r="D294" t="s">
        <v>123</v>
      </c>
      <c r="E294" s="19">
        <v>41507</v>
      </c>
      <c r="F294" s="19">
        <v>40219</v>
      </c>
      <c r="I294" s="18"/>
    </row>
    <row r="295" spans="1:9" x14ac:dyDescent="0.25">
      <c r="A295" s="18">
        <v>45745</v>
      </c>
      <c r="B295" t="s">
        <v>7</v>
      </c>
      <c r="C295" t="s">
        <v>8</v>
      </c>
      <c r="D295" t="s">
        <v>131</v>
      </c>
      <c r="E295" s="19">
        <v>12039</v>
      </c>
      <c r="F295" s="19">
        <v>10118</v>
      </c>
      <c r="I295" s="18"/>
    </row>
    <row r="296" spans="1:9" x14ac:dyDescent="0.25">
      <c r="A296" s="18">
        <v>45745</v>
      </c>
      <c r="B296" t="s">
        <v>14</v>
      </c>
      <c r="C296" t="s">
        <v>20</v>
      </c>
      <c r="D296" t="s">
        <v>124</v>
      </c>
      <c r="E296" s="19">
        <v>31559</v>
      </c>
      <c r="F296" s="19">
        <v>27207</v>
      </c>
      <c r="I296" s="18"/>
    </row>
    <row r="297" spans="1:9" x14ac:dyDescent="0.25">
      <c r="A297" s="18">
        <v>45745</v>
      </c>
      <c r="B297" t="s">
        <v>16</v>
      </c>
      <c r="C297" t="s">
        <v>6</v>
      </c>
      <c r="D297" t="s">
        <v>130</v>
      </c>
      <c r="E297" s="19">
        <v>12048</v>
      </c>
      <c r="F297" s="19">
        <v>9864</v>
      </c>
      <c r="I297" s="18"/>
    </row>
    <row r="298" spans="1:9" x14ac:dyDescent="0.25">
      <c r="A298" s="18">
        <v>45746</v>
      </c>
      <c r="B298" t="s">
        <v>13</v>
      </c>
      <c r="C298" t="s">
        <v>21</v>
      </c>
      <c r="D298" t="s">
        <v>127</v>
      </c>
      <c r="E298" s="19">
        <v>54726</v>
      </c>
      <c r="F298" s="19">
        <v>52836</v>
      </c>
      <c r="I298" s="18"/>
    </row>
    <row r="299" spans="1:9" x14ac:dyDescent="0.25">
      <c r="A299" s="18">
        <v>45746</v>
      </c>
      <c r="B299" t="s">
        <v>17</v>
      </c>
      <c r="C299" t="s">
        <v>10</v>
      </c>
      <c r="D299" t="s">
        <v>115</v>
      </c>
      <c r="E299" s="19">
        <v>75923</v>
      </c>
      <c r="F299" s="19">
        <v>71924</v>
      </c>
      <c r="I299" s="18"/>
    </row>
    <row r="300" spans="1:9" x14ac:dyDescent="0.25">
      <c r="A300" s="18">
        <v>45746</v>
      </c>
      <c r="B300" t="s">
        <v>5</v>
      </c>
      <c r="C300" t="s">
        <v>22</v>
      </c>
      <c r="D300" t="s">
        <v>128</v>
      </c>
      <c r="E300" s="19">
        <v>43147</v>
      </c>
      <c r="F300" s="19">
        <v>20409</v>
      </c>
      <c r="I300" s="18"/>
    </row>
    <row r="301" spans="1:9" x14ac:dyDescent="0.25">
      <c r="A301" s="18">
        <v>45746</v>
      </c>
      <c r="B301" t="s">
        <v>15</v>
      </c>
      <c r="C301" t="s">
        <v>12</v>
      </c>
      <c r="D301" t="s">
        <v>122</v>
      </c>
      <c r="E301" s="19">
        <v>16364.999999999998</v>
      </c>
      <c r="F301" s="19">
        <v>16319</v>
      </c>
      <c r="I301" s="18"/>
    </row>
    <row r="302" spans="1:9" x14ac:dyDescent="0.25">
      <c r="A302" s="18">
        <v>45747</v>
      </c>
      <c r="B302" t="s">
        <v>18</v>
      </c>
      <c r="C302" t="s">
        <v>4</v>
      </c>
      <c r="D302" t="s">
        <v>119</v>
      </c>
      <c r="E302" s="19">
        <v>70634</v>
      </c>
      <c r="F302" s="19">
        <v>37000</v>
      </c>
      <c r="I302" s="18"/>
    </row>
    <row r="303" spans="1:9" x14ac:dyDescent="0.25">
      <c r="A303" s="18">
        <v>45747</v>
      </c>
      <c r="B303" t="s">
        <v>23</v>
      </c>
      <c r="C303" t="s">
        <v>19</v>
      </c>
      <c r="D303" t="s">
        <v>121</v>
      </c>
      <c r="E303" s="19">
        <v>39211</v>
      </c>
      <c r="F303" s="19">
        <v>22706</v>
      </c>
      <c r="I303" s="18"/>
    </row>
    <row r="304" spans="1:9" x14ac:dyDescent="0.25">
      <c r="A304" s="18">
        <v>45751</v>
      </c>
      <c r="B304" t="s">
        <v>9</v>
      </c>
      <c r="C304" t="s">
        <v>10</v>
      </c>
      <c r="D304" t="s">
        <v>116</v>
      </c>
      <c r="E304" s="19">
        <v>34901</v>
      </c>
      <c r="F304" s="19">
        <v>31243</v>
      </c>
      <c r="I304" s="18"/>
    </row>
    <row r="305" spans="1:9" x14ac:dyDescent="0.25">
      <c r="A305" s="18">
        <v>45752</v>
      </c>
      <c r="B305" t="s">
        <v>21</v>
      </c>
      <c r="C305" t="s">
        <v>5</v>
      </c>
      <c r="D305" t="s">
        <v>115</v>
      </c>
      <c r="E305" s="19">
        <v>75923</v>
      </c>
      <c r="F305" s="19">
        <v>72451</v>
      </c>
      <c r="I305" s="18"/>
    </row>
    <row r="306" spans="1:9" x14ac:dyDescent="0.25">
      <c r="A306" s="18">
        <v>45752</v>
      </c>
      <c r="B306" t="s">
        <v>19</v>
      </c>
      <c r="C306" t="s">
        <v>17</v>
      </c>
      <c r="D306" t="s">
        <v>117</v>
      </c>
      <c r="E306" s="19">
        <v>22352</v>
      </c>
      <c r="F306" s="19">
        <v>22005</v>
      </c>
      <c r="I306" s="18"/>
    </row>
    <row r="307" spans="1:9" x14ac:dyDescent="0.25">
      <c r="A307" s="18">
        <v>45752</v>
      </c>
      <c r="B307" t="s">
        <v>12</v>
      </c>
      <c r="C307" t="s">
        <v>7</v>
      </c>
      <c r="D307" t="s">
        <v>126</v>
      </c>
      <c r="E307" s="19">
        <v>17102</v>
      </c>
      <c r="F307" s="19">
        <v>8469</v>
      </c>
      <c r="I307" s="18"/>
    </row>
    <row r="308" spans="1:9" x14ac:dyDescent="0.25">
      <c r="A308" s="18">
        <v>45753</v>
      </c>
      <c r="B308" t="s">
        <v>22</v>
      </c>
      <c r="C308" t="s">
        <v>18</v>
      </c>
      <c r="D308" t="s">
        <v>132</v>
      </c>
      <c r="E308" s="19">
        <v>24950</v>
      </c>
      <c r="F308" s="19">
        <v>22731</v>
      </c>
      <c r="I308" s="18"/>
    </row>
    <row r="309" spans="1:9" x14ac:dyDescent="0.25">
      <c r="A309" s="18">
        <v>45753</v>
      </c>
      <c r="B309" t="s">
        <v>20</v>
      </c>
      <c r="C309" t="s">
        <v>11</v>
      </c>
      <c r="D309" t="s">
        <v>119</v>
      </c>
      <c r="E309" s="19">
        <v>70634</v>
      </c>
      <c r="F309" s="19">
        <v>65788</v>
      </c>
      <c r="I309" s="18"/>
    </row>
    <row r="310" spans="1:9" x14ac:dyDescent="0.25">
      <c r="A310" s="18">
        <v>45753</v>
      </c>
      <c r="B310" t="s">
        <v>4</v>
      </c>
      <c r="C310" t="s">
        <v>23</v>
      </c>
      <c r="D310" t="s">
        <v>129</v>
      </c>
      <c r="E310" s="19">
        <v>28177</v>
      </c>
      <c r="F310" s="19">
        <v>25479</v>
      </c>
      <c r="I310" s="18"/>
    </row>
    <row r="311" spans="1:9" x14ac:dyDescent="0.25">
      <c r="A311" s="18">
        <v>45753</v>
      </c>
      <c r="B311" t="s">
        <v>14</v>
      </c>
      <c r="C311" t="s">
        <v>16</v>
      </c>
      <c r="D311" t="s">
        <v>124</v>
      </c>
      <c r="E311" s="19">
        <v>31559</v>
      </c>
      <c r="F311" s="19">
        <v>25709</v>
      </c>
      <c r="I311" s="18"/>
    </row>
    <row r="312" spans="1:9" x14ac:dyDescent="0.25">
      <c r="A312" s="18">
        <v>45753</v>
      </c>
      <c r="B312" t="s">
        <v>8</v>
      </c>
      <c r="C312" t="s">
        <v>15</v>
      </c>
      <c r="D312" t="s">
        <v>118</v>
      </c>
      <c r="E312" s="19">
        <v>19847</v>
      </c>
      <c r="F312" s="19">
        <v>16284</v>
      </c>
      <c r="I312" s="18"/>
    </row>
    <row r="313" spans="1:9" x14ac:dyDescent="0.25">
      <c r="A313" s="18">
        <v>45754</v>
      </c>
      <c r="B313" t="s">
        <v>6</v>
      </c>
      <c r="C313" t="s">
        <v>13</v>
      </c>
      <c r="D313" t="s">
        <v>120</v>
      </c>
      <c r="E313" s="19">
        <v>36462</v>
      </c>
      <c r="F313" s="19">
        <v>31974</v>
      </c>
      <c r="I313" s="18"/>
    </row>
    <row r="314" spans="1:9" x14ac:dyDescent="0.25">
      <c r="A314" s="18">
        <v>45758</v>
      </c>
      <c r="B314" t="s">
        <v>10</v>
      </c>
      <c r="C314" t="s">
        <v>21</v>
      </c>
      <c r="D314" t="s">
        <v>125</v>
      </c>
      <c r="E314" s="19">
        <v>25144</v>
      </c>
      <c r="F314" s="19">
        <v>24214</v>
      </c>
      <c r="I314" s="18"/>
    </row>
    <row r="315" spans="1:9" x14ac:dyDescent="0.25">
      <c r="A315" s="18">
        <v>45759</v>
      </c>
      <c r="B315" t="s">
        <v>17</v>
      </c>
      <c r="C315" t="s">
        <v>15</v>
      </c>
      <c r="D315" t="s">
        <v>115</v>
      </c>
      <c r="E315" s="19">
        <v>75923</v>
      </c>
      <c r="F315" s="19">
        <v>71799</v>
      </c>
      <c r="I315" s="18"/>
    </row>
    <row r="316" spans="1:9" x14ac:dyDescent="0.25">
      <c r="A316" s="18">
        <v>45759</v>
      </c>
      <c r="B316" t="s">
        <v>11</v>
      </c>
      <c r="C316" t="s">
        <v>14</v>
      </c>
      <c r="D316" t="s">
        <v>123</v>
      </c>
      <c r="E316" s="19">
        <v>41507</v>
      </c>
      <c r="F316" s="19">
        <v>39087</v>
      </c>
      <c r="I316" s="18"/>
    </row>
    <row r="317" spans="1:9" x14ac:dyDescent="0.25">
      <c r="A317" s="18">
        <v>45759</v>
      </c>
      <c r="B317" t="s">
        <v>16</v>
      </c>
      <c r="C317" t="s">
        <v>12</v>
      </c>
      <c r="D317" t="s">
        <v>130</v>
      </c>
      <c r="E317" s="19">
        <v>12048</v>
      </c>
      <c r="F317" s="19">
        <v>10001</v>
      </c>
      <c r="I317" s="18"/>
    </row>
    <row r="318" spans="1:9" x14ac:dyDescent="0.25">
      <c r="A318" s="18">
        <v>45760</v>
      </c>
      <c r="B318" t="s">
        <v>22</v>
      </c>
      <c r="C318" t="s">
        <v>6</v>
      </c>
      <c r="D318" t="s">
        <v>132</v>
      </c>
      <c r="E318" s="19">
        <v>24950</v>
      </c>
      <c r="F318" s="19">
        <v>23156</v>
      </c>
      <c r="I318" s="18"/>
    </row>
    <row r="319" spans="1:9" x14ac:dyDescent="0.25">
      <c r="A319" s="18">
        <v>45760</v>
      </c>
      <c r="B319" t="s">
        <v>5</v>
      </c>
      <c r="C319" t="s">
        <v>19</v>
      </c>
      <c r="D319" t="s">
        <v>128</v>
      </c>
      <c r="E319" s="19">
        <v>43147</v>
      </c>
      <c r="F319" s="19">
        <v>21355</v>
      </c>
      <c r="I319" s="18"/>
    </row>
    <row r="320" spans="1:9" x14ac:dyDescent="0.25">
      <c r="A320" s="18">
        <v>45760</v>
      </c>
      <c r="B320" t="s">
        <v>18</v>
      </c>
      <c r="C320" t="s">
        <v>20</v>
      </c>
      <c r="D320" t="s">
        <v>119</v>
      </c>
      <c r="E320" s="19">
        <v>70634</v>
      </c>
      <c r="F320" s="19">
        <v>63000</v>
      </c>
      <c r="I320" s="18"/>
    </row>
    <row r="321" spans="1:9" x14ac:dyDescent="0.25">
      <c r="A321" s="18">
        <v>45760</v>
      </c>
      <c r="B321" t="s">
        <v>7</v>
      </c>
      <c r="C321" t="s">
        <v>4</v>
      </c>
      <c r="D321" t="s">
        <v>131</v>
      </c>
      <c r="E321" s="19">
        <v>12039</v>
      </c>
      <c r="F321" s="19">
        <v>10658</v>
      </c>
      <c r="I321" s="18"/>
    </row>
    <row r="322" spans="1:9" x14ac:dyDescent="0.25">
      <c r="A322" s="18">
        <v>45760</v>
      </c>
      <c r="B322" t="s">
        <v>23</v>
      </c>
      <c r="C322" t="s">
        <v>9</v>
      </c>
      <c r="D322" t="s">
        <v>121</v>
      </c>
      <c r="E322" s="19">
        <v>39211</v>
      </c>
      <c r="F322" s="19">
        <v>27724</v>
      </c>
      <c r="I322" s="18"/>
    </row>
    <row r="323" spans="1:9" x14ac:dyDescent="0.25">
      <c r="A323" s="18">
        <v>45761</v>
      </c>
      <c r="B323" t="s">
        <v>13</v>
      </c>
      <c r="C323" t="s">
        <v>8</v>
      </c>
      <c r="D323" t="s">
        <v>127</v>
      </c>
      <c r="E323" s="19">
        <v>54726</v>
      </c>
      <c r="F323" s="19">
        <v>50898</v>
      </c>
      <c r="I323" s="18"/>
    </row>
    <row r="324" spans="1:9" x14ac:dyDescent="0.25">
      <c r="A324" s="18">
        <v>45766</v>
      </c>
      <c r="B324" t="s">
        <v>20</v>
      </c>
      <c r="C324" t="s">
        <v>23</v>
      </c>
      <c r="D324" t="s">
        <v>119</v>
      </c>
      <c r="E324" s="19">
        <v>70634</v>
      </c>
      <c r="F324" s="19">
        <v>62714</v>
      </c>
      <c r="I324" s="18"/>
    </row>
    <row r="325" spans="1:9" x14ac:dyDescent="0.25">
      <c r="A325" s="18">
        <v>45766</v>
      </c>
      <c r="B325" t="s">
        <v>14</v>
      </c>
      <c r="C325" t="s">
        <v>7</v>
      </c>
      <c r="D325" t="s">
        <v>124</v>
      </c>
      <c r="E325" s="19">
        <v>31559</v>
      </c>
      <c r="F325" s="19">
        <v>28181</v>
      </c>
      <c r="I325" s="18"/>
    </row>
    <row r="326" spans="1:9" x14ac:dyDescent="0.25">
      <c r="A326" s="18">
        <v>45766</v>
      </c>
      <c r="B326" t="s">
        <v>12</v>
      </c>
      <c r="C326" t="s">
        <v>13</v>
      </c>
      <c r="D326" t="s">
        <v>126</v>
      </c>
      <c r="E326" s="19">
        <v>17102</v>
      </c>
      <c r="F326" s="19">
        <v>13784</v>
      </c>
      <c r="I326" s="18"/>
    </row>
    <row r="327" spans="1:9" x14ac:dyDescent="0.25">
      <c r="A327" s="18">
        <v>45767</v>
      </c>
      <c r="B327" t="s">
        <v>21</v>
      </c>
      <c r="C327" t="s">
        <v>22</v>
      </c>
      <c r="D327" t="s">
        <v>115</v>
      </c>
      <c r="E327" s="19">
        <v>75923</v>
      </c>
      <c r="F327" s="19">
        <v>72745</v>
      </c>
      <c r="I327" s="18"/>
    </row>
    <row r="328" spans="1:9" x14ac:dyDescent="0.25">
      <c r="A328" s="18">
        <v>45767</v>
      </c>
      <c r="B328" t="s">
        <v>6</v>
      </c>
      <c r="C328" t="s">
        <v>17</v>
      </c>
      <c r="D328" t="s">
        <v>120</v>
      </c>
      <c r="E328" s="19">
        <v>36462</v>
      </c>
      <c r="F328" s="19">
        <v>38279</v>
      </c>
      <c r="I328" s="18"/>
    </row>
    <row r="329" spans="1:9" x14ac:dyDescent="0.25">
      <c r="A329" s="18">
        <v>45767</v>
      </c>
      <c r="B329" t="s">
        <v>8</v>
      </c>
      <c r="C329" t="s">
        <v>16</v>
      </c>
      <c r="D329" t="s">
        <v>118</v>
      </c>
      <c r="E329" s="19">
        <v>19847</v>
      </c>
      <c r="F329" s="19">
        <v>8477</v>
      </c>
      <c r="I329" s="18"/>
    </row>
    <row r="330" spans="1:9" x14ac:dyDescent="0.25">
      <c r="A330" s="18">
        <v>45770</v>
      </c>
      <c r="B330" t="s">
        <v>4</v>
      </c>
      <c r="C330" t="s">
        <v>10</v>
      </c>
      <c r="D330" t="s">
        <v>129</v>
      </c>
      <c r="E330" s="19">
        <v>28177</v>
      </c>
      <c r="F330" s="19">
        <v>27958</v>
      </c>
      <c r="I330" s="18"/>
    </row>
    <row r="331" spans="1:9" x14ac:dyDescent="0.25">
      <c r="A331" s="18">
        <v>45770</v>
      </c>
      <c r="B331" t="s">
        <v>9</v>
      </c>
      <c r="C331" t="s">
        <v>18</v>
      </c>
      <c r="D331" t="s">
        <v>116</v>
      </c>
      <c r="E331" s="19">
        <v>34901</v>
      </c>
      <c r="F331" s="19">
        <v>32038</v>
      </c>
      <c r="I331" s="18"/>
    </row>
    <row r="332" spans="1:9" x14ac:dyDescent="0.25">
      <c r="A332" s="18">
        <v>45770</v>
      </c>
      <c r="B332" t="s">
        <v>15</v>
      </c>
      <c r="C332" t="s">
        <v>5</v>
      </c>
      <c r="D332" t="s">
        <v>122</v>
      </c>
      <c r="E332" s="19">
        <v>16364.999999999998</v>
      </c>
      <c r="F332" s="19">
        <v>15917</v>
      </c>
      <c r="I332" s="18"/>
    </row>
    <row r="333" spans="1:9" x14ac:dyDescent="0.25">
      <c r="A333" s="18">
        <v>45770</v>
      </c>
      <c r="B333" t="s">
        <v>19</v>
      </c>
      <c r="C333" t="s">
        <v>11</v>
      </c>
      <c r="D333" t="s">
        <v>117</v>
      </c>
      <c r="E333" s="19">
        <v>22352</v>
      </c>
      <c r="F333" s="19">
        <v>21108</v>
      </c>
      <c r="I333" s="18"/>
    </row>
    <row r="334" spans="1:9" x14ac:dyDescent="0.25">
      <c r="A334" s="18">
        <v>45774</v>
      </c>
      <c r="B334" t="s">
        <v>13</v>
      </c>
      <c r="C334" t="s">
        <v>4</v>
      </c>
      <c r="D334" t="s">
        <v>127</v>
      </c>
      <c r="E334" s="19">
        <v>54726</v>
      </c>
      <c r="F334" s="19">
        <v>51144</v>
      </c>
      <c r="I334" s="18"/>
    </row>
    <row r="335" spans="1:9" x14ac:dyDescent="0.25">
      <c r="A335" s="18">
        <v>45774</v>
      </c>
      <c r="B335" t="s">
        <v>17</v>
      </c>
      <c r="C335" t="s">
        <v>20</v>
      </c>
      <c r="D335" t="s">
        <v>115</v>
      </c>
      <c r="E335" s="19">
        <v>75923</v>
      </c>
      <c r="F335" s="19">
        <v>70240</v>
      </c>
      <c r="I335" s="18"/>
    </row>
    <row r="336" spans="1:9" x14ac:dyDescent="0.25">
      <c r="A336" s="18">
        <v>45774</v>
      </c>
      <c r="B336" t="s">
        <v>22</v>
      </c>
      <c r="C336" t="s">
        <v>14</v>
      </c>
      <c r="D336" t="s">
        <v>132</v>
      </c>
      <c r="E336" s="19">
        <v>24950</v>
      </c>
      <c r="F336" s="19">
        <v>21875</v>
      </c>
      <c r="I336" s="18"/>
    </row>
    <row r="337" spans="1:9" x14ac:dyDescent="0.25">
      <c r="A337" s="18">
        <v>45774</v>
      </c>
      <c r="B337" t="s">
        <v>11</v>
      </c>
      <c r="C337" t="s">
        <v>12</v>
      </c>
      <c r="D337" t="s">
        <v>123</v>
      </c>
      <c r="E337" s="19">
        <v>41507</v>
      </c>
      <c r="F337" s="19">
        <v>40016</v>
      </c>
      <c r="I337" s="18"/>
    </row>
    <row r="338" spans="1:9" x14ac:dyDescent="0.25">
      <c r="A338" s="18">
        <v>45774</v>
      </c>
      <c r="B338" t="s">
        <v>5</v>
      </c>
      <c r="C338" t="s">
        <v>8</v>
      </c>
      <c r="D338" t="s">
        <v>128</v>
      </c>
      <c r="E338" s="19">
        <v>43147</v>
      </c>
      <c r="F338" s="19">
        <v>20547</v>
      </c>
      <c r="I338" s="18"/>
    </row>
    <row r="339" spans="1:9" x14ac:dyDescent="0.25">
      <c r="A339" s="18">
        <v>45774</v>
      </c>
      <c r="B339" t="s">
        <v>7</v>
      </c>
      <c r="C339" t="s">
        <v>9</v>
      </c>
      <c r="D339" t="s">
        <v>131</v>
      </c>
      <c r="E339" s="19">
        <v>12039</v>
      </c>
      <c r="F339" s="19">
        <v>13602</v>
      </c>
      <c r="I339" s="18"/>
    </row>
    <row r="340" spans="1:9" x14ac:dyDescent="0.25">
      <c r="A340" s="18">
        <v>45774</v>
      </c>
      <c r="B340" t="s">
        <v>16</v>
      </c>
      <c r="C340" t="s">
        <v>21</v>
      </c>
      <c r="D340" t="s">
        <v>130</v>
      </c>
      <c r="E340" s="19">
        <v>12048</v>
      </c>
      <c r="F340" s="19">
        <v>10907</v>
      </c>
      <c r="I340" s="18"/>
    </row>
    <row r="341" spans="1:9" x14ac:dyDescent="0.25">
      <c r="A341" s="18">
        <v>45775</v>
      </c>
      <c r="B341" t="s">
        <v>18</v>
      </c>
      <c r="C341" t="s">
        <v>19</v>
      </c>
      <c r="D341" t="s">
        <v>119</v>
      </c>
      <c r="E341" s="19">
        <v>70634</v>
      </c>
      <c r="F341" s="19">
        <v>32000</v>
      </c>
      <c r="I341" s="18"/>
    </row>
    <row r="342" spans="1:9" x14ac:dyDescent="0.25">
      <c r="A342" s="18">
        <v>45775</v>
      </c>
      <c r="B342" t="s">
        <v>10</v>
      </c>
      <c r="C342" t="s">
        <v>6</v>
      </c>
      <c r="D342" t="s">
        <v>125</v>
      </c>
      <c r="E342" s="19">
        <v>25144</v>
      </c>
      <c r="F342" s="19">
        <v>23414</v>
      </c>
      <c r="I342" s="18"/>
    </row>
    <row r="343" spans="1:9" x14ac:dyDescent="0.25">
      <c r="A343" s="18">
        <v>45775</v>
      </c>
      <c r="B343" t="s">
        <v>23</v>
      </c>
      <c r="C343" t="s">
        <v>15</v>
      </c>
      <c r="D343" t="s">
        <v>121</v>
      </c>
      <c r="E343" s="19">
        <v>39211</v>
      </c>
      <c r="F343" s="19">
        <v>20741</v>
      </c>
      <c r="I343" s="18"/>
    </row>
    <row r="344" spans="1:9" x14ac:dyDescent="0.25">
      <c r="A344" s="18">
        <v>45779</v>
      </c>
      <c r="B344" t="s">
        <v>4</v>
      </c>
      <c r="C344" t="s">
        <v>16</v>
      </c>
      <c r="D344" t="s">
        <v>129</v>
      </c>
      <c r="E344" s="19">
        <v>28177</v>
      </c>
      <c r="F344" s="19">
        <v>21931</v>
      </c>
      <c r="I344" s="18"/>
    </row>
    <row r="345" spans="1:9" x14ac:dyDescent="0.25">
      <c r="A345" s="18">
        <v>45780</v>
      </c>
      <c r="B345" t="s">
        <v>17</v>
      </c>
      <c r="C345" t="s">
        <v>23</v>
      </c>
      <c r="D345" t="s">
        <v>115</v>
      </c>
      <c r="E345" s="19">
        <v>75923</v>
      </c>
      <c r="F345" s="19">
        <v>70222</v>
      </c>
      <c r="I345" s="18"/>
    </row>
    <row r="346" spans="1:9" x14ac:dyDescent="0.25">
      <c r="A346" s="18">
        <v>45780</v>
      </c>
      <c r="B346" t="s">
        <v>15</v>
      </c>
      <c r="C346" t="s">
        <v>10</v>
      </c>
      <c r="D346" t="s">
        <v>122</v>
      </c>
      <c r="E346" s="19">
        <v>16364.999999999998</v>
      </c>
      <c r="F346" s="19">
        <v>16099</v>
      </c>
      <c r="I346" s="18"/>
    </row>
    <row r="347" spans="1:9" x14ac:dyDescent="0.25">
      <c r="A347" s="18">
        <v>45780</v>
      </c>
      <c r="B347" t="s">
        <v>19</v>
      </c>
      <c r="C347" t="s">
        <v>7</v>
      </c>
      <c r="D347" t="s">
        <v>117</v>
      </c>
      <c r="E347" s="19">
        <v>22352</v>
      </c>
      <c r="F347" s="19">
        <v>20132</v>
      </c>
      <c r="I347" s="18"/>
    </row>
    <row r="348" spans="1:9" x14ac:dyDescent="0.25">
      <c r="A348" s="18">
        <v>45780</v>
      </c>
      <c r="B348" t="s">
        <v>14</v>
      </c>
      <c r="C348" t="s">
        <v>13</v>
      </c>
      <c r="D348" t="s">
        <v>124</v>
      </c>
      <c r="E348" s="19">
        <v>31559</v>
      </c>
      <c r="F348" s="19">
        <v>28403</v>
      </c>
      <c r="I348" s="18"/>
    </row>
    <row r="349" spans="1:9" x14ac:dyDescent="0.25">
      <c r="A349" s="18">
        <v>45781</v>
      </c>
      <c r="B349" t="s">
        <v>20</v>
      </c>
      <c r="C349" t="s">
        <v>5</v>
      </c>
      <c r="D349" t="s">
        <v>119</v>
      </c>
      <c r="E349" s="19">
        <v>70634</v>
      </c>
      <c r="F349" s="19">
        <v>63640</v>
      </c>
      <c r="I349" s="18"/>
    </row>
    <row r="350" spans="1:9" x14ac:dyDescent="0.25">
      <c r="A350" s="18">
        <v>45781</v>
      </c>
      <c r="B350" t="s">
        <v>6</v>
      </c>
      <c r="C350" t="s">
        <v>11</v>
      </c>
      <c r="D350" t="s">
        <v>120</v>
      </c>
      <c r="E350" s="19">
        <v>36462</v>
      </c>
      <c r="F350" s="19">
        <v>30846</v>
      </c>
      <c r="I350" s="18"/>
    </row>
    <row r="351" spans="1:9" x14ac:dyDescent="0.25">
      <c r="A351" s="18">
        <v>45781</v>
      </c>
      <c r="B351" t="s">
        <v>8</v>
      </c>
      <c r="C351" t="s">
        <v>18</v>
      </c>
      <c r="D351" t="s">
        <v>118</v>
      </c>
      <c r="E351" s="19">
        <v>19847</v>
      </c>
      <c r="F351" s="19">
        <v>8787</v>
      </c>
      <c r="I351" s="18"/>
    </row>
    <row r="352" spans="1:9" x14ac:dyDescent="0.25">
      <c r="A352" s="18">
        <v>45781</v>
      </c>
      <c r="B352" t="s">
        <v>12</v>
      </c>
      <c r="C352" t="s">
        <v>22</v>
      </c>
      <c r="D352" t="s">
        <v>126</v>
      </c>
      <c r="E352" s="19">
        <v>17102</v>
      </c>
      <c r="F352" s="19">
        <v>10440</v>
      </c>
      <c r="I352" s="18"/>
    </row>
    <row r="353" spans="1:9" x14ac:dyDescent="0.25">
      <c r="A353" s="18">
        <v>45782</v>
      </c>
      <c r="B353" t="s">
        <v>9</v>
      </c>
      <c r="C353" t="s">
        <v>21</v>
      </c>
      <c r="D353" t="s">
        <v>116</v>
      </c>
      <c r="E353" s="19">
        <v>34901</v>
      </c>
      <c r="F353" s="19">
        <v>32081</v>
      </c>
      <c r="I353" s="18"/>
    </row>
    <row r="354" spans="1:9" x14ac:dyDescent="0.25">
      <c r="A354" s="18">
        <v>45786</v>
      </c>
      <c r="B354" t="s">
        <v>21</v>
      </c>
      <c r="C354" t="s">
        <v>6</v>
      </c>
      <c r="D354" t="s">
        <v>115</v>
      </c>
      <c r="E354" s="19">
        <v>75923</v>
      </c>
      <c r="F354" s="19">
        <v>71076</v>
      </c>
      <c r="I354" s="18"/>
    </row>
    <row r="355" spans="1:9" x14ac:dyDescent="0.25">
      <c r="A355" s="18">
        <v>45787</v>
      </c>
      <c r="B355" t="s">
        <v>18</v>
      </c>
      <c r="C355" t="s">
        <v>11</v>
      </c>
      <c r="D355" t="s">
        <v>119</v>
      </c>
      <c r="E355" s="19">
        <v>70634</v>
      </c>
      <c r="F355" s="19">
        <v>56000</v>
      </c>
      <c r="I355" s="18"/>
    </row>
    <row r="356" spans="1:9" x14ac:dyDescent="0.25">
      <c r="A356" s="18">
        <v>45787</v>
      </c>
      <c r="B356" t="s">
        <v>7</v>
      </c>
      <c r="C356" t="s">
        <v>15</v>
      </c>
      <c r="D356" t="s">
        <v>131</v>
      </c>
      <c r="E356" s="19">
        <v>12039</v>
      </c>
      <c r="F356" s="19">
        <v>10291</v>
      </c>
      <c r="I356" s="18"/>
    </row>
    <row r="357" spans="1:9" x14ac:dyDescent="0.25">
      <c r="A357" s="18">
        <v>45787</v>
      </c>
      <c r="B357" t="s">
        <v>8</v>
      </c>
      <c r="C357" t="s">
        <v>19</v>
      </c>
      <c r="D357" t="s">
        <v>118</v>
      </c>
      <c r="E357" s="19">
        <v>19847</v>
      </c>
      <c r="F357" s="19">
        <v>12040</v>
      </c>
      <c r="I357" s="18"/>
    </row>
    <row r="358" spans="1:9" x14ac:dyDescent="0.25">
      <c r="A358" s="18">
        <v>45788</v>
      </c>
      <c r="B358" t="s">
        <v>13</v>
      </c>
      <c r="C358" t="s">
        <v>9</v>
      </c>
      <c r="D358" t="s">
        <v>127</v>
      </c>
      <c r="E358" s="19">
        <v>54726</v>
      </c>
      <c r="F358" s="19">
        <v>51426</v>
      </c>
      <c r="I358" s="18"/>
    </row>
    <row r="359" spans="1:9" x14ac:dyDescent="0.25">
      <c r="A359" s="18">
        <v>45788</v>
      </c>
      <c r="B359" t="s">
        <v>4</v>
      </c>
      <c r="C359" t="s">
        <v>17</v>
      </c>
      <c r="D359" t="s">
        <v>129</v>
      </c>
      <c r="E359" s="19">
        <v>28177</v>
      </c>
      <c r="F359" s="19">
        <v>26537</v>
      </c>
      <c r="I359" s="18"/>
    </row>
    <row r="360" spans="1:9" x14ac:dyDescent="0.25">
      <c r="A360" s="18">
        <v>45788</v>
      </c>
      <c r="B360" t="s">
        <v>10</v>
      </c>
      <c r="C360" t="s">
        <v>12</v>
      </c>
      <c r="D360" t="s">
        <v>125</v>
      </c>
      <c r="E360" s="19">
        <v>25144</v>
      </c>
      <c r="F360" s="19">
        <v>20845</v>
      </c>
      <c r="I360" s="18"/>
    </row>
    <row r="361" spans="1:9" x14ac:dyDescent="0.25">
      <c r="A361" s="18">
        <v>45788</v>
      </c>
      <c r="B361" t="s">
        <v>23</v>
      </c>
      <c r="C361" t="s">
        <v>14</v>
      </c>
      <c r="D361" t="s">
        <v>121</v>
      </c>
      <c r="E361" s="19">
        <v>39211</v>
      </c>
      <c r="F361" s="19">
        <v>27709</v>
      </c>
      <c r="I361" s="18"/>
    </row>
    <row r="362" spans="1:9" x14ac:dyDescent="0.25">
      <c r="A362" s="18">
        <v>45789</v>
      </c>
      <c r="B362" t="s">
        <v>22</v>
      </c>
      <c r="C362" t="s">
        <v>20</v>
      </c>
      <c r="D362" t="s">
        <v>132</v>
      </c>
      <c r="E362" s="19">
        <v>24950</v>
      </c>
      <c r="F362" s="19">
        <v>23249</v>
      </c>
      <c r="I362" s="18"/>
    </row>
    <row r="363" spans="1:9" x14ac:dyDescent="0.25">
      <c r="A363" s="18">
        <v>45789</v>
      </c>
      <c r="B363" t="s">
        <v>16</v>
      </c>
      <c r="C363" t="s">
        <v>5</v>
      </c>
      <c r="D363" t="s">
        <v>130</v>
      </c>
      <c r="E363" s="19">
        <v>12048</v>
      </c>
      <c r="F363" s="19">
        <v>11000</v>
      </c>
      <c r="I363" s="18"/>
    </row>
    <row r="364" spans="1:9" x14ac:dyDescent="0.25">
      <c r="A364" s="18">
        <v>45794</v>
      </c>
      <c r="B364" t="s">
        <v>9</v>
      </c>
      <c r="C364" t="s">
        <v>22</v>
      </c>
      <c r="D364" t="s">
        <v>116</v>
      </c>
      <c r="E364" s="19">
        <v>34901</v>
      </c>
      <c r="F364" s="19">
        <v>31929</v>
      </c>
      <c r="I364" s="18"/>
    </row>
    <row r="365" spans="1:9" x14ac:dyDescent="0.25">
      <c r="A365" s="18">
        <v>45795</v>
      </c>
      <c r="B365" t="s">
        <v>17</v>
      </c>
      <c r="C365" t="s">
        <v>18</v>
      </c>
      <c r="D365" t="s">
        <v>115</v>
      </c>
      <c r="E365" s="19">
        <v>75923</v>
      </c>
      <c r="F365" s="19">
        <v>80018</v>
      </c>
      <c r="I365" s="18"/>
    </row>
    <row r="366" spans="1:9" x14ac:dyDescent="0.25">
      <c r="A366" s="18">
        <v>45795</v>
      </c>
      <c r="B366" t="s">
        <v>11</v>
      </c>
      <c r="C366" t="s">
        <v>10</v>
      </c>
      <c r="D366" t="s">
        <v>123</v>
      </c>
      <c r="E366" s="19">
        <v>41507</v>
      </c>
      <c r="F366" s="19">
        <v>40259</v>
      </c>
      <c r="I366" s="18"/>
    </row>
    <row r="367" spans="1:9" x14ac:dyDescent="0.25">
      <c r="A367" s="18">
        <v>45795</v>
      </c>
      <c r="B367" t="s">
        <v>20</v>
      </c>
      <c r="C367" t="s">
        <v>21</v>
      </c>
      <c r="D367" t="s">
        <v>119</v>
      </c>
      <c r="E367" s="19">
        <v>70634</v>
      </c>
      <c r="F367" s="19">
        <v>68143</v>
      </c>
      <c r="I367" s="18"/>
    </row>
    <row r="368" spans="1:9" x14ac:dyDescent="0.25">
      <c r="A368" s="18">
        <v>45795</v>
      </c>
      <c r="B368" t="s">
        <v>5</v>
      </c>
      <c r="C368" t="s">
        <v>6</v>
      </c>
      <c r="D368" t="s">
        <v>128</v>
      </c>
      <c r="E368" s="19">
        <v>43147</v>
      </c>
      <c r="F368" s="19">
        <v>21280</v>
      </c>
      <c r="I368" s="18"/>
    </row>
    <row r="369" spans="1:9" x14ac:dyDescent="0.25">
      <c r="A369" s="18">
        <v>45795</v>
      </c>
      <c r="B369" t="s">
        <v>23</v>
      </c>
      <c r="C369" t="s">
        <v>7</v>
      </c>
      <c r="D369" t="s">
        <v>121</v>
      </c>
      <c r="E369" s="19">
        <v>39211</v>
      </c>
      <c r="F369" s="19">
        <v>24344</v>
      </c>
      <c r="I369" s="18"/>
    </row>
    <row r="370" spans="1:9" x14ac:dyDescent="0.25">
      <c r="A370" s="18">
        <v>45795</v>
      </c>
      <c r="B370" t="s">
        <v>15</v>
      </c>
      <c r="C370" t="s">
        <v>16</v>
      </c>
      <c r="D370" t="s">
        <v>122</v>
      </c>
      <c r="E370" s="19">
        <v>16364.999999999998</v>
      </c>
      <c r="F370" s="19">
        <v>9713</v>
      </c>
      <c r="I370" s="18"/>
    </row>
    <row r="371" spans="1:9" x14ac:dyDescent="0.25">
      <c r="A371" s="18">
        <v>45795</v>
      </c>
      <c r="B371" t="s">
        <v>19</v>
      </c>
      <c r="C371" t="s">
        <v>13</v>
      </c>
      <c r="D371" t="s">
        <v>117</v>
      </c>
      <c r="E371" s="19">
        <v>22352</v>
      </c>
      <c r="F371" s="19">
        <v>20388</v>
      </c>
      <c r="I371" s="18"/>
    </row>
    <row r="372" spans="1:9" x14ac:dyDescent="0.25">
      <c r="A372" s="18">
        <v>45795</v>
      </c>
      <c r="B372" t="s">
        <v>14</v>
      </c>
      <c r="C372" t="s">
        <v>4</v>
      </c>
      <c r="D372" t="s">
        <v>124</v>
      </c>
      <c r="E372" s="19">
        <v>31559</v>
      </c>
      <c r="F372" s="19">
        <v>25490</v>
      </c>
      <c r="I372" s="18"/>
    </row>
    <row r="373" spans="1:9" x14ac:dyDescent="0.25">
      <c r="A373" s="18">
        <v>45795</v>
      </c>
      <c r="B373" t="s">
        <v>12</v>
      </c>
      <c r="C373" t="s">
        <v>8</v>
      </c>
      <c r="D373" t="s">
        <v>126</v>
      </c>
      <c r="E373" s="19">
        <v>17102</v>
      </c>
      <c r="F373" s="19">
        <v>7742</v>
      </c>
      <c r="I373" s="18"/>
    </row>
    <row r="374" spans="1:9" x14ac:dyDescent="0.25">
      <c r="A374" s="18">
        <v>45800</v>
      </c>
      <c r="B374" t="s">
        <v>13</v>
      </c>
      <c r="C374" t="s">
        <v>15</v>
      </c>
      <c r="D374" t="s">
        <v>127</v>
      </c>
      <c r="E374" s="19">
        <v>54726</v>
      </c>
      <c r="F374" s="19">
        <v>53400</v>
      </c>
      <c r="I374" s="18"/>
    </row>
    <row r="375" spans="1:9" x14ac:dyDescent="0.25">
      <c r="A375" s="18">
        <v>45800</v>
      </c>
      <c r="B375" t="s">
        <v>7</v>
      </c>
      <c r="C375" t="s">
        <v>17</v>
      </c>
      <c r="D375" t="s">
        <v>131</v>
      </c>
      <c r="E375" s="19">
        <v>12039</v>
      </c>
      <c r="F375" s="19">
        <v>10656</v>
      </c>
      <c r="I375" s="18"/>
    </row>
    <row r="376" spans="1:9" x14ac:dyDescent="0.25">
      <c r="A376" s="18">
        <v>45801</v>
      </c>
      <c r="B376" t="s">
        <v>21</v>
      </c>
      <c r="C376" t="s">
        <v>12</v>
      </c>
      <c r="D376" t="s">
        <v>115</v>
      </c>
      <c r="E376" s="19">
        <v>75923</v>
      </c>
      <c r="F376" s="19">
        <v>69124</v>
      </c>
      <c r="I376" s="18"/>
    </row>
    <row r="377" spans="1:9" x14ac:dyDescent="0.25">
      <c r="A377" s="18">
        <v>45801</v>
      </c>
      <c r="B377" t="s">
        <v>6</v>
      </c>
      <c r="C377" t="s">
        <v>9</v>
      </c>
      <c r="D377" t="s">
        <v>120</v>
      </c>
      <c r="E377" s="19">
        <v>36462</v>
      </c>
      <c r="F377" s="19">
        <v>29975</v>
      </c>
      <c r="I377" s="18"/>
    </row>
    <row r="378" spans="1:9" x14ac:dyDescent="0.25">
      <c r="A378" s="18">
        <v>45802</v>
      </c>
      <c r="B378" t="s">
        <v>22</v>
      </c>
      <c r="C378" t="s">
        <v>19</v>
      </c>
      <c r="D378" t="s">
        <v>132</v>
      </c>
      <c r="E378" s="19">
        <v>24950</v>
      </c>
      <c r="F378" s="19">
        <v>23161</v>
      </c>
      <c r="I378" s="18"/>
    </row>
    <row r="379" spans="1:9" x14ac:dyDescent="0.25">
      <c r="A379" s="18">
        <v>45802</v>
      </c>
      <c r="B379" t="s">
        <v>18</v>
      </c>
      <c r="C379" t="s">
        <v>14</v>
      </c>
      <c r="D379" t="s">
        <v>119</v>
      </c>
      <c r="E379" s="19">
        <v>70634</v>
      </c>
      <c r="F379" s="19">
        <v>53000</v>
      </c>
      <c r="I379" s="18"/>
    </row>
    <row r="380" spans="1:9" x14ac:dyDescent="0.25">
      <c r="A380" s="18">
        <v>45802</v>
      </c>
      <c r="B380" t="s">
        <v>4</v>
      </c>
      <c r="C380" t="s">
        <v>20</v>
      </c>
      <c r="D380" t="s">
        <v>129</v>
      </c>
      <c r="E380" s="19">
        <v>28177</v>
      </c>
      <c r="F380" s="19">
        <v>24252</v>
      </c>
      <c r="I380" s="18"/>
    </row>
    <row r="381" spans="1:9" x14ac:dyDescent="0.25">
      <c r="A381" s="18">
        <v>45802</v>
      </c>
      <c r="B381" t="s">
        <v>10</v>
      </c>
      <c r="C381" t="s">
        <v>5</v>
      </c>
      <c r="D381" t="s">
        <v>125</v>
      </c>
      <c r="E381" s="19">
        <v>25144</v>
      </c>
      <c r="F381" s="19">
        <v>20463</v>
      </c>
      <c r="I381" s="18"/>
    </row>
    <row r="382" spans="1:9" x14ac:dyDescent="0.25">
      <c r="A382" s="18">
        <v>45802</v>
      </c>
      <c r="B382" t="s">
        <v>8</v>
      </c>
      <c r="C382" t="s">
        <v>23</v>
      </c>
      <c r="D382" t="s">
        <v>118</v>
      </c>
      <c r="E382" s="19">
        <v>19847</v>
      </c>
      <c r="F382" s="19">
        <v>14000</v>
      </c>
      <c r="I382" s="18"/>
    </row>
    <row r="383" spans="1:9" x14ac:dyDescent="0.25">
      <c r="A383" s="18">
        <v>45802</v>
      </c>
      <c r="B383" t="s">
        <v>16</v>
      </c>
      <c r="C383" t="s">
        <v>11</v>
      </c>
      <c r="D383" t="s">
        <v>130</v>
      </c>
      <c r="E383" s="19">
        <v>12048</v>
      </c>
      <c r="F383" s="19">
        <v>12048</v>
      </c>
      <c r="I383" s="18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09A6-F3AF-4AA0-AFA8-94D56344756F}">
  <sheetPr codeName="Sheet5"/>
  <dimension ref="A1:I637"/>
  <sheetViews>
    <sheetView workbookViewId="0">
      <selection activeCell="K4" sqref="K4"/>
    </sheetView>
  </sheetViews>
  <sheetFormatPr defaultRowHeight="15" x14ac:dyDescent="0.25"/>
  <cols>
    <col min="1" max="1" width="23.28515625" customWidth="1"/>
    <col min="4" max="4" width="15.85546875" customWidth="1"/>
    <col min="8" max="8" width="10.7109375" bestFit="1" customWidth="1"/>
    <col min="9" max="9" width="8.5703125" bestFit="1" customWidth="1"/>
    <col min="15" max="15" width="26" customWidth="1"/>
  </cols>
  <sheetData>
    <row r="1" spans="1:9" x14ac:dyDescent="0.25">
      <c r="A1" s="44" t="s">
        <v>133</v>
      </c>
      <c r="B1" s="44"/>
      <c r="C1" s="44"/>
      <c r="D1" s="44"/>
      <c r="E1" s="44"/>
      <c r="F1" s="44"/>
      <c r="G1" s="44"/>
      <c r="H1" s="44"/>
      <c r="I1" s="44"/>
    </row>
    <row r="3" spans="1:9" x14ac:dyDescent="0.25">
      <c r="A3" s="10" t="s">
        <v>134</v>
      </c>
      <c r="B3" s="10" t="s">
        <v>135</v>
      </c>
      <c r="C3" s="10" t="s">
        <v>136</v>
      </c>
      <c r="D3" s="10" t="s">
        <v>2</v>
      </c>
      <c r="E3" s="10" t="s">
        <v>137</v>
      </c>
      <c r="F3" s="10" t="s">
        <v>76</v>
      </c>
      <c r="G3" s="10" t="s">
        <v>138</v>
      </c>
      <c r="H3" s="10" t="s">
        <v>828</v>
      </c>
      <c r="I3" s="10" t="s">
        <v>829</v>
      </c>
    </row>
    <row r="4" spans="1:9" x14ac:dyDescent="0.25">
      <c r="A4" t="s">
        <v>139</v>
      </c>
      <c r="B4" t="s">
        <v>140</v>
      </c>
      <c r="C4" t="s">
        <v>141</v>
      </c>
      <c r="D4" t="s">
        <v>10</v>
      </c>
      <c r="E4">
        <v>20</v>
      </c>
      <c r="F4">
        <v>0</v>
      </c>
      <c r="G4">
        <v>0</v>
      </c>
      <c r="H4">
        <v>1</v>
      </c>
      <c r="I4">
        <v>0</v>
      </c>
    </row>
    <row r="5" spans="1:9" x14ac:dyDescent="0.25">
      <c r="A5" t="s">
        <v>142</v>
      </c>
      <c r="B5" t="s">
        <v>143</v>
      </c>
      <c r="C5" t="s">
        <v>144</v>
      </c>
      <c r="D5" t="s">
        <v>20</v>
      </c>
      <c r="E5">
        <v>25</v>
      </c>
      <c r="F5">
        <v>0</v>
      </c>
      <c r="G5">
        <v>1</v>
      </c>
      <c r="H5">
        <v>0</v>
      </c>
      <c r="I5">
        <v>0</v>
      </c>
    </row>
    <row r="6" spans="1:9" x14ac:dyDescent="0.25">
      <c r="A6" t="s">
        <v>145</v>
      </c>
      <c r="B6" t="s">
        <v>146</v>
      </c>
      <c r="C6" t="s">
        <v>147</v>
      </c>
      <c r="D6" t="s">
        <v>7</v>
      </c>
      <c r="E6">
        <v>28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148</v>
      </c>
      <c r="B7" t="s">
        <v>149</v>
      </c>
      <c r="C7" t="s">
        <v>150</v>
      </c>
      <c r="D7" t="s">
        <v>20</v>
      </c>
      <c r="E7">
        <v>26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148</v>
      </c>
      <c r="B8" t="s">
        <v>149</v>
      </c>
      <c r="C8" t="s">
        <v>150</v>
      </c>
      <c r="D8" t="s">
        <v>21</v>
      </c>
      <c r="E8">
        <v>26</v>
      </c>
      <c r="F8">
        <v>3</v>
      </c>
      <c r="G8">
        <v>4</v>
      </c>
      <c r="H8">
        <v>1</v>
      </c>
      <c r="I8">
        <v>0</v>
      </c>
    </row>
    <row r="9" spans="1:9" x14ac:dyDescent="0.25">
      <c r="A9" t="s">
        <v>151</v>
      </c>
      <c r="B9" t="s">
        <v>152</v>
      </c>
      <c r="C9" t="s">
        <v>147</v>
      </c>
      <c r="D9" t="s">
        <v>9</v>
      </c>
      <c r="E9">
        <v>20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153</v>
      </c>
      <c r="B10" t="s">
        <v>152</v>
      </c>
      <c r="C10" t="s">
        <v>144</v>
      </c>
      <c r="D10" t="s">
        <v>17</v>
      </c>
      <c r="E10">
        <v>36</v>
      </c>
      <c r="F10">
        <v>0</v>
      </c>
      <c r="G10">
        <v>1</v>
      </c>
      <c r="H10">
        <v>0</v>
      </c>
      <c r="I10">
        <v>0</v>
      </c>
    </row>
    <row r="11" spans="1:9" x14ac:dyDescent="0.25">
      <c r="A11" t="s">
        <v>154</v>
      </c>
      <c r="B11" t="s">
        <v>155</v>
      </c>
      <c r="C11" t="s">
        <v>150</v>
      </c>
      <c r="D11" t="s">
        <v>4</v>
      </c>
      <c r="E11">
        <v>28</v>
      </c>
      <c r="F11">
        <v>9</v>
      </c>
      <c r="G11">
        <v>3</v>
      </c>
      <c r="H11">
        <v>2</v>
      </c>
      <c r="I11">
        <v>0</v>
      </c>
    </row>
    <row r="12" spans="1:9" x14ac:dyDescent="0.25">
      <c r="A12" t="s">
        <v>156</v>
      </c>
      <c r="B12" t="s">
        <v>157</v>
      </c>
      <c r="C12" t="s">
        <v>147</v>
      </c>
      <c r="D12" t="s">
        <v>5</v>
      </c>
      <c r="E12">
        <v>24</v>
      </c>
      <c r="F12">
        <v>4</v>
      </c>
      <c r="G12">
        <v>6</v>
      </c>
      <c r="H12">
        <v>3</v>
      </c>
      <c r="I12">
        <v>1</v>
      </c>
    </row>
    <row r="13" spans="1:9" x14ac:dyDescent="0.25">
      <c r="A13" t="s">
        <v>158</v>
      </c>
      <c r="B13" t="s">
        <v>159</v>
      </c>
      <c r="C13" t="s">
        <v>160</v>
      </c>
      <c r="D13" t="s">
        <v>11</v>
      </c>
      <c r="E13">
        <v>18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161</v>
      </c>
      <c r="B14" t="s">
        <v>162</v>
      </c>
      <c r="C14" t="s">
        <v>147</v>
      </c>
      <c r="D14" t="s">
        <v>6</v>
      </c>
      <c r="E14">
        <v>27</v>
      </c>
      <c r="F14">
        <v>0</v>
      </c>
      <c r="G14">
        <v>0</v>
      </c>
      <c r="H14">
        <v>2</v>
      </c>
      <c r="I14">
        <v>0</v>
      </c>
    </row>
    <row r="15" spans="1:9" x14ac:dyDescent="0.25">
      <c r="A15" t="s">
        <v>163</v>
      </c>
      <c r="B15" t="s">
        <v>152</v>
      </c>
      <c r="C15" t="s">
        <v>141</v>
      </c>
      <c r="D15" t="s">
        <v>9</v>
      </c>
      <c r="E15">
        <v>16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164</v>
      </c>
      <c r="B16" t="s">
        <v>165</v>
      </c>
      <c r="C16" t="s">
        <v>150</v>
      </c>
      <c r="D16" t="s">
        <v>23</v>
      </c>
      <c r="E16">
        <v>19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166</v>
      </c>
      <c r="B17" t="s">
        <v>165</v>
      </c>
      <c r="C17" t="s">
        <v>147</v>
      </c>
      <c r="D17" t="s">
        <v>12</v>
      </c>
      <c r="E17">
        <v>31</v>
      </c>
      <c r="F17">
        <v>0</v>
      </c>
      <c r="G17">
        <v>0</v>
      </c>
      <c r="H17">
        <v>4</v>
      </c>
      <c r="I17">
        <v>0</v>
      </c>
    </row>
    <row r="18" spans="1:9" x14ac:dyDescent="0.25">
      <c r="A18" t="s">
        <v>167</v>
      </c>
      <c r="B18" t="s">
        <v>168</v>
      </c>
      <c r="C18" t="s">
        <v>169</v>
      </c>
      <c r="D18" t="s">
        <v>9</v>
      </c>
      <c r="E18">
        <v>22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170</v>
      </c>
      <c r="B19" t="s">
        <v>171</v>
      </c>
      <c r="C19" t="s">
        <v>169</v>
      </c>
      <c r="D19" t="s">
        <v>23</v>
      </c>
      <c r="E19">
        <v>23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172</v>
      </c>
      <c r="B20" t="s">
        <v>149</v>
      </c>
      <c r="C20" t="s">
        <v>147</v>
      </c>
      <c r="D20" t="s">
        <v>7</v>
      </c>
      <c r="E20">
        <v>28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t="s">
        <v>173</v>
      </c>
      <c r="B21" t="s">
        <v>174</v>
      </c>
      <c r="C21" t="s">
        <v>169</v>
      </c>
      <c r="D21" t="s">
        <v>19</v>
      </c>
      <c r="E21">
        <v>25</v>
      </c>
      <c r="F21">
        <v>1</v>
      </c>
      <c r="G21">
        <v>1</v>
      </c>
      <c r="H21">
        <v>5</v>
      </c>
      <c r="I21">
        <v>0</v>
      </c>
    </row>
    <row r="22" spans="1:9" x14ac:dyDescent="0.25">
      <c r="A22" t="s">
        <v>175</v>
      </c>
      <c r="B22" t="s">
        <v>152</v>
      </c>
      <c r="C22" t="s">
        <v>144</v>
      </c>
      <c r="D22" t="s">
        <v>16</v>
      </c>
      <c r="E22">
        <v>25</v>
      </c>
      <c r="F22">
        <v>0</v>
      </c>
      <c r="G22">
        <v>0</v>
      </c>
      <c r="H22">
        <v>2</v>
      </c>
      <c r="I22">
        <v>0</v>
      </c>
    </row>
    <row r="23" spans="1:9" x14ac:dyDescent="0.25">
      <c r="A23" t="s">
        <v>176</v>
      </c>
      <c r="B23" t="s">
        <v>177</v>
      </c>
      <c r="C23" t="s">
        <v>147</v>
      </c>
      <c r="D23" t="s">
        <v>5</v>
      </c>
      <c r="E23">
        <v>27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178</v>
      </c>
      <c r="B24" t="s">
        <v>179</v>
      </c>
      <c r="C24" t="s">
        <v>144</v>
      </c>
      <c r="D24" t="s">
        <v>20</v>
      </c>
      <c r="E24">
        <v>27</v>
      </c>
      <c r="F24">
        <v>2</v>
      </c>
      <c r="G24">
        <v>1</v>
      </c>
      <c r="H24">
        <v>1</v>
      </c>
      <c r="I24">
        <v>0</v>
      </c>
    </row>
    <row r="25" spans="1:9" x14ac:dyDescent="0.25">
      <c r="A25" t="s">
        <v>180</v>
      </c>
      <c r="B25" t="s">
        <v>152</v>
      </c>
      <c r="C25" t="s">
        <v>150</v>
      </c>
      <c r="D25" t="s">
        <v>11</v>
      </c>
      <c r="E25">
        <v>19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181</v>
      </c>
      <c r="B26" t="s">
        <v>149</v>
      </c>
      <c r="C26" t="s">
        <v>147</v>
      </c>
      <c r="D26" t="s">
        <v>8</v>
      </c>
      <c r="E26">
        <v>22</v>
      </c>
      <c r="F26">
        <v>2</v>
      </c>
      <c r="G26">
        <v>3</v>
      </c>
      <c r="H26">
        <v>3</v>
      </c>
      <c r="I26">
        <v>0</v>
      </c>
    </row>
    <row r="27" spans="1:9" x14ac:dyDescent="0.25">
      <c r="A27" t="s">
        <v>182</v>
      </c>
      <c r="B27" t="s">
        <v>183</v>
      </c>
      <c r="C27" t="s">
        <v>150</v>
      </c>
      <c r="D27" t="s">
        <v>17</v>
      </c>
      <c r="E27">
        <v>35</v>
      </c>
      <c r="F27">
        <v>4</v>
      </c>
      <c r="G27">
        <v>2</v>
      </c>
      <c r="H27">
        <v>1</v>
      </c>
      <c r="I27">
        <v>0</v>
      </c>
    </row>
    <row r="28" spans="1:9" x14ac:dyDescent="0.25">
      <c r="A28" t="s">
        <v>184</v>
      </c>
      <c r="B28" t="s">
        <v>185</v>
      </c>
      <c r="C28" t="s">
        <v>147</v>
      </c>
      <c r="D28" t="s">
        <v>17</v>
      </c>
      <c r="E28">
        <v>22</v>
      </c>
      <c r="F28">
        <v>2</v>
      </c>
      <c r="G28">
        <v>2</v>
      </c>
      <c r="H28">
        <v>4</v>
      </c>
      <c r="I28">
        <v>0</v>
      </c>
    </row>
    <row r="29" spans="1:9" x14ac:dyDescent="0.25">
      <c r="A29" t="s">
        <v>186</v>
      </c>
      <c r="B29" t="s">
        <v>157</v>
      </c>
      <c r="C29" t="s">
        <v>160</v>
      </c>
      <c r="D29" t="s">
        <v>10</v>
      </c>
      <c r="E29">
        <v>21</v>
      </c>
      <c r="F29">
        <v>0</v>
      </c>
      <c r="G29">
        <v>1</v>
      </c>
      <c r="H29">
        <v>5</v>
      </c>
      <c r="I29">
        <v>0</v>
      </c>
    </row>
    <row r="30" spans="1:9" x14ac:dyDescent="0.25">
      <c r="A30" t="s">
        <v>187</v>
      </c>
      <c r="B30" t="s">
        <v>188</v>
      </c>
      <c r="C30" t="s">
        <v>189</v>
      </c>
      <c r="D30" t="s">
        <v>7</v>
      </c>
      <c r="E30">
        <v>27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190</v>
      </c>
      <c r="B31" t="s">
        <v>152</v>
      </c>
      <c r="C31" t="s">
        <v>144</v>
      </c>
      <c r="D31" t="s">
        <v>15</v>
      </c>
      <c r="E31">
        <v>29</v>
      </c>
      <c r="F31">
        <v>0</v>
      </c>
      <c r="G31">
        <v>7</v>
      </c>
      <c r="H31">
        <v>3</v>
      </c>
      <c r="I31">
        <v>0</v>
      </c>
    </row>
    <row r="32" spans="1:9" x14ac:dyDescent="0.25">
      <c r="A32" t="s">
        <v>191</v>
      </c>
      <c r="B32" t="s">
        <v>192</v>
      </c>
      <c r="C32" t="s">
        <v>144</v>
      </c>
      <c r="D32" t="s">
        <v>17</v>
      </c>
      <c r="E32">
        <v>25</v>
      </c>
      <c r="F32">
        <v>3</v>
      </c>
      <c r="G32">
        <v>2</v>
      </c>
      <c r="H32">
        <v>1</v>
      </c>
      <c r="I32">
        <v>0</v>
      </c>
    </row>
    <row r="33" spans="1:9" x14ac:dyDescent="0.25">
      <c r="A33" t="s">
        <v>193</v>
      </c>
      <c r="B33" t="s">
        <v>171</v>
      </c>
      <c r="C33" t="s">
        <v>144</v>
      </c>
      <c r="D33" t="s">
        <v>17</v>
      </c>
      <c r="E33">
        <v>23</v>
      </c>
      <c r="F33">
        <v>3</v>
      </c>
      <c r="G33">
        <v>2</v>
      </c>
      <c r="H33">
        <v>4</v>
      </c>
      <c r="I33">
        <v>0</v>
      </c>
    </row>
    <row r="34" spans="1:9" x14ac:dyDescent="0.25">
      <c r="A34" t="s">
        <v>194</v>
      </c>
      <c r="B34" t="s">
        <v>192</v>
      </c>
      <c r="C34" t="s">
        <v>144</v>
      </c>
      <c r="D34" t="s">
        <v>15</v>
      </c>
      <c r="E34">
        <v>30</v>
      </c>
      <c r="F34">
        <v>0</v>
      </c>
      <c r="G34">
        <v>0</v>
      </c>
      <c r="H34">
        <v>2</v>
      </c>
      <c r="I34">
        <v>0</v>
      </c>
    </row>
    <row r="35" spans="1:9" x14ac:dyDescent="0.25">
      <c r="A35" t="s">
        <v>195</v>
      </c>
      <c r="B35" t="s">
        <v>177</v>
      </c>
      <c r="C35" t="s">
        <v>147</v>
      </c>
      <c r="D35" t="s">
        <v>6</v>
      </c>
      <c r="E35">
        <v>23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196</v>
      </c>
      <c r="B36" t="s">
        <v>152</v>
      </c>
      <c r="C36" t="s">
        <v>147</v>
      </c>
      <c r="D36" t="s">
        <v>8</v>
      </c>
      <c r="E36">
        <v>19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197</v>
      </c>
      <c r="B37" t="s">
        <v>198</v>
      </c>
      <c r="C37" t="s">
        <v>147</v>
      </c>
      <c r="D37" t="s">
        <v>9</v>
      </c>
      <c r="E37">
        <v>35</v>
      </c>
      <c r="F37">
        <v>1</v>
      </c>
      <c r="G37">
        <v>0</v>
      </c>
      <c r="H37">
        <v>2</v>
      </c>
      <c r="I37">
        <v>0</v>
      </c>
    </row>
    <row r="38" spans="1:9" x14ac:dyDescent="0.25">
      <c r="A38" t="s">
        <v>199</v>
      </c>
      <c r="B38" t="s">
        <v>200</v>
      </c>
      <c r="C38" t="s">
        <v>147</v>
      </c>
      <c r="D38" t="s">
        <v>22</v>
      </c>
      <c r="E38">
        <v>24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201</v>
      </c>
      <c r="B39" t="s">
        <v>152</v>
      </c>
      <c r="C39" t="s">
        <v>160</v>
      </c>
      <c r="D39" t="s">
        <v>20</v>
      </c>
      <c r="E39">
        <v>21</v>
      </c>
      <c r="F39">
        <v>1</v>
      </c>
      <c r="G39">
        <v>1</v>
      </c>
      <c r="H39">
        <v>2</v>
      </c>
      <c r="I39">
        <v>0</v>
      </c>
    </row>
    <row r="40" spans="1:9" x14ac:dyDescent="0.25">
      <c r="A40" t="s">
        <v>202</v>
      </c>
      <c r="B40" t="s">
        <v>203</v>
      </c>
      <c r="C40" t="s">
        <v>150</v>
      </c>
      <c r="D40" t="s">
        <v>12</v>
      </c>
      <c r="E40">
        <v>29</v>
      </c>
      <c r="F40">
        <v>2</v>
      </c>
      <c r="G40">
        <v>0</v>
      </c>
      <c r="H40">
        <v>2</v>
      </c>
      <c r="I40">
        <v>0</v>
      </c>
    </row>
    <row r="41" spans="1:9" x14ac:dyDescent="0.25">
      <c r="A41" t="s">
        <v>204</v>
      </c>
      <c r="B41" t="s">
        <v>205</v>
      </c>
      <c r="C41" t="s">
        <v>144</v>
      </c>
      <c r="D41" t="s">
        <v>19</v>
      </c>
      <c r="E41">
        <v>22</v>
      </c>
      <c r="F41">
        <v>0</v>
      </c>
      <c r="G41">
        <v>1</v>
      </c>
      <c r="H41">
        <v>5</v>
      </c>
      <c r="I41">
        <v>0</v>
      </c>
    </row>
    <row r="42" spans="1:9" x14ac:dyDescent="0.25">
      <c r="A42" t="s">
        <v>206</v>
      </c>
      <c r="B42" t="s">
        <v>152</v>
      </c>
      <c r="C42" t="s">
        <v>169</v>
      </c>
      <c r="D42" t="s">
        <v>9</v>
      </c>
      <c r="E42">
        <v>33</v>
      </c>
      <c r="F42">
        <v>0</v>
      </c>
      <c r="G42">
        <v>0</v>
      </c>
      <c r="H42">
        <v>2</v>
      </c>
      <c r="I42">
        <v>0</v>
      </c>
    </row>
    <row r="43" spans="1:9" x14ac:dyDescent="0.25">
      <c r="A43" t="s">
        <v>207</v>
      </c>
      <c r="B43" t="s">
        <v>208</v>
      </c>
      <c r="C43" t="s">
        <v>169</v>
      </c>
      <c r="D43" t="s">
        <v>14</v>
      </c>
      <c r="E43">
        <v>23</v>
      </c>
      <c r="F43">
        <v>0</v>
      </c>
      <c r="G43">
        <v>1</v>
      </c>
      <c r="H43">
        <v>1</v>
      </c>
      <c r="I43">
        <v>0</v>
      </c>
    </row>
    <row r="44" spans="1:9" x14ac:dyDescent="0.25">
      <c r="A44" t="s">
        <v>209</v>
      </c>
      <c r="B44" t="s">
        <v>210</v>
      </c>
      <c r="C44" t="s">
        <v>147</v>
      </c>
      <c r="D44" t="s">
        <v>23</v>
      </c>
      <c r="E44">
        <v>24</v>
      </c>
      <c r="F44">
        <v>0</v>
      </c>
      <c r="G44">
        <v>0</v>
      </c>
      <c r="H44">
        <v>1</v>
      </c>
      <c r="I44">
        <v>0</v>
      </c>
    </row>
    <row r="45" spans="1:9" x14ac:dyDescent="0.25">
      <c r="A45" t="s">
        <v>211</v>
      </c>
      <c r="B45" t="s">
        <v>152</v>
      </c>
      <c r="C45" t="s">
        <v>144</v>
      </c>
      <c r="D45" t="s">
        <v>9</v>
      </c>
      <c r="E45">
        <v>30</v>
      </c>
      <c r="F45">
        <v>0</v>
      </c>
      <c r="G45">
        <v>0</v>
      </c>
      <c r="H45">
        <v>3</v>
      </c>
      <c r="I45">
        <v>0</v>
      </c>
    </row>
    <row r="46" spans="1:9" x14ac:dyDescent="0.25">
      <c r="A46" t="s">
        <v>212</v>
      </c>
      <c r="B46" t="s">
        <v>213</v>
      </c>
      <c r="C46" t="s">
        <v>147</v>
      </c>
      <c r="D46" t="s">
        <v>5</v>
      </c>
      <c r="E46">
        <v>29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214</v>
      </c>
      <c r="B47" t="s">
        <v>152</v>
      </c>
      <c r="C47" t="s">
        <v>144</v>
      </c>
      <c r="D47" t="s">
        <v>7</v>
      </c>
      <c r="E47">
        <v>30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215</v>
      </c>
      <c r="B48" t="s">
        <v>152</v>
      </c>
      <c r="C48" t="s">
        <v>147</v>
      </c>
      <c r="D48" t="s">
        <v>17</v>
      </c>
      <c r="E48">
        <v>27</v>
      </c>
      <c r="F48">
        <v>3</v>
      </c>
      <c r="G48">
        <v>6</v>
      </c>
      <c r="H48">
        <v>4</v>
      </c>
      <c r="I48">
        <v>0</v>
      </c>
    </row>
    <row r="49" spans="1:9" x14ac:dyDescent="0.25">
      <c r="A49" t="s">
        <v>216</v>
      </c>
      <c r="B49" t="s">
        <v>152</v>
      </c>
      <c r="C49" t="s">
        <v>144</v>
      </c>
      <c r="D49" t="s">
        <v>21</v>
      </c>
      <c r="E49">
        <v>18</v>
      </c>
      <c r="F49">
        <v>0</v>
      </c>
      <c r="G49">
        <v>0</v>
      </c>
      <c r="H49">
        <v>0</v>
      </c>
      <c r="I49">
        <v>1</v>
      </c>
    </row>
    <row r="50" spans="1:9" x14ac:dyDescent="0.25">
      <c r="A50" t="s">
        <v>217</v>
      </c>
      <c r="B50" t="s">
        <v>152</v>
      </c>
      <c r="C50" t="s">
        <v>144</v>
      </c>
      <c r="D50" t="s">
        <v>14</v>
      </c>
      <c r="E50">
        <v>27</v>
      </c>
      <c r="F50">
        <v>2</v>
      </c>
      <c r="G50">
        <v>0</v>
      </c>
      <c r="H50">
        <v>3</v>
      </c>
      <c r="I50">
        <v>0</v>
      </c>
    </row>
    <row r="51" spans="1:9" x14ac:dyDescent="0.25">
      <c r="A51" t="s">
        <v>218</v>
      </c>
      <c r="B51" t="s">
        <v>152</v>
      </c>
      <c r="C51" t="s">
        <v>147</v>
      </c>
      <c r="D51" t="s">
        <v>7</v>
      </c>
      <c r="E51">
        <v>32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219</v>
      </c>
      <c r="B52" t="s">
        <v>152</v>
      </c>
      <c r="C52" t="s">
        <v>144</v>
      </c>
      <c r="D52" t="s">
        <v>17</v>
      </c>
      <c r="E52">
        <v>25</v>
      </c>
      <c r="F52">
        <v>1</v>
      </c>
      <c r="G52">
        <v>5</v>
      </c>
      <c r="H52">
        <v>6</v>
      </c>
      <c r="I52">
        <v>1</v>
      </c>
    </row>
    <row r="53" spans="1:9" x14ac:dyDescent="0.25">
      <c r="A53" t="s">
        <v>220</v>
      </c>
      <c r="B53" t="s">
        <v>177</v>
      </c>
      <c r="C53" t="s">
        <v>147</v>
      </c>
      <c r="D53" t="s">
        <v>23</v>
      </c>
      <c r="E53">
        <v>20</v>
      </c>
      <c r="F53">
        <v>0</v>
      </c>
      <c r="G53">
        <v>2</v>
      </c>
      <c r="H53">
        <v>6</v>
      </c>
      <c r="I53">
        <v>1</v>
      </c>
    </row>
    <row r="54" spans="1:9" x14ac:dyDescent="0.25">
      <c r="A54" t="s">
        <v>220</v>
      </c>
      <c r="B54" t="s">
        <v>177</v>
      </c>
      <c r="C54" t="s">
        <v>147</v>
      </c>
      <c r="D54" t="s">
        <v>18</v>
      </c>
      <c r="E54">
        <v>20</v>
      </c>
      <c r="F54">
        <v>0</v>
      </c>
      <c r="G54">
        <v>0</v>
      </c>
      <c r="H54">
        <v>0</v>
      </c>
      <c r="I54">
        <v>1</v>
      </c>
    </row>
    <row r="55" spans="1:9" x14ac:dyDescent="0.25">
      <c r="A55" t="s">
        <v>221</v>
      </c>
      <c r="B55" t="s">
        <v>152</v>
      </c>
      <c r="C55" t="s">
        <v>144</v>
      </c>
      <c r="D55" t="s">
        <v>4</v>
      </c>
      <c r="E55">
        <v>24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221</v>
      </c>
      <c r="B56" t="s">
        <v>152</v>
      </c>
      <c r="C56" t="s">
        <v>144</v>
      </c>
      <c r="D56" t="s">
        <v>22</v>
      </c>
      <c r="E56">
        <v>24</v>
      </c>
      <c r="F56">
        <v>0</v>
      </c>
      <c r="G56">
        <v>9</v>
      </c>
      <c r="H56">
        <v>3</v>
      </c>
      <c r="I56">
        <v>0</v>
      </c>
    </row>
    <row r="57" spans="1:9" x14ac:dyDescent="0.25">
      <c r="A57" t="s">
        <v>222</v>
      </c>
      <c r="B57" t="s">
        <v>152</v>
      </c>
      <c r="C57" t="s">
        <v>150</v>
      </c>
      <c r="D57" t="s">
        <v>7</v>
      </c>
      <c r="E57">
        <v>30</v>
      </c>
      <c r="F57">
        <v>2</v>
      </c>
      <c r="G57">
        <v>0</v>
      </c>
      <c r="H57">
        <v>1</v>
      </c>
      <c r="I57">
        <v>0</v>
      </c>
    </row>
    <row r="58" spans="1:9" x14ac:dyDescent="0.25">
      <c r="A58" t="s">
        <v>223</v>
      </c>
      <c r="B58" t="s">
        <v>224</v>
      </c>
      <c r="C58" t="s">
        <v>169</v>
      </c>
      <c r="D58" t="s">
        <v>5</v>
      </c>
      <c r="E58">
        <v>23</v>
      </c>
      <c r="F58">
        <v>5</v>
      </c>
      <c r="G58">
        <v>4</v>
      </c>
      <c r="H58">
        <v>6</v>
      </c>
      <c r="I58">
        <v>0</v>
      </c>
    </row>
    <row r="59" spans="1:9" x14ac:dyDescent="0.25">
      <c r="A59" t="s">
        <v>225</v>
      </c>
      <c r="B59" t="s">
        <v>226</v>
      </c>
      <c r="C59" t="s">
        <v>169</v>
      </c>
      <c r="D59" t="s">
        <v>19</v>
      </c>
      <c r="E59">
        <v>23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227</v>
      </c>
      <c r="B60" t="s">
        <v>228</v>
      </c>
      <c r="C60" t="s">
        <v>147</v>
      </c>
      <c r="D60" t="s">
        <v>21</v>
      </c>
      <c r="E60">
        <v>26</v>
      </c>
      <c r="F60">
        <v>0</v>
      </c>
      <c r="G60">
        <v>0</v>
      </c>
      <c r="H60">
        <v>2</v>
      </c>
      <c r="I60">
        <v>0</v>
      </c>
    </row>
    <row r="61" spans="1:9" x14ac:dyDescent="0.25">
      <c r="A61" t="s">
        <v>229</v>
      </c>
      <c r="B61" t="s">
        <v>185</v>
      </c>
      <c r="C61" t="s">
        <v>147</v>
      </c>
      <c r="D61" t="s">
        <v>14</v>
      </c>
      <c r="E61">
        <v>20</v>
      </c>
      <c r="F61">
        <v>0</v>
      </c>
      <c r="G61">
        <v>1</v>
      </c>
      <c r="H61">
        <v>5</v>
      </c>
      <c r="I61">
        <v>0</v>
      </c>
    </row>
    <row r="62" spans="1:9" x14ac:dyDescent="0.25">
      <c r="A62" t="s">
        <v>230</v>
      </c>
      <c r="B62" t="s">
        <v>179</v>
      </c>
      <c r="C62" t="s">
        <v>147</v>
      </c>
      <c r="D62" t="s">
        <v>19</v>
      </c>
      <c r="E62">
        <v>23</v>
      </c>
      <c r="F62">
        <v>1</v>
      </c>
      <c r="G62">
        <v>1</v>
      </c>
      <c r="H62">
        <v>1</v>
      </c>
      <c r="I62">
        <v>0</v>
      </c>
    </row>
    <row r="63" spans="1:9" x14ac:dyDescent="0.25">
      <c r="A63" t="s">
        <v>231</v>
      </c>
      <c r="B63" t="s">
        <v>157</v>
      </c>
      <c r="C63" t="s">
        <v>147</v>
      </c>
      <c r="D63" t="s">
        <v>23</v>
      </c>
      <c r="E63">
        <v>25</v>
      </c>
      <c r="F63">
        <v>1</v>
      </c>
      <c r="G63">
        <v>0</v>
      </c>
      <c r="H63">
        <v>2</v>
      </c>
      <c r="I63">
        <v>0</v>
      </c>
    </row>
    <row r="64" spans="1:9" x14ac:dyDescent="0.25">
      <c r="A64" t="s">
        <v>232</v>
      </c>
      <c r="B64" t="s">
        <v>200</v>
      </c>
      <c r="C64" t="s">
        <v>144</v>
      </c>
      <c r="D64" t="s">
        <v>6</v>
      </c>
      <c r="E64">
        <v>25</v>
      </c>
      <c r="F64">
        <v>0</v>
      </c>
      <c r="G64">
        <v>1</v>
      </c>
      <c r="H64">
        <v>1</v>
      </c>
      <c r="I64">
        <v>0</v>
      </c>
    </row>
    <row r="65" spans="1:9" x14ac:dyDescent="0.25">
      <c r="A65" t="s">
        <v>233</v>
      </c>
      <c r="B65" t="s">
        <v>152</v>
      </c>
      <c r="C65" t="s">
        <v>147</v>
      </c>
      <c r="D65" t="s">
        <v>12</v>
      </c>
      <c r="E65">
        <v>21</v>
      </c>
      <c r="F65">
        <v>1</v>
      </c>
      <c r="G65">
        <v>0</v>
      </c>
      <c r="H65">
        <v>9</v>
      </c>
      <c r="I65">
        <v>0</v>
      </c>
    </row>
    <row r="66" spans="1:9" x14ac:dyDescent="0.25">
      <c r="A66" t="s">
        <v>233</v>
      </c>
      <c r="B66" t="s">
        <v>152</v>
      </c>
      <c r="C66" t="s">
        <v>147</v>
      </c>
      <c r="D66" t="s">
        <v>5</v>
      </c>
      <c r="E66">
        <v>21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234</v>
      </c>
      <c r="B67" t="s">
        <v>235</v>
      </c>
      <c r="C67" t="s">
        <v>144</v>
      </c>
      <c r="D67" t="s">
        <v>10</v>
      </c>
      <c r="E67">
        <v>25</v>
      </c>
      <c r="F67">
        <v>1</v>
      </c>
      <c r="G67">
        <v>0</v>
      </c>
      <c r="H67">
        <v>13</v>
      </c>
      <c r="I67">
        <v>1</v>
      </c>
    </row>
    <row r="68" spans="1:9" x14ac:dyDescent="0.25">
      <c r="A68" t="s">
        <v>236</v>
      </c>
      <c r="B68" t="s">
        <v>146</v>
      </c>
      <c r="C68" t="s">
        <v>147</v>
      </c>
      <c r="D68" t="s">
        <v>13</v>
      </c>
      <c r="E68">
        <v>28</v>
      </c>
      <c r="F68">
        <v>1</v>
      </c>
      <c r="G68">
        <v>0</v>
      </c>
      <c r="H68">
        <v>1</v>
      </c>
      <c r="I68">
        <v>0</v>
      </c>
    </row>
    <row r="69" spans="1:9" x14ac:dyDescent="0.25">
      <c r="A69" t="s">
        <v>237</v>
      </c>
      <c r="B69" t="s">
        <v>152</v>
      </c>
      <c r="C69" t="s">
        <v>144</v>
      </c>
      <c r="D69" t="s">
        <v>4</v>
      </c>
      <c r="E69">
        <v>31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237</v>
      </c>
      <c r="B70" t="s">
        <v>152</v>
      </c>
      <c r="C70" t="s">
        <v>144</v>
      </c>
      <c r="D70" t="s">
        <v>5</v>
      </c>
      <c r="E70">
        <v>31</v>
      </c>
      <c r="F70">
        <v>1</v>
      </c>
      <c r="G70">
        <v>0</v>
      </c>
      <c r="H70">
        <v>1</v>
      </c>
      <c r="I70">
        <v>0</v>
      </c>
    </row>
    <row r="71" spans="1:9" x14ac:dyDescent="0.25">
      <c r="A71" t="s">
        <v>238</v>
      </c>
      <c r="B71" t="s">
        <v>152</v>
      </c>
      <c r="C71" t="s">
        <v>141</v>
      </c>
      <c r="D71" t="s">
        <v>12</v>
      </c>
      <c r="E71">
        <v>25</v>
      </c>
      <c r="F71">
        <v>3</v>
      </c>
      <c r="G71">
        <v>0</v>
      </c>
      <c r="H71">
        <v>2</v>
      </c>
      <c r="I71">
        <v>0</v>
      </c>
    </row>
    <row r="72" spans="1:9" x14ac:dyDescent="0.25">
      <c r="A72" t="s">
        <v>239</v>
      </c>
      <c r="B72" t="s">
        <v>240</v>
      </c>
      <c r="C72" t="s">
        <v>141</v>
      </c>
      <c r="D72" t="s">
        <v>16</v>
      </c>
      <c r="E72">
        <v>24</v>
      </c>
      <c r="F72">
        <v>0</v>
      </c>
      <c r="G72">
        <v>0</v>
      </c>
      <c r="H72">
        <v>2</v>
      </c>
      <c r="I72">
        <v>0</v>
      </c>
    </row>
    <row r="73" spans="1:9" x14ac:dyDescent="0.25">
      <c r="A73" t="s">
        <v>241</v>
      </c>
      <c r="B73" t="s">
        <v>242</v>
      </c>
      <c r="C73" t="s">
        <v>147</v>
      </c>
      <c r="D73" t="s">
        <v>9</v>
      </c>
      <c r="E73">
        <v>25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243</v>
      </c>
      <c r="B74" t="s">
        <v>157</v>
      </c>
      <c r="C74" t="s">
        <v>147</v>
      </c>
      <c r="D74" t="s">
        <v>12</v>
      </c>
      <c r="E74">
        <v>20</v>
      </c>
      <c r="F74">
        <v>0</v>
      </c>
      <c r="G74">
        <v>0</v>
      </c>
      <c r="H74">
        <v>5</v>
      </c>
      <c r="I74">
        <v>1</v>
      </c>
    </row>
    <row r="75" spans="1:9" x14ac:dyDescent="0.25">
      <c r="A75" t="s">
        <v>243</v>
      </c>
      <c r="B75" t="s">
        <v>157</v>
      </c>
      <c r="C75" t="s">
        <v>147</v>
      </c>
      <c r="D75" t="s">
        <v>21</v>
      </c>
      <c r="E75">
        <v>20</v>
      </c>
      <c r="F75">
        <v>0</v>
      </c>
      <c r="G75">
        <v>0</v>
      </c>
      <c r="H75">
        <v>1</v>
      </c>
      <c r="I75">
        <v>0</v>
      </c>
    </row>
    <row r="76" spans="1:9" x14ac:dyDescent="0.25">
      <c r="A76" t="s">
        <v>244</v>
      </c>
      <c r="B76" t="s">
        <v>152</v>
      </c>
      <c r="C76" t="s">
        <v>144</v>
      </c>
      <c r="D76" t="s">
        <v>14</v>
      </c>
      <c r="E76">
        <v>28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">
        <v>245</v>
      </c>
      <c r="B77" t="s">
        <v>157</v>
      </c>
      <c r="C77" t="s">
        <v>150</v>
      </c>
      <c r="D77" t="s">
        <v>19</v>
      </c>
      <c r="E77">
        <v>20</v>
      </c>
      <c r="F77">
        <v>6</v>
      </c>
      <c r="G77">
        <v>4</v>
      </c>
      <c r="H77">
        <v>2</v>
      </c>
      <c r="I77">
        <v>0</v>
      </c>
    </row>
    <row r="78" spans="1:9" x14ac:dyDescent="0.25">
      <c r="A78" t="s">
        <v>246</v>
      </c>
      <c r="B78" t="s">
        <v>152</v>
      </c>
      <c r="C78" t="s">
        <v>160</v>
      </c>
      <c r="D78" t="s">
        <v>5</v>
      </c>
      <c r="E78">
        <v>22</v>
      </c>
      <c r="F78">
        <v>1</v>
      </c>
      <c r="G78">
        <v>2</v>
      </c>
      <c r="H78">
        <v>3</v>
      </c>
      <c r="I78">
        <v>0</v>
      </c>
    </row>
    <row r="79" spans="1:9" x14ac:dyDescent="0.25">
      <c r="A79" t="s">
        <v>247</v>
      </c>
      <c r="B79" t="s">
        <v>198</v>
      </c>
      <c r="C79" t="s">
        <v>144</v>
      </c>
      <c r="D79" t="s">
        <v>23</v>
      </c>
      <c r="E79">
        <v>24</v>
      </c>
      <c r="F79">
        <v>1</v>
      </c>
      <c r="G79">
        <v>0</v>
      </c>
      <c r="H79">
        <v>6</v>
      </c>
      <c r="I79">
        <v>0</v>
      </c>
    </row>
    <row r="80" spans="1:9" x14ac:dyDescent="0.25">
      <c r="A80" t="s">
        <v>248</v>
      </c>
      <c r="B80" t="s">
        <v>183</v>
      </c>
      <c r="C80" t="s">
        <v>147</v>
      </c>
      <c r="D80" t="s">
        <v>7</v>
      </c>
      <c r="E80">
        <v>22</v>
      </c>
      <c r="F80">
        <v>0</v>
      </c>
      <c r="G80">
        <v>0</v>
      </c>
      <c r="H80">
        <v>3</v>
      </c>
      <c r="I80">
        <v>1</v>
      </c>
    </row>
    <row r="81" spans="1:9" x14ac:dyDescent="0.25">
      <c r="A81" t="s">
        <v>249</v>
      </c>
      <c r="B81" t="s">
        <v>179</v>
      </c>
      <c r="C81" t="s">
        <v>169</v>
      </c>
      <c r="D81" t="s">
        <v>10</v>
      </c>
      <c r="E81">
        <v>19</v>
      </c>
      <c r="F81">
        <v>2</v>
      </c>
      <c r="G81">
        <v>1</v>
      </c>
      <c r="H81">
        <v>3</v>
      </c>
      <c r="I81">
        <v>0</v>
      </c>
    </row>
    <row r="82" spans="1:9" x14ac:dyDescent="0.25">
      <c r="A82" t="s">
        <v>250</v>
      </c>
      <c r="B82" t="s">
        <v>192</v>
      </c>
      <c r="C82" t="s">
        <v>144</v>
      </c>
      <c r="D82" t="s">
        <v>11</v>
      </c>
      <c r="E82">
        <v>27</v>
      </c>
      <c r="F82">
        <v>0</v>
      </c>
      <c r="G82">
        <v>0</v>
      </c>
      <c r="H82">
        <v>2</v>
      </c>
      <c r="I82">
        <v>0</v>
      </c>
    </row>
    <row r="83" spans="1:9" x14ac:dyDescent="0.25">
      <c r="A83" t="s">
        <v>251</v>
      </c>
      <c r="B83" t="s">
        <v>192</v>
      </c>
      <c r="C83" t="s">
        <v>160</v>
      </c>
      <c r="D83" t="s">
        <v>10</v>
      </c>
      <c r="E83">
        <v>24</v>
      </c>
      <c r="F83">
        <v>1</v>
      </c>
      <c r="G83">
        <v>2</v>
      </c>
      <c r="H83">
        <v>0</v>
      </c>
      <c r="I83">
        <v>0</v>
      </c>
    </row>
    <row r="84" spans="1:9" x14ac:dyDescent="0.25">
      <c r="A84" t="s">
        <v>252</v>
      </c>
      <c r="B84" t="s">
        <v>152</v>
      </c>
      <c r="C84" t="s">
        <v>147</v>
      </c>
      <c r="D84" t="s">
        <v>22</v>
      </c>
      <c r="E84">
        <v>24</v>
      </c>
      <c r="F84">
        <v>4</v>
      </c>
      <c r="G84">
        <v>2</v>
      </c>
      <c r="H84">
        <v>1</v>
      </c>
      <c r="I84">
        <v>0</v>
      </c>
    </row>
    <row r="85" spans="1:9" x14ac:dyDescent="0.25">
      <c r="A85" t="s">
        <v>253</v>
      </c>
      <c r="B85" t="s">
        <v>174</v>
      </c>
      <c r="C85" t="s">
        <v>144</v>
      </c>
      <c r="D85" t="s">
        <v>12</v>
      </c>
      <c r="E85">
        <v>25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254</v>
      </c>
      <c r="B86" t="s">
        <v>255</v>
      </c>
      <c r="C86" t="s">
        <v>256</v>
      </c>
      <c r="D86" t="s">
        <v>17</v>
      </c>
      <c r="E86">
        <v>25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257</v>
      </c>
      <c r="B87" t="s">
        <v>152</v>
      </c>
      <c r="C87" t="s">
        <v>144</v>
      </c>
      <c r="D87" t="s">
        <v>13</v>
      </c>
      <c r="E87">
        <v>25</v>
      </c>
      <c r="F87">
        <v>1</v>
      </c>
      <c r="G87">
        <v>0</v>
      </c>
      <c r="H87">
        <v>2</v>
      </c>
      <c r="I87">
        <v>0</v>
      </c>
    </row>
    <row r="88" spans="1:9" x14ac:dyDescent="0.25">
      <c r="A88" t="s">
        <v>258</v>
      </c>
      <c r="B88" t="s">
        <v>259</v>
      </c>
      <c r="C88" t="s">
        <v>150</v>
      </c>
      <c r="D88" t="s">
        <v>14</v>
      </c>
      <c r="E88">
        <v>20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260</v>
      </c>
      <c r="B89" t="s">
        <v>261</v>
      </c>
      <c r="C89" t="s">
        <v>147</v>
      </c>
      <c r="D89" t="s">
        <v>16</v>
      </c>
      <c r="E89">
        <v>22</v>
      </c>
      <c r="F89">
        <v>2</v>
      </c>
      <c r="G89">
        <v>0</v>
      </c>
      <c r="H89">
        <v>4</v>
      </c>
      <c r="I89">
        <v>0</v>
      </c>
    </row>
    <row r="90" spans="1:9" x14ac:dyDescent="0.25">
      <c r="A90" t="s">
        <v>262</v>
      </c>
      <c r="B90" t="s">
        <v>157</v>
      </c>
      <c r="C90" t="s">
        <v>189</v>
      </c>
      <c r="D90" t="s">
        <v>7</v>
      </c>
      <c r="E90">
        <v>29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263</v>
      </c>
      <c r="B91" t="s">
        <v>264</v>
      </c>
      <c r="C91" t="s">
        <v>265</v>
      </c>
      <c r="D91" t="s">
        <v>8</v>
      </c>
      <c r="E91">
        <v>23</v>
      </c>
      <c r="F91">
        <v>2</v>
      </c>
      <c r="G91">
        <v>4</v>
      </c>
      <c r="H91">
        <v>6</v>
      </c>
      <c r="I91">
        <v>0</v>
      </c>
    </row>
    <row r="92" spans="1:9" x14ac:dyDescent="0.25">
      <c r="A92" t="s">
        <v>266</v>
      </c>
      <c r="B92" t="s">
        <v>152</v>
      </c>
      <c r="C92" t="s">
        <v>265</v>
      </c>
      <c r="D92" t="s">
        <v>4</v>
      </c>
      <c r="E92">
        <v>17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267</v>
      </c>
      <c r="B93" t="s">
        <v>152</v>
      </c>
      <c r="C93" t="s">
        <v>144</v>
      </c>
      <c r="D93" t="s">
        <v>6</v>
      </c>
      <c r="E93">
        <v>27</v>
      </c>
      <c r="F93">
        <v>0</v>
      </c>
      <c r="G93">
        <v>1</v>
      </c>
      <c r="H93">
        <v>3</v>
      </c>
      <c r="I93">
        <v>0</v>
      </c>
    </row>
    <row r="94" spans="1:9" x14ac:dyDescent="0.25">
      <c r="A94" t="s">
        <v>267</v>
      </c>
      <c r="B94" t="s">
        <v>152</v>
      </c>
      <c r="C94" t="s">
        <v>144</v>
      </c>
      <c r="D94" t="s">
        <v>21</v>
      </c>
      <c r="E94">
        <v>27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268</v>
      </c>
      <c r="B95" t="s">
        <v>152</v>
      </c>
      <c r="C95" t="s">
        <v>144</v>
      </c>
      <c r="D95" t="s">
        <v>12</v>
      </c>
      <c r="E95">
        <v>33</v>
      </c>
      <c r="F95">
        <v>0</v>
      </c>
      <c r="G95">
        <v>0</v>
      </c>
      <c r="H95">
        <v>5</v>
      </c>
      <c r="I95">
        <v>0</v>
      </c>
    </row>
    <row r="96" spans="1:9" x14ac:dyDescent="0.25">
      <c r="A96" t="s">
        <v>269</v>
      </c>
      <c r="B96" t="s">
        <v>270</v>
      </c>
      <c r="C96" t="s">
        <v>147</v>
      </c>
      <c r="D96" t="s">
        <v>17</v>
      </c>
      <c r="E96">
        <v>30</v>
      </c>
      <c r="F96">
        <v>5</v>
      </c>
      <c r="G96">
        <v>6</v>
      </c>
      <c r="H96">
        <v>5</v>
      </c>
      <c r="I96">
        <v>0</v>
      </c>
    </row>
    <row r="97" spans="1:9" x14ac:dyDescent="0.25">
      <c r="A97" t="s">
        <v>271</v>
      </c>
      <c r="B97" t="s">
        <v>165</v>
      </c>
      <c r="C97" t="s">
        <v>160</v>
      </c>
      <c r="D97" t="s">
        <v>19</v>
      </c>
      <c r="E97">
        <v>22</v>
      </c>
      <c r="F97">
        <v>0</v>
      </c>
      <c r="G97">
        <v>0</v>
      </c>
      <c r="H97">
        <v>3</v>
      </c>
      <c r="I97">
        <v>0</v>
      </c>
    </row>
    <row r="98" spans="1:9" x14ac:dyDescent="0.25">
      <c r="A98" t="s">
        <v>272</v>
      </c>
      <c r="B98" t="s">
        <v>152</v>
      </c>
      <c r="C98" t="s">
        <v>169</v>
      </c>
      <c r="D98" t="s">
        <v>21</v>
      </c>
      <c r="E98">
        <v>16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t="s">
        <v>273</v>
      </c>
      <c r="B99" t="s">
        <v>152</v>
      </c>
      <c r="C99" t="s">
        <v>150</v>
      </c>
      <c r="D99" t="s">
        <v>6</v>
      </c>
      <c r="E99">
        <v>23</v>
      </c>
      <c r="F99">
        <v>1</v>
      </c>
      <c r="G99">
        <v>3</v>
      </c>
      <c r="H99">
        <v>0</v>
      </c>
      <c r="I99">
        <v>0</v>
      </c>
    </row>
    <row r="100" spans="1:9" x14ac:dyDescent="0.25">
      <c r="A100" t="s">
        <v>274</v>
      </c>
      <c r="B100" t="s">
        <v>152</v>
      </c>
      <c r="C100" t="s">
        <v>256</v>
      </c>
      <c r="D100" t="s">
        <v>11</v>
      </c>
      <c r="E100">
        <v>24</v>
      </c>
      <c r="F100">
        <v>2</v>
      </c>
      <c r="G100">
        <v>3</v>
      </c>
      <c r="H100">
        <v>4</v>
      </c>
      <c r="I100">
        <v>0</v>
      </c>
    </row>
    <row r="101" spans="1:9" x14ac:dyDescent="0.25">
      <c r="A101" t="s">
        <v>275</v>
      </c>
      <c r="B101" t="s">
        <v>152</v>
      </c>
      <c r="C101" t="s">
        <v>150</v>
      </c>
      <c r="D101" t="s">
        <v>8</v>
      </c>
      <c r="E101">
        <v>16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t="s">
        <v>276</v>
      </c>
      <c r="B102" t="s">
        <v>152</v>
      </c>
      <c r="C102" t="s">
        <v>169</v>
      </c>
      <c r="D102" t="s">
        <v>19</v>
      </c>
      <c r="E102">
        <v>22</v>
      </c>
      <c r="F102">
        <v>3</v>
      </c>
      <c r="G102">
        <v>0</v>
      </c>
      <c r="H102">
        <v>2</v>
      </c>
      <c r="I102">
        <v>1</v>
      </c>
    </row>
    <row r="103" spans="1:9" x14ac:dyDescent="0.25">
      <c r="A103" t="s">
        <v>277</v>
      </c>
      <c r="B103" t="s">
        <v>278</v>
      </c>
      <c r="C103" t="s">
        <v>144</v>
      </c>
      <c r="D103" t="s">
        <v>16</v>
      </c>
      <c r="E103">
        <v>26</v>
      </c>
      <c r="F103">
        <v>1</v>
      </c>
      <c r="G103">
        <v>1</v>
      </c>
      <c r="H103">
        <v>4</v>
      </c>
      <c r="I103">
        <v>0</v>
      </c>
    </row>
    <row r="104" spans="1:9" x14ac:dyDescent="0.25">
      <c r="A104" t="s">
        <v>279</v>
      </c>
      <c r="B104" t="s">
        <v>152</v>
      </c>
      <c r="C104" t="s">
        <v>144</v>
      </c>
      <c r="D104" t="s">
        <v>16</v>
      </c>
      <c r="E104">
        <v>24</v>
      </c>
      <c r="F104">
        <v>0</v>
      </c>
      <c r="G104">
        <v>1</v>
      </c>
      <c r="H104">
        <v>2</v>
      </c>
      <c r="I104">
        <v>0</v>
      </c>
    </row>
    <row r="105" spans="1:9" x14ac:dyDescent="0.25">
      <c r="A105" t="s">
        <v>280</v>
      </c>
      <c r="B105" t="s">
        <v>152</v>
      </c>
      <c r="C105" t="s">
        <v>160</v>
      </c>
      <c r="D105" t="s">
        <v>12</v>
      </c>
      <c r="E105">
        <v>31</v>
      </c>
      <c r="F105">
        <v>3</v>
      </c>
      <c r="G105">
        <v>2</v>
      </c>
      <c r="H105">
        <v>3</v>
      </c>
      <c r="I105">
        <v>0</v>
      </c>
    </row>
    <row r="106" spans="1:9" x14ac:dyDescent="0.25">
      <c r="A106" t="s">
        <v>281</v>
      </c>
      <c r="B106" t="s">
        <v>152</v>
      </c>
      <c r="C106" t="s">
        <v>189</v>
      </c>
      <c r="D106" t="s">
        <v>15</v>
      </c>
      <c r="E106">
        <v>22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t="s">
        <v>281</v>
      </c>
      <c r="B107" t="s">
        <v>152</v>
      </c>
      <c r="C107" t="s">
        <v>189</v>
      </c>
      <c r="D107" t="s">
        <v>13</v>
      </c>
      <c r="E107">
        <v>22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282</v>
      </c>
      <c r="B108" t="s">
        <v>152</v>
      </c>
      <c r="C108" t="s">
        <v>150</v>
      </c>
      <c r="D108" t="s">
        <v>8</v>
      </c>
      <c r="E108">
        <v>36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t="s">
        <v>283</v>
      </c>
      <c r="B109" t="s">
        <v>157</v>
      </c>
      <c r="C109" t="s">
        <v>147</v>
      </c>
      <c r="D109" t="s">
        <v>7</v>
      </c>
      <c r="E109">
        <v>24</v>
      </c>
      <c r="F109">
        <v>2</v>
      </c>
      <c r="G109">
        <v>3</v>
      </c>
      <c r="H109">
        <v>4</v>
      </c>
      <c r="I109">
        <v>0</v>
      </c>
    </row>
    <row r="110" spans="1:9" x14ac:dyDescent="0.25">
      <c r="A110" t="s">
        <v>284</v>
      </c>
      <c r="B110" t="s">
        <v>152</v>
      </c>
      <c r="C110" t="s">
        <v>144</v>
      </c>
      <c r="D110" t="s">
        <v>12</v>
      </c>
      <c r="E110">
        <v>23</v>
      </c>
      <c r="F110">
        <v>0</v>
      </c>
      <c r="G110">
        <v>1</v>
      </c>
      <c r="H110">
        <v>5</v>
      </c>
      <c r="I110">
        <v>0</v>
      </c>
    </row>
    <row r="111" spans="1:9" x14ac:dyDescent="0.25">
      <c r="A111" t="s">
        <v>285</v>
      </c>
      <c r="B111" t="s">
        <v>152</v>
      </c>
      <c r="C111" t="s">
        <v>144</v>
      </c>
      <c r="D111" t="s">
        <v>16</v>
      </c>
      <c r="E111">
        <v>21</v>
      </c>
      <c r="F111">
        <v>0</v>
      </c>
      <c r="G111">
        <v>0</v>
      </c>
      <c r="H111">
        <v>2</v>
      </c>
      <c r="I111">
        <v>0</v>
      </c>
    </row>
    <row r="112" spans="1:9" x14ac:dyDescent="0.25">
      <c r="A112" t="s">
        <v>286</v>
      </c>
      <c r="B112" t="s">
        <v>152</v>
      </c>
      <c r="C112" t="s">
        <v>189</v>
      </c>
      <c r="D112" t="s">
        <v>22</v>
      </c>
      <c r="E112">
        <v>24</v>
      </c>
      <c r="F112">
        <v>0</v>
      </c>
      <c r="G112">
        <v>0</v>
      </c>
      <c r="H112">
        <v>1</v>
      </c>
      <c r="I112">
        <v>0</v>
      </c>
    </row>
    <row r="113" spans="1:9" x14ac:dyDescent="0.25">
      <c r="A113" t="s">
        <v>287</v>
      </c>
      <c r="B113" t="s">
        <v>152</v>
      </c>
      <c r="C113" t="s">
        <v>147</v>
      </c>
      <c r="D113" t="s">
        <v>4</v>
      </c>
      <c r="E113">
        <v>21</v>
      </c>
      <c r="F113">
        <v>1</v>
      </c>
      <c r="G113">
        <v>1</v>
      </c>
      <c r="H113">
        <v>1</v>
      </c>
      <c r="I113">
        <v>0</v>
      </c>
    </row>
    <row r="114" spans="1:9" x14ac:dyDescent="0.25">
      <c r="A114" t="s">
        <v>288</v>
      </c>
      <c r="B114" t="s">
        <v>152</v>
      </c>
      <c r="C114" t="s">
        <v>144</v>
      </c>
      <c r="D114" t="s">
        <v>6</v>
      </c>
      <c r="E114">
        <v>26</v>
      </c>
      <c r="F114">
        <v>0</v>
      </c>
      <c r="G114">
        <v>1</v>
      </c>
      <c r="H114">
        <v>1</v>
      </c>
      <c r="I114">
        <v>0</v>
      </c>
    </row>
    <row r="115" spans="1:9" x14ac:dyDescent="0.25">
      <c r="A115" t="s">
        <v>288</v>
      </c>
      <c r="B115" t="s">
        <v>152</v>
      </c>
      <c r="C115" t="s">
        <v>144</v>
      </c>
      <c r="D115" t="s">
        <v>18</v>
      </c>
      <c r="E115">
        <v>26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289</v>
      </c>
      <c r="B116" t="s">
        <v>152</v>
      </c>
      <c r="C116" t="s">
        <v>160</v>
      </c>
      <c r="D116" t="s">
        <v>22</v>
      </c>
      <c r="E116">
        <v>18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290</v>
      </c>
      <c r="B117" t="s">
        <v>224</v>
      </c>
      <c r="C117" t="s">
        <v>150</v>
      </c>
      <c r="D117" t="s">
        <v>18</v>
      </c>
      <c r="E117">
        <v>25</v>
      </c>
      <c r="F117">
        <v>11</v>
      </c>
      <c r="G117">
        <v>3</v>
      </c>
      <c r="H117">
        <v>9</v>
      </c>
      <c r="I117">
        <v>1</v>
      </c>
    </row>
    <row r="118" spans="1:9" x14ac:dyDescent="0.25">
      <c r="A118" t="s">
        <v>291</v>
      </c>
      <c r="B118" t="s">
        <v>224</v>
      </c>
      <c r="C118" t="s">
        <v>150</v>
      </c>
      <c r="D118" t="s">
        <v>6</v>
      </c>
      <c r="E118">
        <v>19</v>
      </c>
      <c r="F118">
        <v>8</v>
      </c>
      <c r="G118">
        <v>4</v>
      </c>
      <c r="H118">
        <v>7</v>
      </c>
      <c r="I118">
        <v>0</v>
      </c>
    </row>
    <row r="119" spans="1:9" x14ac:dyDescent="0.25">
      <c r="A119" t="s">
        <v>292</v>
      </c>
      <c r="B119" t="s">
        <v>152</v>
      </c>
      <c r="C119" t="s">
        <v>147</v>
      </c>
      <c r="D119" t="s">
        <v>12</v>
      </c>
      <c r="E119">
        <v>27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t="s">
        <v>292</v>
      </c>
      <c r="B120" t="s">
        <v>152</v>
      </c>
      <c r="C120" t="s">
        <v>160</v>
      </c>
      <c r="D120" t="s">
        <v>18</v>
      </c>
      <c r="E120">
        <v>27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293</v>
      </c>
      <c r="B121" t="s">
        <v>152</v>
      </c>
      <c r="C121" t="s">
        <v>147</v>
      </c>
      <c r="D121" t="s">
        <v>5</v>
      </c>
      <c r="E121">
        <v>29</v>
      </c>
      <c r="F121">
        <v>3</v>
      </c>
      <c r="G121">
        <v>0</v>
      </c>
      <c r="H121">
        <v>1</v>
      </c>
      <c r="I121">
        <v>0</v>
      </c>
    </row>
    <row r="122" spans="1:9" x14ac:dyDescent="0.25">
      <c r="A122" t="s">
        <v>294</v>
      </c>
      <c r="B122" t="s">
        <v>270</v>
      </c>
      <c r="C122" t="s">
        <v>144</v>
      </c>
      <c r="D122" t="s">
        <v>20</v>
      </c>
      <c r="E122">
        <v>27</v>
      </c>
      <c r="F122">
        <v>0</v>
      </c>
      <c r="G122">
        <v>2</v>
      </c>
      <c r="H122">
        <v>5</v>
      </c>
      <c r="I122">
        <v>0</v>
      </c>
    </row>
    <row r="123" spans="1:9" x14ac:dyDescent="0.25">
      <c r="A123" t="s">
        <v>295</v>
      </c>
      <c r="B123" t="s">
        <v>152</v>
      </c>
      <c r="C123" t="s">
        <v>150</v>
      </c>
      <c r="D123" t="s">
        <v>7</v>
      </c>
      <c r="E123">
        <v>28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296</v>
      </c>
      <c r="B124" t="s">
        <v>297</v>
      </c>
      <c r="C124" t="s">
        <v>150</v>
      </c>
      <c r="D124" t="s">
        <v>19</v>
      </c>
      <c r="E124">
        <v>25</v>
      </c>
      <c r="F124">
        <v>1</v>
      </c>
      <c r="G124">
        <v>2</v>
      </c>
      <c r="H124">
        <v>1</v>
      </c>
      <c r="I124">
        <v>0</v>
      </c>
    </row>
    <row r="125" spans="1:9" x14ac:dyDescent="0.25">
      <c r="A125" t="s">
        <v>298</v>
      </c>
      <c r="B125" t="s">
        <v>177</v>
      </c>
      <c r="C125" t="s">
        <v>150</v>
      </c>
      <c r="D125" t="s">
        <v>13</v>
      </c>
      <c r="E125">
        <v>26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">
        <v>299</v>
      </c>
      <c r="B126" t="s">
        <v>224</v>
      </c>
      <c r="C126" t="s">
        <v>189</v>
      </c>
      <c r="D126" t="s">
        <v>19</v>
      </c>
      <c r="E126">
        <v>34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300</v>
      </c>
      <c r="B127" t="s">
        <v>168</v>
      </c>
      <c r="C127" t="s">
        <v>169</v>
      </c>
      <c r="D127" t="s">
        <v>21</v>
      </c>
      <c r="E127">
        <v>25</v>
      </c>
      <c r="F127">
        <v>3</v>
      </c>
      <c r="G127">
        <v>2</v>
      </c>
      <c r="H127">
        <v>0</v>
      </c>
      <c r="I127">
        <v>0</v>
      </c>
    </row>
    <row r="128" spans="1:9" x14ac:dyDescent="0.25">
      <c r="A128" t="s">
        <v>301</v>
      </c>
      <c r="B128" t="s">
        <v>152</v>
      </c>
      <c r="C128" t="s">
        <v>147</v>
      </c>
      <c r="D128" t="s">
        <v>4</v>
      </c>
      <c r="E128">
        <v>19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t="s">
        <v>302</v>
      </c>
      <c r="B129" t="s">
        <v>152</v>
      </c>
      <c r="C129" t="s">
        <v>189</v>
      </c>
      <c r="D129" t="s">
        <v>15</v>
      </c>
      <c r="E129">
        <v>22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303</v>
      </c>
      <c r="B130" t="s">
        <v>304</v>
      </c>
      <c r="C130" t="s">
        <v>144</v>
      </c>
      <c r="D130" t="s">
        <v>19</v>
      </c>
      <c r="E130">
        <v>20</v>
      </c>
      <c r="F130">
        <v>0</v>
      </c>
      <c r="G130">
        <v>0</v>
      </c>
      <c r="H130">
        <v>1</v>
      </c>
      <c r="I130">
        <v>0</v>
      </c>
    </row>
    <row r="131" spans="1:9" x14ac:dyDescent="0.25">
      <c r="A131" t="s">
        <v>305</v>
      </c>
      <c r="B131" t="s">
        <v>152</v>
      </c>
      <c r="C131" t="s">
        <v>169</v>
      </c>
      <c r="D131" t="s">
        <v>23</v>
      </c>
      <c r="E131">
        <v>17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">
        <v>306</v>
      </c>
      <c r="B132" t="s">
        <v>152</v>
      </c>
      <c r="C132" t="s">
        <v>265</v>
      </c>
      <c r="D132" t="s">
        <v>12</v>
      </c>
      <c r="E132">
        <v>29</v>
      </c>
      <c r="F132">
        <v>1</v>
      </c>
      <c r="G132">
        <v>1</v>
      </c>
      <c r="H132">
        <v>1</v>
      </c>
      <c r="I132">
        <v>0</v>
      </c>
    </row>
    <row r="133" spans="1:9" x14ac:dyDescent="0.25">
      <c r="A133" t="s">
        <v>307</v>
      </c>
      <c r="B133" t="s">
        <v>308</v>
      </c>
      <c r="C133" t="s">
        <v>144</v>
      </c>
      <c r="D133" t="s">
        <v>4</v>
      </c>
      <c r="E133">
        <v>25</v>
      </c>
      <c r="F133">
        <v>2</v>
      </c>
      <c r="G133">
        <v>0</v>
      </c>
      <c r="H133">
        <v>10</v>
      </c>
      <c r="I133">
        <v>0</v>
      </c>
    </row>
    <row r="134" spans="1:9" x14ac:dyDescent="0.25">
      <c r="A134" t="s">
        <v>309</v>
      </c>
      <c r="B134" t="s">
        <v>152</v>
      </c>
      <c r="C134" t="s">
        <v>169</v>
      </c>
      <c r="D134" t="s">
        <v>8</v>
      </c>
      <c r="E134">
        <v>22</v>
      </c>
      <c r="F134">
        <v>6</v>
      </c>
      <c r="G134">
        <v>2</v>
      </c>
      <c r="H134">
        <v>5</v>
      </c>
      <c r="I134">
        <v>1</v>
      </c>
    </row>
    <row r="135" spans="1:9" x14ac:dyDescent="0.25">
      <c r="A135" t="s">
        <v>310</v>
      </c>
      <c r="B135" t="s">
        <v>152</v>
      </c>
      <c r="C135" t="s">
        <v>169</v>
      </c>
      <c r="D135" t="s">
        <v>5</v>
      </c>
      <c r="E135">
        <v>25</v>
      </c>
      <c r="F135">
        <v>2</v>
      </c>
      <c r="G135">
        <v>1</v>
      </c>
      <c r="H135">
        <v>1</v>
      </c>
      <c r="I135">
        <v>0</v>
      </c>
    </row>
    <row r="136" spans="1:9" x14ac:dyDescent="0.25">
      <c r="A136" t="s">
        <v>311</v>
      </c>
      <c r="B136" t="s">
        <v>259</v>
      </c>
      <c r="C136" t="s">
        <v>169</v>
      </c>
      <c r="D136" t="s">
        <v>15</v>
      </c>
      <c r="E136">
        <v>26</v>
      </c>
      <c r="F136">
        <v>1</v>
      </c>
      <c r="G136">
        <v>0</v>
      </c>
      <c r="H136">
        <v>2</v>
      </c>
      <c r="I136">
        <v>0</v>
      </c>
    </row>
    <row r="137" spans="1:9" x14ac:dyDescent="0.25">
      <c r="A137" t="s">
        <v>312</v>
      </c>
      <c r="B137" t="s">
        <v>152</v>
      </c>
      <c r="C137" t="s">
        <v>144</v>
      </c>
      <c r="D137" t="s">
        <v>5</v>
      </c>
      <c r="E137">
        <v>19</v>
      </c>
      <c r="F137">
        <v>1</v>
      </c>
      <c r="G137">
        <v>0</v>
      </c>
      <c r="H137">
        <v>5</v>
      </c>
      <c r="I137">
        <v>0</v>
      </c>
    </row>
    <row r="138" spans="1:9" x14ac:dyDescent="0.25">
      <c r="A138" t="s">
        <v>313</v>
      </c>
      <c r="B138" t="s">
        <v>210</v>
      </c>
      <c r="C138" t="s">
        <v>169</v>
      </c>
      <c r="D138" t="s">
        <v>11</v>
      </c>
      <c r="E138">
        <v>21</v>
      </c>
      <c r="F138">
        <v>3</v>
      </c>
      <c r="G138">
        <v>3</v>
      </c>
      <c r="H138">
        <v>5</v>
      </c>
      <c r="I138">
        <v>1</v>
      </c>
    </row>
    <row r="139" spans="1:9" x14ac:dyDescent="0.25">
      <c r="A139" t="s">
        <v>314</v>
      </c>
      <c r="B139" t="s">
        <v>152</v>
      </c>
      <c r="C139" t="s">
        <v>144</v>
      </c>
      <c r="D139" t="s">
        <v>23</v>
      </c>
      <c r="E139">
        <v>20</v>
      </c>
      <c r="F139">
        <v>2</v>
      </c>
      <c r="G139">
        <v>0</v>
      </c>
      <c r="H139">
        <v>10</v>
      </c>
      <c r="I139">
        <v>0</v>
      </c>
    </row>
    <row r="140" spans="1:9" x14ac:dyDescent="0.25">
      <c r="A140" t="s">
        <v>315</v>
      </c>
      <c r="B140" t="s">
        <v>165</v>
      </c>
      <c r="C140" t="s">
        <v>169</v>
      </c>
      <c r="D140" t="s">
        <v>9</v>
      </c>
      <c r="E140">
        <v>27</v>
      </c>
      <c r="F140">
        <v>2</v>
      </c>
      <c r="G140">
        <v>1</v>
      </c>
      <c r="H140">
        <v>0</v>
      </c>
      <c r="I140">
        <v>0</v>
      </c>
    </row>
    <row r="141" spans="1:9" x14ac:dyDescent="0.25">
      <c r="A141" t="s">
        <v>316</v>
      </c>
      <c r="B141" t="s">
        <v>224</v>
      </c>
      <c r="C141" t="s">
        <v>169</v>
      </c>
      <c r="D141" t="s">
        <v>17</v>
      </c>
      <c r="E141">
        <v>29</v>
      </c>
      <c r="F141">
        <v>2</v>
      </c>
      <c r="G141">
        <v>2</v>
      </c>
      <c r="H141">
        <v>3</v>
      </c>
      <c r="I141">
        <v>0</v>
      </c>
    </row>
    <row r="142" spans="1:9" x14ac:dyDescent="0.25">
      <c r="A142" t="s">
        <v>317</v>
      </c>
      <c r="B142" t="s">
        <v>210</v>
      </c>
      <c r="C142" t="s">
        <v>144</v>
      </c>
      <c r="D142" t="s">
        <v>11</v>
      </c>
      <c r="E142">
        <v>20</v>
      </c>
      <c r="F142">
        <v>0</v>
      </c>
      <c r="G142">
        <v>1</v>
      </c>
      <c r="H142">
        <v>3</v>
      </c>
      <c r="I142">
        <v>0</v>
      </c>
    </row>
    <row r="143" spans="1:9" x14ac:dyDescent="0.25">
      <c r="A143" t="s">
        <v>318</v>
      </c>
      <c r="B143" t="s">
        <v>319</v>
      </c>
      <c r="C143" t="s">
        <v>147</v>
      </c>
      <c r="D143" t="s">
        <v>14</v>
      </c>
      <c r="E143">
        <v>28</v>
      </c>
      <c r="F143">
        <v>1</v>
      </c>
      <c r="G143">
        <v>0</v>
      </c>
      <c r="H143">
        <v>3</v>
      </c>
      <c r="I143">
        <v>0</v>
      </c>
    </row>
    <row r="144" spans="1:9" x14ac:dyDescent="0.25">
      <c r="A144" t="s">
        <v>320</v>
      </c>
      <c r="B144" t="s">
        <v>319</v>
      </c>
      <c r="C144" t="s">
        <v>144</v>
      </c>
      <c r="D144" t="s">
        <v>19</v>
      </c>
      <c r="E144">
        <v>25</v>
      </c>
      <c r="F144">
        <v>0</v>
      </c>
      <c r="G144">
        <v>1</v>
      </c>
      <c r="H144">
        <v>1</v>
      </c>
      <c r="I144">
        <v>1</v>
      </c>
    </row>
    <row r="145" spans="1:9" x14ac:dyDescent="0.25">
      <c r="A145" t="s">
        <v>321</v>
      </c>
      <c r="B145" t="s">
        <v>152</v>
      </c>
      <c r="C145" t="s">
        <v>147</v>
      </c>
      <c r="D145" t="s">
        <v>20</v>
      </c>
      <c r="E145">
        <v>29</v>
      </c>
      <c r="F145">
        <v>4</v>
      </c>
      <c r="G145">
        <v>2</v>
      </c>
      <c r="H145">
        <v>8</v>
      </c>
      <c r="I145">
        <v>0</v>
      </c>
    </row>
    <row r="146" spans="1:9" x14ac:dyDescent="0.25">
      <c r="A146" t="s">
        <v>322</v>
      </c>
      <c r="B146" t="s">
        <v>235</v>
      </c>
      <c r="C146" t="s">
        <v>147</v>
      </c>
      <c r="D146" t="s">
        <v>16</v>
      </c>
      <c r="E146">
        <v>28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t="s">
        <v>323</v>
      </c>
      <c r="B147" t="s">
        <v>324</v>
      </c>
      <c r="C147" t="s">
        <v>141</v>
      </c>
      <c r="D147" t="s">
        <v>22</v>
      </c>
      <c r="E147">
        <v>36</v>
      </c>
      <c r="F147">
        <v>0</v>
      </c>
      <c r="G147">
        <v>2</v>
      </c>
      <c r="H147">
        <v>3</v>
      </c>
      <c r="I147">
        <v>0</v>
      </c>
    </row>
    <row r="148" spans="1:9" x14ac:dyDescent="0.25">
      <c r="A148" t="s">
        <v>325</v>
      </c>
      <c r="B148" t="s">
        <v>152</v>
      </c>
      <c r="C148" t="s">
        <v>150</v>
      </c>
      <c r="D148" t="s">
        <v>7</v>
      </c>
      <c r="E148">
        <v>26</v>
      </c>
      <c r="F148">
        <v>7</v>
      </c>
      <c r="G148">
        <v>4</v>
      </c>
      <c r="H148">
        <v>1</v>
      </c>
      <c r="I148">
        <v>0</v>
      </c>
    </row>
    <row r="149" spans="1:9" x14ac:dyDescent="0.25">
      <c r="A149" t="s">
        <v>326</v>
      </c>
      <c r="B149" t="s">
        <v>157</v>
      </c>
      <c r="C149" t="s">
        <v>147</v>
      </c>
      <c r="D149" t="s">
        <v>19</v>
      </c>
      <c r="E149">
        <v>29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327</v>
      </c>
      <c r="B150" t="s">
        <v>152</v>
      </c>
      <c r="C150" t="s">
        <v>144</v>
      </c>
      <c r="D150" t="s">
        <v>12</v>
      </c>
      <c r="E150">
        <v>35</v>
      </c>
      <c r="F150">
        <v>0</v>
      </c>
      <c r="G150">
        <v>1</v>
      </c>
      <c r="H150">
        <v>2</v>
      </c>
      <c r="I150">
        <v>1</v>
      </c>
    </row>
    <row r="151" spans="1:9" x14ac:dyDescent="0.25">
      <c r="A151" t="s">
        <v>328</v>
      </c>
      <c r="B151" t="s">
        <v>157</v>
      </c>
      <c r="C151" t="s">
        <v>147</v>
      </c>
      <c r="D151" t="s">
        <v>7</v>
      </c>
      <c r="E151">
        <v>23</v>
      </c>
      <c r="F151">
        <v>3</v>
      </c>
      <c r="G151">
        <v>2</v>
      </c>
      <c r="H151">
        <v>4</v>
      </c>
      <c r="I151">
        <v>0</v>
      </c>
    </row>
    <row r="152" spans="1:9" x14ac:dyDescent="0.25">
      <c r="A152" t="s">
        <v>329</v>
      </c>
      <c r="B152" t="s">
        <v>174</v>
      </c>
      <c r="C152" t="s">
        <v>141</v>
      </c>
      <c r="D152" t="s">
        <v>20</v>
      </c>
      <c r="E152">
        <v>24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t="s">
        <v>330</v>
      </c>
      <c r="B153" t="s">
        <v>200</v>
      </c>
      <c r="C153" t="s">
        <v>150</v>
      </c>
      <c r="D153" t="s">
        <v>6</v>
      </c>
      <c r="E153">
        <v>23</v>
      </c>
      <c r="F153">
        <v>3</v>
      </c>
      <c r="G153">
        <v>2</v>
      </c>
      <c r="H153">
        <v>1</v>
      </c>
      <c r="I153">
        <v>0</v>
      </c>
    </row>
    <row r="154" spans="1:9" x14ac:dyDescent="0.25">
      <c r="A154" t="s">
        <v>331</v>
      </c>
      <c r="B154" t="s">
        <v>152</v>
      </c>
      <c r="C154" t="s">
        <v>150</v>
      </c>
      <c r="D154" t="s">
        <v>5</v>
      </c>
      <c r="E154">
        <v>18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332</v>
      </c>
      <c r="B155" t="s">
        <v>183</v>
      </c>
      <c r="C155" t="s">
        <v>144</v>
      </c>
      <c r="D155" t="s">
        <v>23</v>
      </c>
      <c r="E155">
        <v>23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">
        <v>333</v>
      </c>
      <c r="B156" t="s">
        <v>192</v>
      </c>
      <c r="C156" t="s">
        <v>144</v>
      </c>
      <c r="D156" t="s">
        <v>11</v>
      </c>
      <c r="E156">
        <v>33</v>
      </c>
      <c r="F156">
        <v>0</v>
      </c>
      <c r="G156">
        <v>1</v>
      </c>
      <c r="H156">
        <v>2</v>
      </c>
      <c r="I156">
        <v>0</v>
      </c>
    </row>
    <row r="157" spans="1:9" x14ac:dyDescent="0.25">
      <c r="A157" t="s">
        <v>334</v>
      </c>
      <c r="B157" t="s">
        <v>152</v>
      </c>
      <c r="C157" t="s">
        <v>144</v>
      </c>
      <c r="D157" t="s">
        <v>17</v>
      </c>
      <c r="E157">
        <v>34</v>
      </c>
      <c r="F157">
        <v>3</v>
      </c>
      <c r="G157">
        <v>2</v>
      </c>
      <c r="H157">
        <v>3</v>
      </c>
      <c r="I157">
        <v>0</v>
      </c>
    </row>
    <row r="158" spans="1:9" x14ac:dyDescent="0.25">
      <c r="A158" t="s">
        <v>335</v>
      </c>
      <c r="B158" t="s">
        <v>324</v>
      </c>
      <c r="C158" t="s">
        <v>144</v>
      </c>
      <c r="D158" t="s">
        <v>11</v>
      </c>
      <c r="E158">
        <v>23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t="s">
        <v>336</v>
      </c>
      <c r="B159" t="s">
        <v>149</v>
      </c>
      <c r="C159" t="s">
        <v>150</v>
      </c>
      <c r="D159" t="s">
        <v>10</v>
      </c>
      <c r="E159">
        <v>26</v>
      </c>
      <c r="F159">
        <v>2</v>
      </c>
      <c r="G159">
        <v>1</v>
      </c>
      <c r="H159">
        <v>2</v>
      </c>
      <c r="I159">
        <v>0</v>
      </c>
    </row>
    <row r="160" spans="1:9" x14ac:dyDescent="0.25">
      <c r="A160" t="s">
        <v>337</v>
      </c>
      <c r="B160" t="s">
        <v>226</v>
      </c>
      <c r="C160" t="s">
        <v>141</v>
      </c>
      <c r="D160" t="s">
        <v>23</v>
      </c>
      <c r="E160">
        <v>29</v>
      </c>
      <c r="F160">
        <v>0</v>
      </c>
      <c r="G160">
        <v>0</v>
      </c>
      <c r="H160">
        <v>7</v>
      </c>
      <c r="I160">
        <v>1</v>
      </c>
    </row>
    <row r="161" spans="1:9" x14ac:dyDescent="0.25">
      <c r="A161" t="s">
        <v>338</v>
      </c>
      <c r="B161" t="s">
        <v>339</v>
      </c>
      <c r="C161" t="s">
        <v>160</v>
      </c>
      <c r="D161" t="s">
        <v>22</v>
      </c>
      <c r="E161">
        <v>23</v>
      </c>
      <c r="F161">
        <v>7</v>
      </c>
      <c r="G161">
        <v>7</v>
      </c>
      <c r="H161">
        <v>1</v>
      </c>
      <c r="I161">
        <v>0</v>
      </c>
    </row>
    <row r="162" spans="1:9" x14ac:dyDescent="0.25">
      <c r="A162" t="s">
        <v>340</v>
      </c>
      <c r="B162" t="s">
        <v>152</v>
      </c>
      <c r="C162" t="s">
        <v>144</v>
      </c>
      <c r="D162" t="s">
        <v>8</v>
      </c>
      <c r="E162">
        <v>31</v>
      </c>
      <c r="F162">
        <v>1</v>
      </c>
      <c r="G162">
        <v>0</v>
      </c>
      <c r="H162">
        <v>0</v>
      </c>
      <c r="I162">
        <v>0</v>
      </c>
    </row>
    <row r="163" spans="1:9" x14ac:dyDescent="0.25">
      <c r="A163" t="s">
        <v>341</v>
      </c>
      <c r="B163" t="s">
        <v>152</v>
      </c>
      <c r="C163" t="s">
        <v>144</v>
      </c>
      <c r="D163" t="s">
        <v>6</v>
      </c>
      <c r="E163">
        <v>36</v>
      </c>
      <c r="F163">
        <v>1</v>
      </c>
      <c r="G163">
        <v>0</v>
      </c>
      <c r="H163">
        <v>1</v>
      </c>
      <c r="I163">
        <v>0</v>
      </c>
    </row>
    <row r="164" spans="1:9" x14ac:dyDescent="0.25">
      <c r="A164" t="s">
        <v>342</v>
      </c>
      <c r="B164" t="s">
        <v>339</v>
      </c>
      <c r="C164" t="s">
        <v>144</v>
      </c>
      <c r="D164" t="s">
        <v>9</v>
      </c>
      <c r="E164">
        <v>22</v>
      </c>
      <c r="F164">
        <v>3</v>
      </c>
      <c r="G164">
        <v>0</v>
      </c>
      <c r="H164">
        <v>6</v>
      </c>
      <c r="I164">
        <v>0</v>
      </c>
    </row>
    <row r="165" spans="1:9" x14ac:dyDescent="0.25">
      <c r="A165" t="s">
        <v>343</v>
      </c>
      <c r="B165" t="s">
        <v>152</v>
      </c>
      <c r="C165" t="s">
        <v>147</v>
      </c>
      <c r="D165" t="s">
        <v>15</v>
      </c>
      <c r="E165">
        <v>28</v>
      </c>
      <c r="F165">
        <v>2</v>
      </c>
      <c r="G165">
        <v>1</v>
      </c>
      <c r="H165">
        <v>6</v>
      </c>
      <c r="I165">
        <v>0</v>
      </c>
    </row>
    <row r="166" spans="1:9" x14ac:dyDescent="0.25">
      <c r="A166" t="s">
        <v>344</v>
      </c>
      <c r="B166" t="s">
        <v>152</v>
      </c>
      <c r="C166" t="s">
        <v>144</v>
      </c>
      <c r="D166" t="s">
        <v>19</v>
      </c>
      <c r="E166">
        <v>24</v>
      </c>
      <c r="F166">
        <v>4</v>
      </c>
      <c r="G166">
        <v>0</v>
      </c>
      <c r="H166">
        <v>8</v>
      </c>
      <c r="I166">
        <v>0</v>
      </c>
    </row>
    <row r="167" spans="1:9" x14ac:dyDescent="0.25">
      <c r="A167" t="s">
        <v>345</v>
      </c>
      <c r="B167" t="s">
        <v>168</v>
      </c>
      <c r="C167" t="s">
        <v>160</v>
      </c>
      <c r="D167" t="s">
        <v>18</v>
      </c>
      <c r="E167">
        <v>23</v>
      </c>
      <c r="F167">
        <v>3</v>
      </c>
      <c r="G167">
        <v>1</v>
      </c>
      <c r="H167">
        <v>0</v>
      </c>
      <c r="I167">
        <v>0</v>
      </c>
    </row>
    <row r="168" spans="1:9" x14ac:dyDescent="0.25">
      <c r="A168" t="s">
        <v>346</v>
      </c>
      <c r="B168" t="s">
        <v>157</v>
      </c>
      <c r="C168" t="s">
        <v>144</v>
      </c>
      <c r="D168" t="s">
        <v>4</v>
      </c>
      <c r="E168">
        <v>20</v>
      </c>
      <c r="F168">
        <v>1</v>
      </c>
      <c r="G168">
        <v>0</v>
      </c>
      <c r="H168">
        <v>4</v>
      </c>
      <c r="I168">
        <v>1</v>
      </c>
    </row>
    <row r="169" spans="1:9" x14ac:dyDescent="0.25">
      <c r="A169" t="s">
        <v>347</v>
      </c>
      <c r="B169" t="s">
        <v>152</v>
      </c>
      <c r="C169" t="s">
        <v>189</v>
      </c>
      <c r="D169" t="s">
        <v>11</v>
      </c>
      <c r="E169">
        <v>27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348</v>
      </c>
      <c r="B170" t="s">
        <v>152</v>
      </c>
      <c r="C170" t="s">
        <v>144</v>
      </c>
      <c r="D170" t="s">
        <v>13</v>
      </c>
      <c r="E170">
        <v>30</v>
      </c>
      <c r="F170">
        <v>3</v>
      </c>
      <c r="G170">
        <v>2</v>
      </c>
      <c r="H170">
        <v>6</v>
      </c>
      <c r="I170">
        <v>0</v>
      </c>
    </row>
    <row r="171" spans="1:9" x14ac:dyDescent="0.25">
      <c r="A171" t="s">
        <v>349</v>
      </c>
      <c r="B171" t="s">
        <v>203</v>
      </c>
      <c r="C171" t="s">
        <v>160</v>
      </c>
      <c r="D171" t="s">
        <v>18</v>
      </c>
      <c r="E171">
        <v>27</v>
      </c>
      <c r="F171">
        <v>9</v>
      </c>
      <c r="G171">
        <v>3</v>
      </c>
      <c r="H171">
        <v>2</v>
      </c>
      <c r="I171">
        <v>0</v>
      </c>
    </row>
    <row r="172" spans="1:9" x14ac:dyDescent="0.25">
      <c r="A172" t="s">
        <v>350</v>
      </c>
      <c r="B172" t="s">
        <v>203</v>
      </c>
      <c r="C172" t="s">
        <v>169</v>
      </c>
      <c r="D172" t="s">
        <v>7</v>
      </c>
      <c r="E172">
        <v>18</v>
      </c>
      <c r="F172">
        <v>8</v>
      </c>
      <c r="G172">
        <v>1</v>
      </c>
      <c r="H172">
        <v>2</v>
      </c>
      <c r="I172">
        <v>0</v>
      </c>
    </row>
    <row r="173" spans="1:9" x14ac:dyDescent="0.25">
      <c r="A173" t="s">
        <v>351</v>
      </c>
      <c r="B173" t="s">
        <v>152</v>
      </c>
      <c r="C173" t="s">
        <v>256</v>
      </c>
      <c r="D173" t="s">
        <v>17</v>
      </c>
      <c r="E173">
        <v>26</v>
      </c>
      <c r="F173">
        <v>4</v>
      </c>
      <c r="G173">
        <v>7</v>
      </c>
      <c r="H173">
        <v>3</v>
      </c>
      <c r="I173">
        <v>0</v>
      </c>
    </row>
    <row r="174" spans="1:9" x14ac:dyDescent="0.25">
      <c r="A174" t="s">
        <v>352</v>
      </c>
      <c r="B174" t="s">
        <v>185</v>
      </c>
      <c r="C174" t="s">
        <v>144</v>
      </c>
      <c r="D174" t="s">
        <v>22</v>
      </c>
      <c r="E174">
        <v>31</v>
      </c>
      <c r="F174">
        <v>1</v>
      </c>
      <c r="G174">
        <v>2</v>
      </c>
      <c r="H174">
        <v>6</v>
      </c>
      <c r="I174">
        <v>0</v>
      </c>
    </row>
    <row r="175" spans="1:9" x14ac:dyDescent="0.25">
      <c r="A175" t="s">
        <v>353</v>
      </c>
      <c r="B175" t="s">
        <v>192</v>
      </c>
      <c r="C175" t="s">
        <v>144</v>
      </c>
      <c r="D175" t="s">
        <v>5</v>
      </c>
      <c r="E175">
        <v>25</v>
      </c>
      <c r="F175">
        <v>0</v>
      </c>
      <c r="G175">
        <v>5</v>
      </c>
      <c r="H175">
        <v>8</v>
      </c>
      <c r="I175">
        <v>0</v>
      </c>
    </row>
    <row r="176" spans="1:9" x14ac:dyDescent="0.25">
      <c r="A176" t="s">
        <v>354</v>
      </c>
      <c r="B176" t="s">
        <v>224</v>
      </c>
      <c r="C176" t="s">
        <v>150</v>
      </c>
      <c r="D176" t="s">
        <v>6</v>
      </c>
      <c r="E176">
        <v>20</v>
      </c>
      <c r="F176">
        <v>3</v>
      </c>
      <c r="G176">
        <v>2</v>
      </c>
      <c r="H176">
        <v>0</v>
      </c>
      <c r="I176">
        <v>0</v>
      </c>
    </row>
    <row r="177" spans="1:9" x14ac:dyDescent="0.25">
      <c r="A177" t="s">
        <v>355</v>
      </c>
      <c r="B177" t="s">
        <v>146</v>
      </c>
      <c r="C177" t="s">
        <v>256</v>
      </c>
      <c r="D177" t="s">
        <v>14</v>
      </c>
      <c r="E177">
        <v>19</v>
      </c>
      <c r="F177">
        <v>3</v>
      </c>
      <c r="G177">
        <v>1</v>
      </c>
      <c r="H177">
        <v>2</v>
      </c>
      <c r="I177">
        <v>1</v>
      </c>
    </row>
    <row r="178" spans="1:9" x14ac:dyDescent="0.25">
      <c r="A178" t="s">
        <v>356</v>
      </c>
      <c r="B178" t="s">
        <v>152</v>
      </c>
      <c r="C178" t="s">
        <v>144</v>
      </c>
      <c r="D178" t="s">
        <v>7</v>
      </c>
      <c r="E178">
        <v>25</v>
      </c>
      <c r="F178">
        <v>0</v>
      </c>
      <c r="G178">
        <v>2</v>
      </c>
      <c r="H178">
        <v>1</v>
      </c>
      <c r="I178">
        <v>1</v>
      </c>
    </row>
    <row r="179" spans="1:9" x14ac:dyDescent="0.25">
      <c r="A179" t="s">
        <v>357</v>
      </c>
      <c r="B179" t="s">
        <v>152</v>
      </c>
      <c r="C179" t="s">
        <v>147</v>
      </c>
      <c r="D179" t="s">
        <v>16</v>
      </c>
      <c r="E179">
        <v>20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t="s">
        <v>358</v>
      </c>
      <c r="B180" t="s">
        <v>359</v>
      </c>
      <c r="C180" t="s">
        <v>150</v>
      </c>
      <c r="D180" t="s">
        <v>7</v>
      </c>
      <c r="E180">
        <v>24</v>
      </c>
      <c r="F180">
        <v>2</v>
      </c>
      <c r="G180">
        <v>2</v>
      </c>
      <c r="H180">
        <v>1</v>
      </c>
      <c r="I180">
        <v>0</v>
      </c>
    </row>
    <row r="181" spans="1:9" x14ac:dyDescent="0.25">
      <c r="A181" t="s">
        <v>360</v>
      </c>
      <c r="B181" t="s">
        <v>361</v>
      </c>
      <c r="C181" t="s">
        <v>150</v>
      </c>
      <c r="D181" t="s">
        <v>20</v>
      </c>
      <c r="E181">
        <v>27</v>
      </c>
      <c r="F181">
        <v>12</v>
      </c>
      <c r="G181">
        <v>2</v>
      </c>
      <c r="H181">
        <v>0</v>
      </c>
      <c r="I181">
        <v>0</v>
      </c>
    </row>
    <row r="182" spans="1:9" x14ac:dyDescent="0.25">
      <c r="A182" t="s">
        <v>362</v>
      </c>
      <c r="B182" t="s">
        <v>363</v>
      </c>
      <c r="C182" t="s">
        <v>147</v>
      </c>
      <c r="D182" t="s">
        <v>23</v>
      </c>
      <c r="E182">
        <v>29</v>
      </c>
      <c r="F182">
        <v>1</v>
      </c>
      <c r="G182">
        <v>3</v>
      </c>
      <c r="H182">
        <v>12</v>
      </c>
      <c r="I182">
        <v>1</v>
      </c>
    </row>
    <row r="183" spans="1:9" x14ac:dyDescent="0.25">
      <c r="A183" t="s">
        <v>364</v>
      </c>
      <c r="B183" t="s">
        <v>200</v>
      </c>
      <c r="C183" t="s">
        <v>256</v>
      </c>
      <c r="D183" t="s">
        <v>17</v>
      </c>
      <c r="E183">
        <v>28</v>
      </c>
      <c r="F183">
        <v>7</v>
      </c>
      <c r="G183">
        <v>2</v>
      </c>
      <c r="H183">
        <v>4</v>
      </c>
      <c r="I183">
        <v>0</v>
      </c>
    </row>
    <row r="184" spans="1:9" x14ac:dyDescent="0.25">
      <c r="A184" t="s">
        <v>365</v>
      </c>
      <c r="B184" t="s">
        <v>366</v>
      </c>
      <c r="C184" t="s">
        <v>147</v>
      </c>
      <c r="D184" t="s">
        <v>16</v>
      </c>
      <c r="E184">
        <v>31</v>
      </c>
      <c r="F184">
        <v>0</v>
      </c>
      <c r="G184">
        <v>0</v>
      </c>
      <c r="H184">
        <v>2</v>
      </c>
      <c r="I184">
        <v>0</v>
      </c>
    </row>
    <row r="185" spans="1:9" x14ac:dyDescent="0.25">
      <c r="A185" t="s">
        <v>367</v>
      </c>
      <c r="B185" t="s">
        <v>224</v>
      </c>
      <c r="C185" t="s">
        <v>169</v>
      </c>
      <c r="D185" t="s">
        <v>20</v>
      </c>
      <c r="E185">
        <v>30</v>
      </c>
      <c r="F185">
        <v>6</v>
      </c>
      <c r="G185">
        <v>3</v>
      </c>
      <c r="H185">
        <v>2</v>
      </c>
      <c r="I185">
        <v>0</v>
      </c>
    </row>
    <row r="186" spans="1:9" x14ac:dyDescent="0.25">
      <c r="A186" t="s">
        <v>368</v>
      </c>
      <c r="B186" t="s">
        <v>369</v>
      </c>
      <c r="C186" t="s">
        <v>144</v>
      </c>
      <c r="D186" t="s">
        <v>10</v>
      </c>
      <c r="E186">
        <v>25</v>
      </c>
      <c r="F186">
        <v>0</v>
      </c>
      <c r="G186">
        <v>0</v>
      </c>
      <c r="H186">
        <v>1</v>
      </c>
      <c r="I186">
        <v>0</v>
      </c>
    </row>
    <row r="187" spans="1:9" x14ac:dyDescent="0.25">
      <c r="A187" t="s">
        <v>370</v>
      </c>
      <c r="B187" t="s">
        <v>168</v>
      </c>
      <c r="C187" t="s">
        <v>141</v>
      </c>
      <c r="D187" t="s">
        <v>8</v>
      </c>
      <c r="E187">
        <v>28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371</v>
      </c>
      <c r="B188" t="s">
        <v>192</v>
      </c>
      <c r="C188" t="s">
        <v>147</v>
      </c>
      <c r="D188" t="s">
        <v>22</v>
      </c>
      <c r="E188">
        <v>25</v>
      </c>
      <c r="F188">
        <v>4</v>
      </c>
      <c r="G188">
        <v>1</v>
      </c>
      <c r="H188">
        <v>5</v>
      </c>
      <c r="I188">
        <v>1</v>
      </c>
    </row>
    <row r="189" spans="1:9" x14ac:dyDescent="0.25">
      <c r="A189" t="s">
        <v>372</v>
      </c>
      <c r="B189" t="s">
        <v>200</v>
      </c>
      <c r="C189" t="s">
        <v>144</v>
      </c>
      <c r="D189" t="s">
        <v>10</v>
      </c>
      <c r="E189">
        <v>29</v>
      </c>
      <c r="F189">
        <v>0</v>
      </c>
      <c r="G189">
        <v>1</v>
      </c>
      <c r="H189">
        <v>5</v>
      </c>
      <c r="I189">
        <v>0</v>
      </c>
    </row>
    <row r="190" spans="1:9" x14ac:dyDescent="0.25">
      <c r="A190" t="s">
        <v>373</v>
      </c>
      <c r="B190" t="s">
        <v>152</v>
      </c>
      <c r="C190" t="s">
        <v>169</v>
      </c>
      <c r="D190" t="s">
        <v>9</v>
      </c>
      <c r="E190">
        <v>17</v>
      </c>
      <c r="F190">
        <v>1</v>
      </c>
      <c r="G190">
        <v>1</v>
      </c>
      <c r="H190">
        <v>1</v>
      </c>
      <c r="I190">
        <v>0</v>
      </c>
    </row>
    <row r="191" spans="1:9" x14ac:dyDescent="0.25">
      <c r="A191" t="s">
        <v>374</v>
      </c>
      <c r="B191" t="s">
        <v>200</v>
      </c>
      <c r="C191" t="s">
        <v>147</v>
      </c>
      <c r="D191" t="s">
        <v>10</v>
      </c>
      <c r="E191">
        <v>24</v>
      </c>
      <c r="F191">
        <v>3</v>
      </c>
      <c r="G191">
        <v>2</v>
      </c>
      <c r="H191">
        <v>2</v>
      </c>
      <c r="I191">
        <v>0</v>
      </c>
    </row>
    <row r="192" spans="1:9" x14ac:dyDescent="0.25">
      <c r="A192" t="s">
        <v>375</v>
      </c>
      <c r="B192" t="s">
        <v>174</v>
      </c>
      <c r="C192" t="s">
        <v>160</v>
      </c>
      <c r="D192" t="s">
        <v>8</v>
      </c>
      <c r="E192">
        <v>22</v>
      </c>
      <c r="F192">
        <v>0</v>
      </c>
      <c r="G192">
        <v>0</v>
      </c>
      <c r="H192">
        <v>1</v>
      </c>
      <c r="I192">
        <v>0</v>
      </c>
    </row>
    <row r="193" spans="1:9" x14ac:dyDescent="0.25">
      <c r="A193" t="s">
        <v>376</v>
      </c>
      <c r="B193" t="s">
        <v>366</v>
      </c>
      <c r="C193" t="s">
        <v>150</v>
      </c>
      <c r="D193" t="s">
        <v>9</v>
      </c>
      <c r="E193">
        <v>30</v>
      </c>
      <c r="F193">
        <v>1</v>
      </c>
      <c r="G193">
        <v>3</v>
      </c>
      <c r="H193">
        <v>1</v>
      </c>
      <c r="I193">
        <v>0</v>
      </c>
    </row>
    <row r="194" spans="1:9" x14ac:dyDescent="0.25">
      <c r="A194" t="s">
        <v>377</v>
      </c>
      <c r="B194" t="s">
        <v>240</v>
      </c>
      <c r="C194" t="s">
        <v>141</v>
      </c>
      <c r="D194" t="s">
        <v>16</v>
      </c>
      <c r="E194">
        <v>22</v>
      </c>
      <c r="F194">
        <v>2</v>
      </c>
      <c r="G194">
        <v>2</v>
      </c>
      <c r="H194">
        <v>2</v>
      </c>
      <c r="I194">
        <v>0</v>
      </c>
    </row>
    <row r="195" spans="1:9" x14ac:dyDescent="0.25">
      <c r="A195" t="s">
        <v>378</v>
      </c>
      <c r="B195" t="s">
        <v>379</v>
      </c>
      <c r="C195" t="s">
        <v>169</v>
      </c>
      <c r="D195" t="s">
        <v>4</v>
      </c>
      <c r="E195">
        <v>24</v>
      </c>
      <c r="F195">
        <v>4</v>
      </c>
      <c r="G195">
        <v>0</v>
      </c>
      <c r="H195">
        <v>0</v>
      </c>
      <c r="I195">
        <v>0</v>
      </c>
    </row>
    <row r="196" spans="1:9" x14ac:dyDescent="0.25">
      <c r="A196" t="s">
        <v>380</v>
      </c>
      <c r="B196" t="s">
        <v>192</v>
      </c>
      <c r="C196" t="s">
        <v>144</v>
      </c>
      <c r="D196" t="s">
        <v>21</v>
      </c>
      <c r="E196">
        <v>25</v>
      </c>
      <c r="F196">
        <v>0</v>
      </c>
      <c r="G196">
        <v>0</v>
      </c>
      <c r="H196">
        <v>5</v>
      </c>
      <c r="I196">
        <v>0</v>
      </c>
    </row>
    <row r="197" spans="1:9" x14ac:dyDescent="0.25">
      <c r="A197" t="s">
        <v>381</v>
      </c>
      <c r="B197" t="s">
        <v>171</v>
      </c>
      <c r="C197" t="s">
        <v>265</v>
      </c>
      <c r="D197" t="s">
        <v>7</v>
      </c>
      <c r="E197">
        <v>23</v>
      </c>
      <c r="F197">
        <v>1</v>
      </c>
      <c r="G197">
        <v>1</v>
      </c>
      <c r="H197">
        <v>4</v>
      </c>
      <c r="I197">
        <v>0</v>
      </c>
    </row>
    <row r="198" spans="1:9" x14ac:dyDescent="0.25">
      <c r="A198" t="s">
        <v>382</v>
      </c>
      <c r="B198" t="s">
        <v>198</v>
      </c>
      <c r="C198" t="s">
        <v>144</v>
      </c>
      <c r="D198" t="s">
        <v>6</v>
      </c>
      <c r="E198">
        <v>26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t="s">
        <v>383</v>
      </c>
      <c r="B199" t="s">
        <v>152</v>
      </c>
      <c r="C199" t="s">
        <v>169</v>
      </c>
      <c r="D199" t="s">
        <v>8</v>
      </c>
      <c r="E199">
        <v>22</v>
      </c>
      <c r="F199">
        <v>8</v>
      </c>
      <c r="G199">
        <v>0</v>
      </c>
      <c r="H199">
        <v>1</v>
      </c>
      <c r="I199">
        <v>0</v>
      </c>
    </row>
    <row r="200" spans="1:9" x14ac:dyDescent="0.25">
      <c r="A200" t="s">
        <v>384</v>
      </c>
      <c r="B200" t="s">
        <v>179</v>
      </c>
      <c r="C200" t="s">
        <v>150</v>
      </c>
      <c r="D200" t="s">
        <v>6</v>
      </c>
      <c r="E200">
        <v>20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t="s">
        <v>385</v>
      </c>
      <c r="B201" t="s">
        <v>224</v>
      </c>
      <c r="C201" t="s">
        <v>147</v>
      </c>
      <c r="D201" t="s">
        <v>19</v>
      </c>
      <c r="E201">
        <v>28</v>
      </c>
      <c r="F201">
        <v>0</v>
      </c>
      <c r="G201">
        <v>0</v>
      </c>
      <c r="H201">
        <v>3</v>
      </c>
      <c r="I201">
        <v>0</v>
      </c>
    </row>
    <row r="202" spans="1:9" x14ac:dyDescent="0.25">
      <c r="A202" t="s">
        <v>386</v>
      </c>
      <c r="B202" t="s">
        <v>152</v>
      </c>
      <c r="C202" t="s">
        <v>147</v>
      </c>
      <c r="D202" t="s">
        <v>6</v>
      </c>
      <c r="E202">
        <v>21</v>
      </c>
      <c r="F202">
        <v>3</v>
      </c>
      <c r="G202">
        <v>1</v>
      </c>
      <c r="H202">
        <v>2</v>
      </c>
      <c r="I202">
        <v>0</v>
      </c>
    </row>
    <row r="203" spans="1:9" x14ac:dyDescent="0.25">
      <c r="A203" t="s">
        <v>387</v>
      </c>
      <c r="B203" t="s">
        <v>388</v>
      </c>
      <c r="C203" t="s">
        <v>389</v>
      </c>
      <c r="D203" t="s">
        <v>7</v>
      </c>
      <c r="E203">
        <v>22</v>
      </c>
      <c r="F203">
        <v>1</v>
      </c>
      <c r="G203">
        <v>3</v>
      </c>
      <c r="H203">
        <v>2</v>
      </c>
      <c r="I203">
        <v>1</v>
      </c>
    </row>
    <row r="204" spans="1:9" x14ac:dyDescent="0.25">
      <c r="A204" t="s">
        <v>390</v>
      </c>
      <c r="B204" t="s">
        <v>152</v>
      </c>
      <c r="C204" t="s">
        <v>147</v>
      </c>
      <c r="D204" t="s">
        <v>5</v>
      </c>
      <c r="E204">
        <v>23</v>
      </c>
      <c r="F204">
        <v>1</v>
      </c>
      <c r="G204">
        <v>2</v>
      </c>
      <c r="H204">
        <v>0</v>
      </c>
      <c r="I204">
        <v>0</v>
      </c>
    </row>
    <row r="205" spans="1:9" x14ac:dyDescent="0.25">
      <c r="A205" t="s">
        <v>390</v>
      </c>
      <c r="B205" t="s">
        <v>152</v>
      </c>
      <c r="C205" t="s">
        <v>147</v>
      </c>
      <c r="D205" t="s">
        <v>11</v>
      </c>
      <c r="E205">
        <v>23</v>
      </c>
      <c r="F205">
        <v>0</v>
      </c>
      <c r="G205">
        <v>0</v>
      </c>
      <c r="H205">
        <v>4</v>
      </c>
      <c r="I205">
        <v>0</v>
      </c>
    </row>
    <row r="206" spans="1:9" x14ac:dyDescent="0.25">
      <c r="A206" t="s">
        <v>391</v>
      </c>
      <c r="B206" t="s">
        <v>152</v>
      </c>
      <c r="C206" t="s">
        <v>189</v>
      </c>
      <c r="D206" t="s">
        <v>14</v>
      </c>
      <c r="E206">
        <v>29</v>
      </c>
      <c r="F206">
        <v>0</v>
      </c>
      <c r="G206">
        <v>0</v>
      </c>
      <c r="H206">
        <v>2</v>
      </c>
      <c r="I206">
        <v>0</v>
      </c>
    </row>
    <row r="207" spans="1:9" x14ac:dyDescent="0.25">
      <c r="A207" t="s">
        <v>392</v>
      </c>
      <c r="B207" t="s">
        <v>152</v>
      </c>
      <c r="C207" t="s">
        <v>144</v>
      </c>
      <c r="D207" t="s">
        <v>23</v>
      </c>
      <c r="E207">
        <v>32</v>
      </c>
      <c r="F207">
        <v>0</v>
      </c>
      <c r="G207">
        <v>0</v>
      </c>
      <c r="H207">
        <v>1</v>
      </c>
      <c r="I207">
        <v>0</v>
      </c>
    </row>
    <row r="208" spans="1:9" x14ac:dyDescent="0.25">
      <c r="A208" t="s">
        <v>393</v>
      </c>
      <c r="B208" t="s">
        <v>152</v>
      </c>
      <c r="C208" t="s">
        <v>147</v>
      </c>
      <c r="D208" t="s">
        <v>8</v>
      </c>
      <c r="E208">
        <v>21</v>
      </c>
      <c r="F208">
        <v>4</v>
      </c>
      <c r="G208">
        <v>1</v>
      </c>
      <c r="H208">
        <v>1</v>
      </c>
      <c r="I208">
        <v>1</v>
      </c>
    </row>
    <row r="209" spans="1:9" x14ac:dyDescent="0.25">
      <c r="A209" t="s">
        <v>394</v>
      </c>
      <c r="B209" t="s">
        <v>152</v>
      </c>
      <c r="C209" t="s">
        <v>160</v>
      </c>
      <c r="D209" t="s">
        <v>15</v>
      </c>
      <c r="E209">
        <v>23</v>
      </c>
      <c r="F209">
        <v>0</v>
      </c>
      <c r="G209">
        <v>3</v>
      </c>
      <c r="H209">
        <v>1</v>
      </c>
      <c r="I209">
        <v>0</v>
      </c>
    </row>
    <row r="210" spans="1:9" x14ac:dyDescent="0.25">
      <c r="A210" t="s">
        <v>395</v>
      </c>
      <c r="B210" t="s">
        <v>210</v>
      </c>
      <c r="C210" t="s">
        <v>147</v>
      </c>
      <c r="D210" t="s">
        <v>21</v>
      </c>
      <c r="E210">
        <v>24</v>
      </c>
      <c r="F210">
        <v>2</v>
      </c>
      <c r="G210">
        <v>0</v>
      </c>
      <c r="H210">
        <v>3</v>
      </c>
      <c r="I210">
        <v>0</v>
      </c>
    </row>
    <row r="211" spans="1:9" x14ac:dyDescent="0.25">
      <c r="A211" t="s">
        <v>396</v>
      </c>
      <c r="B211" t="s">
        <v>155</v>
      </c>
      <c r="C211" t="s">
        <v>147</v>
      </c>
      <c r="D211" t="s">
        <v>6</v>
      </c>
      <c r="E211">
        <v>24</v>
      </c>
      <c r="F211">
        <v>1</v>
      </c>
      <c r="G211">
        <v>1</v>
      </c>
      <c r="H211">
        <v>0</v>
      </c>
      <c r="I211">
        <v>0</v>
      </c>
    </row>
    <row r="212" spans="1:9" x14ac:dyDescent="0.25">
      <c r="A212" t="s">
        <v>397</v>
      </c>
      <c r="B212" t="s">
        <v>213</v>
      </c>
      <c r="C212" t="s">
        <v>150</v>
      </c>
      <c r="D212" t="s">
        <v>16</v>
      </c>
      <c r="E212">
        <v>21</v>
      </c>
      <c r="F212">
        <v>2</v>
      </c>
      <c r="G212">
        <v>0</v>
      </c>
      <c r="H212">
        <v>3</v>
      </c>
      <c r="I212">
        <v>1</v>
      </c>
    </row>
    <row r="213" spans="1:9" x14ac:dyDescent="0.25">
      <c r="A213" t="s">
        <v>398</v>
      </c>
      <c r="B213" t="s">
        <v>152</v>
      </c>
      <c r="C213" t="s">
        <v>150</v>
      </c>
      <c r="D213" t="s">
        <v>21</v>
      </c>
      <c r="E213">
        <v>33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399</v>
      </c>
      <c r="B214" t="s">
        <v>157</v>
      </c>
      <c r="C214" t="s">
        <v>147</v>
      </c>
      <c r="D214" t="s">
        <v>21</v>
      </c>
      <c r="E214">
        <v>25</v>
      </c>
      <c r="F214">
        <v>1</v>
      </c>
      <c r="G214">
        <v>6</v>
      </c>
      <c r="H214">
        <v>5</v>
      </c>
      <c r="I214">
        <v>0</v>
      </c>
    </row>
    <row r="215" spans="1:9" x14ac:dyDescent="0.25">
      <c r="A215" t="s">
        <v>400</v>
      </c>
      <c r="B215" t="s">
        <v>152</v>
      </c>
      <c r="C215" t="s">
        <v>169</v>
      </c>
      <c r="D215" t="s">
        <v>5</v>
      </c>
      <c r="E215">
        <v>26</v>
      </c>
      <c r="F215">
        <v>0</v>
      </c>
      <c r="G215">
        <v>0</v>
      </c>
      <c r="H215">
        <v>5</v>
      </c>
      <c r="I215">
        <v>0</v>
      </c>
    </row>
    <row r="216" spans="1:9" x14ac:dyDescent="0.25">
      <c r="A216" t="s">
        <v>400</v>
      </c>
      <c r="B216" t="s">
        <v>152</v>
      </c>
      <c r="C216" t="s">
        <v>169</v>
      </c>
      <c r="D216" t="s">
        <v>13</v>
      </c>
      <c r="E216">
        <v>26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401</v>
      </c>
      <c r="B217" t="s">
        <v>149</v>
      </c>
      <c r="C217" t="s">
        <v>160</v>
      </c>
      <c r="D217" t="s">
        <v>12</v>
      </c>
      <c r="E217">
        <v>20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402</v>
      </c>
      <c r="B218" t="s">
        <v>152</v>
      </c>
      <c r="C218" t="s">
        <v>147</v>
      </c>
      <c r="D218" t="s">
        <v>17</v>
      </c>
      <c r="E218">
        <v>24</v>
      </c>
      <c r="F218">
        <v>5</v>
      </c>
      <c r="G218">
        <v>1</v>
      </c>
      <c r="H218">
        <v>1</v>
      </c>
      <c r="I218">
        <v>0</v>
      </c>
    </row>
    <row r="219" spans="1:9" x14ac:dyDescent="0.25">
      <c r="A219" t="s">
        <v>403</v>
      </c>
      <c r="B219" t="s">
        <v>146</v>
      </c>
      <c r="C219" t="s">
        <v>147</v>
      </c>
      <c r="D219" t="s">
        <v>9</v>
      </c>
      <c r="E219">
        <v>23</v>
      </c>
      <c r="F219">
        <v>2</v>
      </c>
      <c r="G219">
        <v>0</v>
      </c>
      <c r="H219">
        <v>5</v>
      </c>
      <c r="I219">
        <v>0</v>
      </c>
    </row>
    <row r="220" spans="1:9" x14ac:dyDescent="0.25">
      <c r="A220" t="s">
        <v>404</v>
      </c>
      <c r="B220" t="s">
        <v>146</v>
      </c>
      <c r="C220" t="s">
        <v>144</v>
      </c>
      <c r="D220" t="s">
        <v>23</v>
      </c>
      <c r="E220">
        <v>26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405</v>
      </c>
      <c r="B221" t="s">
        <v>162</v>
      </c>
      <c r="C221" t="s">
        <v>147</v>
      </c>
      <c r="D221" t="s">
        <v>6</v>
      </c>
      <c r="E221">
        <v>32</v>
      </c>
      <c r="F221">
        <v>1</v>
      </c>
      <c r="G221">
        <v>2</v>
      </c>
      <c r="H221">
        <v>6</v>
      </c>
      <c r="I221">
        <v>0</v>
      </c>
    </row>
    <row r="222" spans="1:9" x14ac:dyDescent="0.25">
      <c r="A222" t="s">
        <v>406</v>
      </c>
      <c r="B222" t="s">
        <v>152</v>
      </c>
      <c r="C222" t="s">
        <v>144</v>
      </c>
      <c r="D222" t="s">
        <v>21</v>
      </c>
      <c r="E222">
        <v>24</v>
      </c>
      <c r="F222">
        <v>2</v>
      </c>
      <c r="G222">
        <v>0</v>
      </c>
      <c r="H222">
        <v>4</v>
      </c>
      <c r="I222">
        <v>0</v>
      </c>
    </row>
    <row r="223" spans="1:9" x14ac:dyDescent="0.25">
      <c r="A223" t="s">
        <v>407</v>
      </c>
      <c r="B223" t="s">
        <v>152</v>
      </c>
      <c r="C223" t="s">
        <v>150</v>
      </c>
      <c r="D223" t="s">
        <v>4</v>
      </c>
      <c r="E223">
        <v>17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408</v>
      </c>
      <c r="B224" t="s">
        <v>210</v>
      </c>
      <c r="C224" t="s">
        <v>144</v>
      </c>
      <c r="D224" t="s">
        <v>14</v>
      </c>
      <c r="E224">
        <v>19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t="s">
        <v>409</v>
      </c>
      <c r="B225" t="s">
        <v>152</v>
      </c>
      <c r="C225" t="s">
        <v>169</v>
      </c>
      <c r="D225" t="s">
        <v>7</v>
      </c>
      <c r="E225">
        <v>30</v>
      </c>
      <c r="F225">
        <v>1</v>
      </c>
      <c r="G225">
        <v>1</v>
      </c>
      <c r="H225">
        <v>1</v>
      </c>
      <c r="I225">
        <v>0</v>
      </c>
    </row>
    <row r="226" spans="1:9" x14ac:dyDescent="0.25">
      <c r="A226" t="s">
        <v>410</v>
      </c>
      <c r="B226" t="s">
        <v>152</v>
      </c>
      <c r="C226" t="s">
        <v>160</v>
      </c>
      <c r="D226" t="s">
        <v>15</v>
      </c>
      <c r="E226">
        <v>24</v>
      </c>
      <c r="F226">
        <v>2</v>
      </c>
      <c r="G226">
        <v>4</v>
      </c>
      <c r="H226">
        <v>0</v>
      </c>
      <c r="I226">
        <v>0</v>
      </c>
    </row>
    <row r="227" spans="1:9" x14ac:dyDescent="0.25">
      <c r="A227" t="s">
        <v>411</v>
      </c>
      <c r="B227" t="s">
        <v>152</v>
      </c>
      <c r="C227" t="s">
        <v>265</v>
      </c>
      <c r="D227" t="s">
        <v>12</v>
      </c>
      <c r="E227">
        <v>30</v>
      </c>
      <c r="F227">
        <v>0</v>
      </c>
      <c r="G227">
        <v>0</v>
      </c>
      <c r="H227">
        <v>1</v>
      </c>
      <c r="I227">
        <v>0</v>
      </c>
    </row>
    <row r="228" spans="1:9" x14ac:dyDescent="0.25">
      <c r="A228" t="s">
        <v>412</v>
      </c>
      <c r="B228" t="s">
        <v>152</v>
      </c>
      <c r="C228" t="s">
        <v>144</v>
      </c>
      <c r="D228" t="s">
        <v>14</v>
      </c>
      <c r="E228">
        <v>24</v>
      </c>
      <c r="F228">
        <v>0</v>
      </c>
      <c r="G228">
        <v>2</v>
      </c>
      <c r="H228">
        <v>3</v>
      </c>
      <c r="I228">
        <v>1</v>
      </c>
    </row>
    <row r="229" spans="1:9" x14ac:dyDescent="0.25">
      <c r="A229" t="s">
        <v>413</v>
      </c>
      <c r="B229" t="s">
        <v>297</v>
      </c>
      <c r="C229" t="s">
        <v>150</v>
      </c>
      <c r="D229" t="s">
        <v>12</v>
      </c>
      <c r="E229">
        <v>28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414</v>
      </c>
      <c r="B230" t="s">
        <v>152</v>
      </c>
      <c r="C230" t="s">
        <v>144</v>
      </c>
      <c r="D230" t="s">
        <v>11</v>
      </c>
      <c r="E230">
        <v>26</v>
      </c>
      <c r="F230">
        <v>1</v>
      </c>
      <c r="G230">
        <v>0</v>
      </c>
      <c r="H230">
        <v>2</v>
      </c>
      <c r="I230">
        <v>0</v>
      </c>
    </row>
    <row r="231" spans="1:9" x14ac:dyDescent="0.25">
      <c r="A231" t="s">
        <v>415</v>
      </c>
      <c r="B231" t="s">
        <v>179</v>
      </c>
      <c r="C231" t="s">
        <v>189</v>
      </c>
      <c r="D231" t="s">
        <v>5</v>
      </c>
      <c r="E231">
        <v>33</v>
      </c>
      <c r="F231">
        <v>0</v>
      </c>
      <c r="G231">
        <v>1</v>
      </c>
      <c r="H231">
        <v>1</v>
      </c>
      <c r="I231">
        <v>0</v>
      </c>
    </row>
    <row r="232" spans="1:9" x14ac:dyDescent="0.25">
      <c r="A232" t="s">
        <v>416</v>
      </c>
      <c r="B232" t="s">
        <v>157</v>
      </c>
      <c r="C232" t="s">
        <v>144</v>
      </c>
      <c r="D232" t="s">
        <v>14</v>
      </c>
      <c r="E232">
        <v>24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t="s">
        <v>417</v>
      </c>
      <c r="B233" t="s">
        <v>152</v>
      </c>
      <c r="C233" t="s">
        <v>144</v>
      </c>
      <c r="D233" t="s">
        <v>23</v>
      </c>
      <c r="E233">
        <v>21</v>
      </c>
      <c r="F233">
        <v>0</v>
      </c>
      <c r="G233">
        <v>0</v>
      </c>
      <c r="H233">
        <v>7</v>
      </c>
      <c r="I233">
        <v>1</v>
      </c>
    </row>
    <row r="234" spans="1:9" x14ac:dyDescent="0.25">
      <c r="A234" t="s">
        <v>418</v>
      </c>
      <c r="B234" t="s">
        <v>224</v>
      </c>
      <c r="C234" t="s">
        <v>144</v>
      </c>
      <c r="D234" t="s">
        <v>10</v>
      </c>
      <c r="E234">
        <v>30</v>
      </c>
      <c r="F234">
        <v>1</v>
      </c>
      <c r="G234">
        <v>0</v>
      </c>
      <c r="H234">
        <v>4</v>
      </c>
      <c r="I234">
        <v>0</v>
      </c>
    </row>
    <row r="235" spans="1:9" x14ac:dyDescent="0.25">
      <c r="A235" t="s">
        <v>419</v>
      </c>
      <c r="B235" t="s">
        <v>157</v>
      </c>
      <c r="C235" t="s">
        <v>144</v>
      </c>
      <c r="D235" t="s">
        <v>18</v>
      </c>
      <c r="E235">
        <v>30</v>
      </c>
      <c r="F235">
        <v>2</v>
      </c>
      <c r="G235">
        <v>0</v>
      </c>
      <c r="H235">
        <v>2</v>
      </c>
      <c r="I235">
        <v>0</v>
      </c>
    </row>
    <row r="236" spans="1:9" x14ac:dyDescent="0.25">
      <c r="A236" t="s">
        <v>420</v>
      </c>
      <c r="B236" t="s">
        <v>179</v>
      </c>
      <c r="C236" t="s">
        <v>144</v>
      </c>
      <c r="D236" t="s">
        <v>18</v>
      </c>
      <c r="E236">
        <v>23</v>
      </c>
      <c r="F236">
        <v>1</v>
      </c>
      <c r="G236">
        <v>0</v>
      </c>
      <c r="H236">
        <v>8</v>
      </c>
      <c r="I236">
        <v>0</v>
      </c>
    </row>
    <row r="237" spans="1:9" x14ac:dyDescent="0.25">
      <c r="A237" t="s">
        <v>421</v>
      </c>
      <c r="B237" t="s">
        <v>155</v>
      </c>
      <c r="C237" t="s">
        <v>147</v>
      </c>
      <c r="D237" t="s">
        <v>13</v>
      </c>
      <c r="E237">
        <v>23</v>
      </c>
      <c r="F237">
        <v>0</v>
      </c>
      <c r="G237">
        <v>1</v>
      </c>
      <c r="H237">
        <v>0</v>
      </c>
      <c r="I237">
        <v>0</v>
      </c>
    </row>
    <row r="238" spans="1:9" x14ac:dyDescent="0.25">
      <c r="A238" t="s">
        <v>422</v>
      </c>
      <c r="B238" t="s">
        <v>423</v>
      </c>
      <c r="C238" t="s">
        <v>150</v>
      </c>
      <c r="D238" t="s">
        <v>21</v>
      </c>
      <c r="E238">
        <v>23</v>
      </c>
      <c r="F238">
        <v>5</v>
      </c>
      <c r="G238">
        <v>2</v>
      </c>
      <c r="H238">
        <v>3</v>
      </c>
      <c r="I238">
        <v>1</v>
      </c>
    </row>
    <row r="239" spans="1:9" x14ac:dyDescent="0.25">
      <c r="A239" t="s">
        <v>424</v>
      </c>
      <c r="B239" t="s">
        <v>425</v>
      </c>
      <c r="C239" t="s">
        <v>147</v>
      </c>
      <c r="D239" t="s">
        <v>4</v>
      </c>
      <c r="E239">
        <v>20</v>
      </c>
      <c r="F239">
        <v>3</v>
      </c>
      <c r="G239">
        <v>1</v>
      </c>
      <c r="H239">
        <v>5</v>
      </c>
      <c r="I239">
        <v>0</v>
      </c>
    </row>
    <row r="240" spans="1:9" x14ac:dyDescent="0.25">
      <c r="A240" t="s">
        <v>426</v>
      </c>
      <c r="B240" t="s">
        <v>149</v>
      </c>
      <c r="C240" t="s">
        <v>144</v>
      </c>
      <c r="D240" t="s">
        <v>22</v>
      </c>
      <c r="E240">
        <v>26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t="s">
        <v>427</v>
      </c>
      <c r="B241" t="s">
        <v>428</v>
      </c>
      <c r="C241" t="s">
        <v>144</v>
      </c>
      <c r="D241" t="s">
        <v>8</v>
      </c>
      <c r="E241">
        <v>20</v>
      </c>
      <c r="F241">
        <v>0</v>
      </c>
      <c r="G241">
        <v>1</v>
      </c>
      <c r="H241">
        <v>3</v>
      </c>
      <c r="I241">
        <v>1</v>
      </c>
    </row>
    <row r="242" spans="1:9" x14ac:dyDescent="0.25">
      <c r="A242" t="s">
        <v>429</v>
      </c>
      <c r="B242" t="s">
        <v>152</v>
      </c>
      <c r="C242" t="s">
        <v>144</v>
      </c>
      <c r="D242" t="s">
        <v>7</v>
      </c>
      <c r="E242">
        <v>30</v>
      </c>
      <c r="F242">
        <v>1</v>
      </c>
      <c r="G242">
        <v>0</v>
      </c>
      <c r="H242">
        <v>12</v>
      </c>
      <c r="I242">
        <v>1</v>
      </c>
    </row>
    <row r="243" spans="1:9" x14ac:dyDescent="0.25">
      <c r="A243" t="s">
        <v>430</v>
      </c>
      <c r="B243" t="s">
        <v>152</v>
      </c>
      <c r="C243" t="s">
        <v>189</v>
      </c>
      <c r="D243" t="s">
        <v>9</v>
      </c>
      <c r="E243">
        <v>29</v>
      </c>
      <c r="F243">
        <v>0</v>
      </c>
      <c r="G243">
        <v>0</v>
      </c>
      <c r="H243">
        <v>1</v>
      </c>
      <c r="I243">
        <v>0</v>
      </c>
    </row>
    <row r="244" spans="1:9" x14ac:dyDescent="0.25">
      <c r="A244" t="s">
        <v>431</v>
      </c>
      <c r="B244" t="s">
        <v>224</v>
      </c>
      <c r="C244" t="s">
        <v>169</v>
      </c>
      <c r="D244" t="s">
        <v>11</v>
      </c>
      <c r="E244">
        <v>26</v>
      </c>
      <c r="F244">
        <v>3</v>
      </c>
      <c r="G244">
        <v>2</v>
      </c>
      <c r="H244">
        <v>3</v>
      </c>
      <c r="I244">
        <v>0</v>
      </c>
    </row>
    <row r="245" spans="1:9" x14ac:dyDescent="0.25">
      <c r="A245" t="s">
        <v>432</v>
      </c>
      <c r="B245" t="s">
        <v>171</v>
      </c>
      <c r="C245" t="s">
        <v>144</v>
      </c>
      <c r="D245" t="s">
        <v>5</v>
      </c>
      <c r="E245">
        <v>30</v>
      </c>
      <c r="F245">
        <v>5</v>
      </c>
      <c r="G245">
        <v>5</v>
      </c>
      <c r="H245">
        <v>6</v>
      </c>
      <c r="I245">
        <v>0</v>
      </c>
    </row>
    <row r="246" spans="1:9" x14ac:dyDescent="0.25">
      <c r="A246" t="s">
        <v>433</v>
      </c>
      <c r="B246" t="s">
        <v>157</v>
      </c>
      <c r="C246" t="s">
        <v>147</v>
      </c>
      <c r="D246" t="s">
        <v>20</v>
      </c>
      <c r="E246">
        <v>20</v>
      </c>
      <c r="F246">
        <v>0</v>
      </c>
      <c r="G246">
        <v>0</v>
      </c>
      <c r="H246">
        <v>2</v>
      </c>
      <c r="I246">
        <v>0</v>
      </c>
    </row>
    <row r="247" spans="1:9" x14ac:dyDescent="0.25">
      <c r="A247" t="s">
        <v>434</v>
      </c>
      <c r="B247" t="s">
        <v>152</v>
      </c>
      <c r="C247" t="s">
        <v>147</v>
      </c>
      <c r="D247" t="s">
        <v>8</v>
      </c>
      <c r="E247">
        <v>29</v>
      </c>
      <c r="F247">
        <v>1</v>
      </c>
      <c r="G247">
        <v>0</v>
      </c>
      <c r="H247">
        <v>8</v>
      </c>
      <c r="I247">
        <v>0</v>
      </c>
    </row>
    <row r="248" spans="1:9" x14ac:dyDescent="0.25">
      <c r="A248" t="s">
        <v>435</v>
      </c>
      <c r="B248" t="s">
        <v>157</v>
      </c>
      <c r="C248" t="s">
        <v>147</v>
      </c>
      <c r="D248" t="s">
        <v>18</v>
      </c>
      <c r="E248">
        <v>25</v>
      </c>
      <c r="F248">
        <v>1</v>
      </c>
      <c r="G248">
        <v>3</v>
      </c>
      <c r="H248">
        <v>7</v>
      </c>
      <c r="I248">
        <v>0</v>
      </c>
    </row>
    <row r="249" spans="1:9" x14ac:dyDescent="0.25">
      <c r="A249" t="s">
        <v>436</v>
      </c>
      <c r="B249" t="s">
        <v>157</v>
      </c>
      <c r="C249" t="s">
        <v>144</v>
      </c>
      <c r="D249" t="s">
        <v>14</v>
      </c>
      <c r="E249">
        <v>29</v>
      </c>
      <c r="F249">
        <v>0</v>
      </c>
      <c r="G249">
        <v>1</v>
      </c>
      <c r="H249">
        <v>3</v>
      </c>
      <c r="I249">
        <v>2</v>
      </c>
    </row>
    <row r="250" spans="1:9" x14ac:dyDescent="0.25">
      <c r="A250" t="s">
        <v>437</v>
      </c>
      <c r="B250" t="s">
        <v>240</v>
      </c>
      <c r="C250" t="s">
        <v>169</v>
      </c>
      <c r="D250" t="s">
        <v>5</v>
      </c>
      <c r="E250">
        <v>27</v>
      </c>
      <c r="F250">
        <v>6</v>
      </c>
      <c r="G250">
        <v>1</v>
      </c>
      <c r="H250">
        <v>2</v>
      </c>
      <c r="I250">
        <v>0</v>
      </c>
    </row>
    <row r="251" spans="1:9" x14ac:dyDescent="0.25">
      <c r="A251" t="s">
        <v>438</v>
      </c>
      <c r="B251" t="s">
        <v>366</v>
      </c>
      <c r="C251" t="s">
        <v>256</v>
      </c>
      <c r="D251" t="s">
        <v>8</v>
      </c>
      <c r="E251">
        <v>30</v>
      </c>
      <c r="F251">
        <v>2</v>
      </c>
      <c r="G251">
        <v>1</v>
      </c>
      <c r="H251">
        <v>5</v>
      </c>
      <c r="I251">
        <v>0</v>
      </c>
    </row>
    <row r="252" spans="1:9" x14ac:dyDescent="0.25">
      <c r="A252" t="s">
        <v>439</v>
      </c>
      <c r="B252" t="s">
        <v>146</v>
      </c>
      <c r="C252" t="s">
        <v>150</v>
      </c>
      <c r="D252" t="s">
        <v>16</v>
      </c>
      <c r="E252">
        <v>34</v>
      </c>
      <c r="F252">
        <v>2</v>
      </c>
      <c r="G252">
        <v>1</v>
      </c>
      <c r="H252">
        <v>0</v>
      </c>
      <c r="I252">
        <v>0</v>
      </c>
    </row>
    <row r="253" spans="1:9" x14ac:dyDescent="0.25">
      <c r="A253" t="s">
        <v>440</v>
      </c>
      <c r="B253" t="s">
        <v>162</v>
      </c>
      <c r="C253" t="s">
        <v>147</v>
      </c>
      <c r="D253" t="s">
        <v>8</v>
      </c>
      <c r="E253">
        <v>28</v>
      </c>
      <c r="F253">
        <v>0</v>
      </c>
      <c r="G253">
        <v>0</v>
      </c>
      <c r="H253">
        <v>1</v>
      </c>
      <c r="I253">
        <v>0</v>
      </c>
    </row>
    <row r="254" spans="1:9" x14ac:dyDescent="0.25">
      <c r="A254" t="s">
        <v>441</v>
      </c>
      <c r="B254" t="s">
        <v>177</v>
      </c>
      <c r="C254" t="s">
        <v>147</v>
      </c>
      <c r="D254" t="s">
        <v>16</v>
      </c>
      <c r="E254">
        <v>19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t="s">
        <v>442</v>
      </c>
      <c r="B255" t="s">
        <v>157</v>
      </c>
      <c r="C255" t="s">
        <v>256</v>
      </c>
      <c r="D255" t="s">
        <v>19</v>
      </c>
      <c r="E255">
        <v>22</v>
      </c>
      <c r="F255">
        <v>2</v>
      </c>
      <c r="G255">
        <v>0</v>
      </c>
      <c r="H255">
        <v>4</v>
      </c>
      <c r="I255">
        <v>0</v>
      </c>
    </row>
    <row r="256" spans="1:9" x14ac:dyDescent="0.25">
      <c r="A256" t="s">
        <v>443</v>
      </c>
      <c r="B256" t="s">
        <v>444</v>
      </c>
      <c r="C256" t="s">
        <v>147</v>
      </c>
      <c r="D256" t="s">
        <v>19</v>
      </c>
      <c r="E256">
        <v>19</v>
      </c>
      <c r="F256">
        <v>1</v>
      </c>
      <c r="G256">
        <v>2</v>
      </c>
      <c r="H256">
        <v>4</v>
      </c>
      <c r="I256">
        <v>0</v>
      </c>
    </row>
    <row r="257" spans="1:9" x14ac:dyDescent="0.25">
      <c r="A257" t="s">
        <v>445</v>
      </c>
      <c r="B257" t="s">
        <v>446</v>
      </c>
      <c r="C257" t="s">
        <v>144</v>
      </c>
      <c r="D257" t="s">
        <v>16</v>
      </c>
      <c r="E257">
        <v>31</v>
      </c>
      <c r="F257">
        <v>1</v>
      </c>
      <c r="G257">
        <v>1</v>
      </c>
      <c r="H257">
        <v>3</v>
      </c>
      <c r="I257">
        <v>0</v>
      </c>
    </row>
    <row r="258" spans="1:9" x14ac:dyDescent="0.25">
      <c r="A258" t="s">
        <v>447</v>
      </c>
      <c r="B258" t="s">
        <v>200</v>
      </c>
      <c r="C258" t="s">
        <v>160</v>
      </c>
      <c r="D258" t="s">
        <v>23</v>
      </c>
      <c r="E258">
        <v>26</v>
      </c>
      <c r="F258">
        <v>1</v>
      </c>
      <c r="G258">
        <v>2</v>
      </c>
      <c r="H258">
        <v>1</v>
      </c>
      <c r="I258">
        <v>0</v>
      </c>
    </row>
    <row r="259" spans="1:9" x14ac:dyDescent="0.25">
      <c r="A259" t="s">
        <v>448</v>
      </c>
      <c r="B259" t="s">
        <v>155</v>
      </c>
      <c r="C259" t="s">
        <v>147</v>
      </c>
      <c r="D259" t="s">
        <v>8</v>
      </c>
      <c r="E259">
        <v>28</v>
      </c>
      <c r="F259">
        <v>0</v>
      </c>
      <c r="G259">
        <v>4</v>
      </c>
      <c r="H259">
        <v>10</v>
      </c>
      <c r="I259">
        <v>0</v>
      </c>
    </row>
    <row r="260" spans="1:9" x14ac:dyDescent="0.25">
      <c r="A260" t="s">
        <v>449</v>
      </c>
      <c r="B260" t="s">
        <v>179</v>
      </c>
      <c r="C260" t="s">
        <v>144</v>
      </c>
      <c r="D260" t="s">
        <v>20</v>
      </c>
      <c r="E260">
        <v>29</v>
      </c>
      <c r="F260">
        <v>0</v>
      </c>
      <c r="G260">
        <v>0</v>
      </c>
      <c r="H260">
        <v>2</v>
      </c>
      <c r="I260">
        <v>1</v>
      </c>
    </row>
    <row r="261" spans="1:9" x14ac:dyDescent="0.25">
      <c r="A261" t="s">
        <v>450</v>
      </c>
      <c r="B261" t="s">
        <v>157</v>
      </c>
      <c r="C261" t="s">
        <v>144</v>
      </c>
      <c r="D261" t="s">
        <v>21</v>
      </c>
      <c r="E261">
        <v>26</v>
      </c>
      <c r="F261">
        <v>4</v>
      </c>
      <c r="G261">
        <v>3</v>
      </c>
      <c r="H261">
        <v>4</v>
      </c>
      <c r="I261">
        <v>1</v>
      </c>
    </row>
    <row r="262" spans="1:9" x14ac:dyDescent="0.25">
      <c r="A262" t="s">
        <v>451</v>
      </c>
      <c r="B262" t="s">
        <v>192</v>
      </c>
      <c r="C262" t="s">
        <v>147</v>
      </c>
      <c r="D262" t="s">
        <v>19</v>
      </c>
      <c r="E262">
        <v>30</v>
      </c>
      <c r="F262">
        <v>3</v>
      </c>
      <c r="G262">
        <v>3</v>
      </c>
      <c r="H262">
        <v>7</v>
      </c>
      <c r="I262">
        <v>0</v>
      </c>
    </row>
    <row r="263" spans="1:9" x14ac:dyDescent="0.25">
      <c r="A263" t="s">
        <v>452</v>
      </c>
      <c r="B263" t="s">
        <v>174</v>
      </c>
      <c r="C263" t="s">
        <v>144</v>
      </c>
      <c r="D263" t="s">
        <v>22</v>
      </c>
      <c r="E263">
        <v>25</v>
      </c>
      <c r="F263">
        <v>0</v>
      </c>
      <c r="G263">
        <v>0</v>
      </c>
      <c r="H263">
        <v>10</v>
      </c>
      <c r="I263">
        <v>0</v>
      </c>
    </row>
    <row r="264" spans="1:9" x14ac:dyDescent="0.25">
      <c r="A264" t="s">
        <v>453</v>
      </c>
      <c r="B264" t="s">
        <v>174</v>
      </c>
      <c r="C264" t="s">
        <v>144</v>
      </c>
      <c r="D264" t="s">
        <v>6</v>
      </c>
      <c r="E264">
        <v>24</v>
      </c>
      <c r="F264">
        <v>1</v>
      </c>
      <c r="G264">
        <v>1</v>
      </c>
      <c r="H264">
        <v>3</v>
      </c>
      <c r="I264">
        <v>0</v>
      </c>
    </row>
    <row r="265" spans="1:9" x14ac:dyDescent="0.25">
      <c r="A265" t="s">
        <v>454</v>
      </c>
      <c r="B265" t="s">
        <v>171</v>
      </c>
      <c r="C265" t="s">
        <v>144</v>
      </c>
      <c r="D265" t="s">
        <v>20</v>
      </c>
      <c r="E265">
        <v>35</v>
      </c>
      <c r="F265">
        <v>0</v>
      </c>
      <c r="G265">
        <v>0</v>
      </c>
      <c r="H265">
        <v>1</v>
      </c>
      <c r="I265">
        <v>0</v>
      </c>
    </row>
    <row r="266" spans="1:9" x14ac:dyDescent="0.25">
      <c r="A266" t="s">
        <v>455</v>
      </c>
      <c r="B266" t="s">
        <v>185</v>
      </c>
      <c r="C266" t="s">
        <v>144</v>
      </c>
      <c r="D266" t="s">
        <v>18</v>
      </c>
      <c r="E266">
        <v>30</v>
      </c>
      <c r="F266">
        <v>0</v>
      </c>
      <c r="G266">
        <v>3</v>
      </c>
      <c r="H266">
        <v>2</v>
      </c>
      <c r="I266">
        <v>1</v>
      </c>
    </row>
    <row r="267" spans="1:9" x14ac:dyDescent="0.25">
      <c r="A267" t="s">
        <v>456</v>
      </c>
      <c r="B267" t="s">
        <v>171</v>
      </c>
      <c r="C267" t="s">
        <v>147</v>
      </c>
      <c r="D267" t="s">
        <v>18</v>
      </c>
      <c r="E267">
        <v>18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457</v>
      </c>
      <c r="B268" t="s">
        <v>188</v>
      </c>
      <c r="C268" t="s">
        <v>144</v>
      </c>
      <c r="D268" t="s">
        <v>16</v>
      </c>
      <c r="E268">
        <v>24</v>
      </c>
      <c r="F268">
        <v>1</v>
      </c>
      <c r="G268">
        <v>0</v>
      </c>
      <c r="H268">
        <v>5</v>
      </c>
      <c r="I268">
        <v>0</v>
      </c>
    </row>
    <row r="269" spans="1:9" x14ac:dyDescent="0.25">
      <c r="A269" t="s">
        <v>458</v>
      </c>
      <c r="B269" t="s">
        <v>157</v>
      </c>
      <c r="C269" t="s">
        <v>150</v>
      </c>
      <c r="D269" t="s">
        <v>7</v>
      </c>
      <c r="E269">
        <v>26</v>
      </c>
      <c r="F269">
        <v>2</v>
      </c>
      <c r="G269">
        <v>0</v>
      </c>
      <c r="H269">
        <v>1</v>
      </c>
      <c r="I269">
        <v>0</v>
      </c>
    </row>
    <row r="270" spans="1:9" x14ac:dyDescent="0.25">
      <c r="A270" t="s">
        <v>458</v>
      </c>
      <c r="B270" t="s">
        <v>157</v>
      </c>
      <c r="C270" t="s">
        <v>169</v>
      </c>
      <c r="D270" t="s">
        <v>5</v>
      </c>
      <c r="E270">
        <v>26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t="s">
        <v>459</v>
      </c>
      <c r="B271" t="s">
        <v>460</v>
      </c>
      <c r="C271" t="s">
        <v>147</v>
      </c>
      <c r="D271" t="s">
        <v>4</v>
      </c>
      <c r="E271">
        <v>23</v>
      </c>
      <c r="F271">
        <v>1</v>
      </c>
      <c r="G271">
        <v>0</v>
      </c>
      <c r="H271">
        <v>4</v>
      </c>
      <c r="I271">
        <v>0</v>
      </c>
    </row>
    <row r="272" spans="1:9" x14ac:dyDescent="0.25">
      <c r="A272" t="s">
        <v>461</v>
      </c>
      <c r="B272" t="s">
        <v>149</v>
      </c>
      <c r="C272" t="s">
        <v>169</v>
      </c>
      <c r="D272" t="s">
        <v>6</v>
      </c>
      <c r="E272">
        <v>20</v>
      </c>
      <c r="F272">
        <v>1</v>
      </c>
      <c r="G272">
        <v>0</v>
      </c>
      <c r="H272">
        <v>0</v>
      </c>
      <c r="I272">
        <v>0</v>
      </c>
    </row>
    <row r="273" spans="1:9" x14ac:dyDescent="0.25">
      <c r="A273" t="s">
        <v>462</v>
      </c>
      <c r="B273" t="s">
        <v>152</v>
      </c>
      <c r="C273" t="s">
        <v>256</v>
      </c>
      <c r="D273" t="s">
        <v>7</v>
      </c>
      <c r="E273">
        <v>33</v>
      </c>
      <c r="F273">
        <v>0</v>
      </c>
      <c r="G273">
        <v>0</v>
      </c>
      <c r="H273">
        <v>2</v>
      </c>
      <c r="I273">
        <v>0</v>
      </c>
    </row>
    <row r="274" spans="1:9" x14ac:dyDescent="0.25">
      <c r="A274" t="s">
        <v>463</v>
      </c>
      <c r="B274" t="s">
        <v>146</v>
      </c>
      <c r="C274" t="s">
        <v>150</v>
      </c>
      <c r="D274" t="s">
        <v>18</v>
      </c>
      <c r="E274">
        <v>23</v>
      </c>
      <c r="F274">
        <v>4</v>
      </c>
      <c r="G274">
        <v>2</v>
      </c>
      <c r="H274">
        <v>5</v>
      </c>
      <c r="I274">
        <v>0</v>
      </c>
    </row>
    <row r="275" spans="1:9" x14ac:dyDescent="0.25">
      <c r="A275" t="s">
        <v>464</v>
      </c>
      <c r="B275" t="s">
        <v>185</v>
      </c>
      <c r="C275" t="s">
        <v>144</v>
      </c>
      <c r="D275" t="s">
        <v>8</v>
      </c>
      <c r="E275">
        <v>27</v>
      </c>
      <c r="F275">
        <v>0</v>
      </c>
      <c r="G275">
        <v>0</v>
      </c>
      <c r="H275">
        <v>3</v>
      </c>
      <c r="I275">
        <v>0</v>
      </c>
    </row>
    <row r="276" spans="1:9" x14ac:dyDescent="0.25">
      <c r="A276" t="s">
        <v>465</v>
      </c>
      <c r="B276" t="s">
        <v>152</v>
      </c>
      <c r="C276" t="s">
        <v>144</v>
      </c>
      <c r="D276" t="s">
        <v>12</v>
      </c>
      <c r="E276">
        <v>32</v>
      </c>
      <c r="F276">
        <v>1</v>
      </c>
      <c r="G276">
        <v>1</v>
      </c>
      <c r="H276">
        <v>12</v>
      </c>
      <c r="I276">
        <v>0</v>
      </c>
    </row>
    <row r="277" spans="1:9" x14ac:dyDescent="0.25">
      <c r="A277" t="s">
        <v>466</v>
      </c>
      <c r="B277" t="s">
        <v>192</v>
      </c>
      <c r="C277" t="s">
        <v>144</v>
      </c>
      <c r="D277" t="s">
        <v>7</v>
      </c>
      <c r="E277">
        <v>18</v>
      </c>
      <c r="F277">
        <v>0</v>
      </c>
      <c r="G277">
        <v>0</v>
      </c>
      <c r="H277">
        <v>2</v>
      </c>
      <c r="I277">
        <v>0</v>
      </c>
    </row>
    <row r="278" spans="1:9" x14ac:dyDescent="0.25">
      <c r="A278" t="s">
        <v>467</v>
      </c>
      <c r="B278" t="s">
        <v>468</v>
      </c>
      <c r="C278" t="s">
        <v>389</v>
      </c>
      <c r="D278" t="s">
        <v>7</v>
      </c>
      <c r="E278">
        <v>20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t="s">
        <v>469</v>
      </c>
      <c r="B279" t="s">
        <v>157</v>
      </c>
      <c r="C279" t="s">
        <v>144</v>
      </c>
      <c r="D279" t="s">
        <v>14</v>
      </c>
      <c r="E279">
        <v>24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470</v>
      </c>
      <c r="B280" t="s">
        <v>192</v>
      </c>
      <c r="C280" t="s">
        <v>144</v>
      </c>
      <c r="D280" t="s">
        <v>13</v>
      </c>
      <c r="E280">
        <v>33</v>
      </c>
      <c r="F280">
        <v>0</v>
      </c>
      <c r="G280">
        <v>1</v>
      </c>
      <c r="H280">
        <v>2</v>
      </c>
      <c r="I280">
        <v>0</v>
      </c>
    </row>
    <row r="281" spans="1:9" x14ac:dyDescent="0.25">
      <c r="A281" t="s">
        <v>471</v>
      </c>
      <c r="B281" t="s">
        <v>179</v>
      </c>
      <c r="C281" t="s">
        <v>256</v>
      </c>
      <c r="D281" t="s">
        <v>21</v>
      </c>
      <c r="E281">
        <v>19</v>
      </c>
      <c r="F281">
        <v>0</v>
      </c>
      <c r="G281">
        <v>1</v>
      </c>
      <c r="H281">
        <v>6</v>
      </c>
      <c r="I281">
        <v>0</v>
      </c>
    </row>
    <row r="282" spans="1:9" x14ac:dyDescent="0.25">
      <c r="A282" t="s">
        <v>472</v>
      </c>
      <c r="B282" t="s">
        <v>240</v>
      </c>
      <c r="C282" t="s">
        <v>147</v>
      </c>
      <c r="D282" t="s">
        <v>14</v>
      </c>
      <c r="E282">
        <v>23</v>
      </c>
      <c r="F282">
        <v>0</v>
      </c>
      <c r="G282">
        <v>4</v>
      </c>
      <c r="H282">
        <v>0</v>
      </c>
      <c r="I282">
        <v>0</v>
      </c>
    </row>
    <row r="283" spans="1:9" x14ac:dyDescent="0.25">
      <c r="A283" t="s">
        <v>473</v>
      </c>
      <c r="B283" t="s">
        <v>474</v>
      </c>
      <c r="C283" t="s">
        <v>189</v>
      </c>
      <c r="D283" t="s">
        <v>16</v>
      </c>
      <c r="E283">
        <v>31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475</v>
      </c>
      <c r="B284" t="s">
        <v>460</v>
      </c>
      <c r="C284" t="s">
        <v>169</v>
      </c>
      <c r="D284" t="s">
        <v>21</v>
      </c>
      <c r="E284">
        <v>26</v>
      </c>
      <c r="F284">
        <v>2</v>
      </c>
      <c r="G284">
        <v>0</v>
      </c>
      <c r="H284">
        <v>1</v>
      </c>
      <c r="I284">
        <v>0</v>
      </c>
    </row>
    <row r="285" spans="1:9" x14ac:dyDescent="0.25">
      <c r="A285" t="s">
        <v>476</v>
      </c>
      <c r="B285" t="s">
        <v>157</v>
      </c>
      <c r="C285" t="s">
        <v>147</v>
      </c>
      <c r="D285" t="s">
        <v>14</v>
      </c>
      <c r="E285">
        <v>22</v>
      </c>
      <c r="F285">
        <v>0</v>
      </c>
      <c r="G285">
        <v>0</v>
      </c>
      <c r="H285">
        <v>1</v>
      </c>
      <c r="I285">
        <v>0</v>
      </c>
    </row>
    <row r="286" spans="1:9" x14ac:dyDescent="0.25">
      <c r="A286" t="s">
        <v>477</v>
      </c>
      <c r="B286" t="s">
        <v>339</v>
      </c>
      <c r="C286" t="s">
        <v>144</v>
      </c>
      <c r="D286" t="s">
        <v>10</v>
      </c>
      <c r="E286">
        <v>33</v>
      </c>
      <c r="F286">
        <v>2</v>
      </c>
      <c r="G286">
        <v>0</v>
      </c>
      <c r="H286">
        <v>0</v>
      </c>
      <c r="I286">
        <v>0</v>
      </c>
    </row>
    <row r="287" spans="1:9" x14ac:dyDescent="0.25">
      <c r="A287" t="s">
        <v>478</v>
      </c>
      <c r="B287" t="s">
        <v>157</v>
      </c>
      <c r="C287" t="s">
        <v>144</v>
      </c>
      <c r="D287" t="s">
        <v>11</v>
      </c>
      <c r="E287">
        <v>24</v>
      </c>
      <c r="F287">
        <v>1</v>
      </c>
      <c r="G287">
        <v>0</v>
      </c>
      <c r="H287">
        <v>2</v>
      </c>
      <c r="I287">
        <v>1</v>
      </c>
    </row>
    <row r="288" spans="1:9" x14ac:dyDescent="0.25">
      <c r="A288" t="s">
        <v>479</v>
      </c>
      <c r="B288" t="s">
        <v>165</v>
      </c>
      <c r="C288" t="s">
        <v>144</v>
      </c>
      <c r="D288" t="s">
        <v>10</v>
      </c>
      <c r="E288">
        <v>30</v>
      </c>
      <c r="F288">
        <v>1</v>
      </c>
      <c r="G288">
        <v>4</v>
      </c>
      <c r="H288">
        <v>8</v>
      </c>
      <c r="I288">
        <v>1</v>
      </c>
    </row>
    <row r="289" spans="1:9" x14ac:dyDescent="0.25">
      <c r="A289" t="s">
        <v>480</v>
      </c>
      <c r="B289" t="s">
        <v>157</v>
      </c>
      <c r="C289" t="s">
        <v>160</v>
      </c>
      <c r="D289" t="s">
        <v>4</v>
      </c>
      <c r="E289">
        <v>26</v>
      </c>
      <c r="F289">
        <v>0</v>
      </c>
      <c r="G289">
        <v>1</v>
      </c>
      <c r="H289">
        <v>2</v>
      </c>
      <c r="I289">
        <v>0</v>
      </c>
    </row>
    <row r="290" spans="1:9" x14ac:dyDescent="0.25">
      <c r="A290" t="s">
        <v>481</v>
      </c>
      <c r="B290" t="s">
        <v>174</v>
      </c>
      <c r="C290" t="s">
        <v>150</v>
      </c>
      <c r="D290" t="s">
        <v>6</v>
      </c>
      <c r="E290">
        <v>26</v>
      </c>
      <c r="F290">
        <v>1</v>
      </c>
      <c r="G290">
        <v>0</v>
      </c>
      <c r="H290">
        <v>1</v>
      </c>
      <c r="I290">
        <v>0</v>
      </c>
    </row>
    <row r="291" spans="1:9" x14ac:dyDescent="0.25">
      <c r="A291" t="s">
        <v>481</v>
      </c>
      <c r="B291" t="s">
        <v>174</v>
      </c>
      <c r="C291" t="s">
        <v>150</v>
      </c>
      <c r="D291" t="s">
        <v>14</v>
      </c>
      <c r="E291">
        <v>26</v>
      </c>
      <c r="F291">
        <v>1</v>
      </c>
      <c r="G291">
        <v>0</v>
      </c>
      <c r="H291">
        <v>2</v>
      </c>
      <c r="I291">
        <v>0</v>
      </c>
    </row>
    <row r="292" spans="1:9" x14ac:dyDescent="0.25">
      <c r="A292" t="s">
        <v>482</v>
      </c>
      <c r="B292" t="s">
        <v>174</v>
      </c>
      <c r="C292" t="s">
        <v>147</v>
      </c>
      <c r="D292" t="s">
        <v>10</v>
      </c>
      <c r="E292">
        <v>29</v>
      </c>
      <c r="F292">
        <v>0</v>
      </c>
      <c r="G292">
        <v>3</v>
      </c>
      <c r="H292">
        <v>9</v>
      </c>
      <c r="I292">
        <v>0</v>
      </c>
    </row>
    <row r="293" spans="1:9" x14ac:dyDescent="0.25">
      <c r="A293" t="s">
        <v>483</v>
      </c>
      <c r="B293" t="s">
        <v>484</v>
      </c>
      <c r="C293" t="s">
        <v>160</v>
      </c>
      <c r="D293" t="s">
        <v>9</v>
      </c>
      <c r="E293">
        <v>18</v>
      </c>
      <c r="F293">
        <v>0</v>
      </c>
      <c r="G293">
        <v>0</v>
      </c>
      <c r="H293">
        <v>2</v>
      </c>
      <c r="I293">
        <v>0</v>
      </c>
    </row>
    <row r="294" spans="1:9" x14ac:dyDescent="0.25">
      <c r="A294" t="s">
        <v>485</v>
      </c>
      <c r="B294" t="s">
        <v>486</v>
      </c>
      <c r="C294" t="s">
        <v>160</v>
      </c>
      <c r="D294" t="s">
        <v>23</v>
      </c>
      <c r="E294">
        <v>26</v>
      </c>
      <c r="F294">
        <v>1</v>
      </c>
      <c r="G294">
        <v>1</v>
      </c>
      <c r="H294">
        <v>4</v>
      </c>
      <c r="I294">
        <v>0</v>
      </c>
    </row>
    <row r="295" spans="1:9" x14ac:dyDescent="0.25">
      <c r="A295" t="s">
        <v>487</v>
      </c>
      <c r="B295" t="s">
        <v>152</v>
      </c>
      <c r="C295" t="s">
        <v>256</v>
      </c>
      <c r="D295" t="s">
        <v>5</v>
      </c>
      <c r="E295">
        <v>20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t="s">
        <v>488</v>
      </c>
      <c r="B296" t="s">
        <v>152</v>
      </c>
      <c r="C296" t="s">
        <v>150</v>
      </c>
      <c r="D296" t="s">
        <v>5</v>
      </c>
      <c r="E296">
        <v>24</v>
      </c>
      <c r="F296">
        <v>19</v>
      </c>
      <c r="G296">
        <v>3</v>
      </c>
      <c r="H296">
        <v>6</v>
      </c>
      <c r="I296">
        <v>0</v>
      </c>
    </row>
    <row r="297" spans="1:9" x14ac:dyDescent="0.25">
      <c r="A297" t="s">
        <v>489</v>
      </c>
      <c r="B297" t="s">
        <v>339</v>
      </c>
      <c r="C297" t="s">
        <v>147</v>
      </c>
      <c r="D297" t="s">
        <v>19</v>
      </c>
      <c r="E297">
        <v>22</v>
      </c>
      <c r="F297">
        <v>0</v>
      </c>
      <c r="G297">
        <v>2</v>
      </c>
      <c r="H297">
        <v>6</v>
      </c>
      <c r="I297">
        <v>1</v>
      </c>
    </row>
    <row r="298" spans="1:9" x14ac:dyDescent="0.25">
      <c r="A298" t="s">
        <v>490</v>
      </c>
      <c r="B298" t="s">
        <v>149</v>
      </c>
      <c r="C298" t="s">
        <v>144</v>
      </c>
      <c r="D298" t="s">
        <v>11</v>
      </c>
      <c r="E298">
        <v>25</v>
      </c>
      <c r="F298">
        <v>0</v>
      </c>
      <c r="G298">
        <v>0</v>
      </c>
      <c r="H298">
        <v>1</v>
      </c>
      <c r="I298">
        <v>0</v>
      </c>
    </row>
    <row r="299" spans="1:9" x14ac:dyDescent="0.25">
      <c r="A299" t="s">
        <v>491</v>
      </c>
      <c r="B299" t="s">
        <v>171</v>
      </c>
      <c r="C299" t="s">
        <v>144</v>
      </c>
      <c r="D299" t="s">
        <v>7</v>
      </c>
      <c r="E299">
        <v>29</v>
      </c>
      <c r="F299">
        <v>0</v>
      </c>
      <c r="G299">
        <v>0</v>
      </c>
      <c r="H299">
        <v>6</v>
      </c>
      <c r="I299">
        <v>1</v>
      </c>
    </row>
    <row r="300" spans="1:9" x14ac:dyDescent="0.25">
      <c r="A300" t="s">
        <v>492</v>
      </c>
      <c r="B300" t="s">
        <v>493</v>
      </c>
      <c r="C300" t="s">
        <v>144</v>
      </c>
      <c r="D300" t="s">
        <v>14</v>
      </c>
      <c r="E300">
        <v>26</v>
      </c>
      <c r="F300">
        <v>0</v>
      </c>
      <c r="G300">
        <v>1</v>
      </c>
      <c r="H300">
        <v>3</v>
      </c>
      <c r="I300">
        <v>0</v>
      </c>
    </row>
    <row r="301" spans="1:9" x14ac:dyDescent="0.25">
      <c r="A301" t="s">
        <v>494</v>
      </c>
      <c r="B301" t="s">
        <v>146</v>
      </c>
      <c r="C301" t="s">
        <v>147</v>
      </c>
      <c r="D301" t="s">
        <v>16</v>
      </c>
      <c r="E301">
        <v>25</v>
      </c>
      <c r="F301">
        <v>1</v>
      </c>
      <c r="G301">
        <v>1</v>
      </c>
      <c r="H301">
        <v>1</v>
      </c>
      <c r="I301">
        <v>0</v>
      </c>
    </row>
    <row r="302" spans="1:9" x14ac:dyDescent="0.25">
      <c r="A302" t="s">
        <v>495</v>
      </c>
      <c r="B302" t="s">
        <v>496</v>
      </c>
      <c r="C302" t="s">
        <v>144</v>
      </c>
      <c r="D302" t="s">
        <v>22</v>
      </c>
      <c r="E302">
        <v>31</v>
      </c>
      <c r="F302">
        <v>0</v>
      </c>
      <c r="G302">
        <v>2</v>
      </c>
      <c r="H302">
        <v>7</v>
      </c>
      <c r="I302">
        <v>0</v>
      </c>
    </row>
    <row r="303" spans="1:9" x14ac:dyDescent="0.25">
      <c r="A303" t="s">
        <v>497</v>
      </c>
      <c r="B303" t="s">
        <v>157</v>
      </c>
      <c r="C303" t="s">
        <v>150</v>
      </c>
      <c r="D303" t="s">
        <v>11</v>
      </c>
      <c r="E303">
        <v>25</v>
      </c>
      <c r="F303">
        <v>8</v>
      </c>
      <c r="G303">
        <v>1</v>
      </c>
      <c r="H303">
        <v>0</v>
      </c>
      <c r="I303">
        <v>0</v>
      </c>
    </row>
    <row r="304" spans="1:9" x14ac:dyDescent="0.25">
      <c r="A304" t="s">
        <v>498</v>
      </c>
      <c r="B304" t="s">
        <v>152</v>
      </c>
      <c r="C304" t="s">
        <v>169</v>
      </c>
      <c r="D304" t="s">
        <v>8</v>
      </c>
      <c r="E304">
        <v>18</v>
      </c>
      <c r="F304">
        <v>0</v>
      </c>
      <c r="G304">
        <v>1</v>
      </c>
      <c r="H304">
        <v>0</v>
      </c>
      <c r="I304">
        <v>0</v>
      </c>
    </row>
    <row r="305" spans="1:9" x14ac:dyDescent="0.25">
      <c r="A305" t="s">
        <v>499</v>
      </c>
      <c r="B305" t="s">
        <v>157</v>
      </c>
      <c r="C305" t="s">
        <v>147</v>
      </c>
      <c r="D305" t="s">
        <v>20</v>
      </c>
      <c r="E305">
        <v>23</v>
      </c>
      <c r="F305">
        <v>2</v>
      </c>
      <c r="G305">
        <v>1</v>
      </c>
      <c r="H305">
        <v>6</v>
      </c>
      <c r="I305">
        <v>0</v>
      </c>
    </row>
    <row r="306" spans="1:9" x14ac:dyDescent="0.25">
      <c r="A306" t="s">
        <v>500</v>
      </c>
      <c r="B306" t="s">
        <v>200</v>
      </c>
      <c r="C306" t="s">
        <v>160</v>
      </c>
      <c r="D306" t="s">
        <v>11</v>
      </c>
      <c r="E306">
        <v>26</v>
      </c>
      <c r="F306">
        <v>3</v>
      </c>
      <c r="G306">
        <v>3</v>
      </c>
      <c r="H306">
        <v>3</v>
      </c>
      <c r="I306">
        <v>0</v>
      </c>
    </row>
    <row r="307" spans="1:9" x14ac:dyDescent="0.25">
      <c r="A307" t="s">
        <v>501</v>
      </c>
      <c r="B307" t="s">
        <v>165</v>
      </c>
      <c r="C307" t="s">
        <v>144</v>
      </c>
      <c r="D307" t="s">
        <v>22</v>
      </c>
      <c r="E307">
        <v>23</v>
      </c>
      <c r="F307">
        <v>0</v>
      </c>
      <c r="G307">
        <v>0</v>
      </c>
      <c r="H307">
        <v>1</v>
      </c>
      <c r="I307">
        <v>0</v>
      </c>
    </row>
    <row r="308" spans="1:9" x14ac:dyDescent="0.25">
      <c r="A308" t="s">
        <v>502</v>
      </c>
      <c r="B308" t="s">
        <v>165</v>
      </c>
      <c r="C308" t="s">
        <v>169</v>
      </c>
      <c r="D308" t="s">
        <v>5</v>
      </c>
      <c r="E308">
        <v>26</v>
      </c>
      <c r="F308">
        <v>0</v>
      </c>
      <c r="G308">
        <v>1</v>
      </c>
      <c r="H308">
        <v>1</v>
      </c>
      <c r="I308">
        <v>0</v>
      </c>
    </row>
    <row r="309" spans="1:9" x14ac:dyDescent="0.25">
      <c r="A309" t="s">
        <v>502</v>
      </c>
      <c r="B309" t="s">
        <v>165</v>
      </c>
      <c r="C309" t="s">
        <v>169</v>
      </c>
      <c r="D309" t="s">
        <v>8</v>
      </c>
      <c r="E309">
        <v>26</v>
      </c>
      <c r="F309">
        <v>1</v>
      </c>
      <c r="G309">
        <v>0</v>
      </c>
      <c r="H309">
        <v>0</v>
      </c>
      <c r="I309">
        <v>0</v>
      </c>
    </row>
    <row r="310" spans="1:9" x14ac:dyDescent="0.25">
      <c r="A310" t="s">
        <v>503</v>
      </c>
      <c r="B310" t="s">
        <v>361</v>
      </c>
      <c r="C310" t="s">
        <v>147</v>
      </c>
      <c r="D310" t="s">
        <v>8</v>
      </c>
      <c r="E310">
        <v>28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t="s">
        <v>504</v>
      </c>
      <c r="B311" t="s">
        <v>226</v>
      </c>
      <c r="C311" t="s">
        <v>147</v>
      </c>
      <c r="D311" t="s">
        <v>19</v>
      </c>
      <c r="E311">
        <v>19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t="s">
        <v>505</v>
      </c>
      <c r="B312" t="s">
        <v>146</v>
      </c>
      <c r="C312" t="s">
        <v>144</v>
      </c>
      <c r="D312" t="s">
        <v>10</v>
      </c>
      <c r="E312">
        <v>22</v>
      </c>
      <c r="F312">
        <v>1</v>
      </c>
      <c r="G312">
        <v>0</v>
      </c>
      <c r="H312">
        <v>5</v>
      </c>
      <c r="I312">
        <v>0</v>
      </c>
    </row>
    <row r="313" spans="1:9" x14ac:dyDescent="0.25">
      <c r="A313" t="s">
        <v>506</v>
      </c>
      <c r="B313" t="s">
        <v>159</v>
      </c>
      <c r="C313" t="s">
        <v>150</v>
      </c>
      <c r="D313" t="s">
        <v>14</v>
      </c>
      <c r="E313">
        <v>24</v>
      </c>
      <c r="F313">
        <v>11</v>
      </c>
      <c r="G313">
        <v>5</v>
      </c>
      <c r="H313">
        <v>6</v>
      </c>
      <c r="I313">
        <v>0</v>
      </c>
    </row>
    <row r="314" spans="1:9" x14ac:dyDescent="0.25">
      <c r="A314" t="s">
        <v>507</v>
      </c>
      <c r="B314" t="s">
        <v>428</v>
      </c>
      <c r="C314" t="s">
        <v>169</v>
      </c>
      <c r="D314" t="s">
        <v>13</v>
      </c>
      <c r="E314">
        <v>23</v>
      </c>
      <c r="F314">
        <v>5</v>
      </c>
      <c r="G314">
        <v>3</v>
      </c>
      <c r="H314">
        <v>1</v>
      </c>
      <c r="I314">
        <v>0</v>
      </c>
    </row>
    <row r="315" spans="1:9" x14ac:dyDescent="0.25">
      <c r="A315" t="s">
        <v>508</v>
      </c>
      <c r="B315" t="s">
        <v>359</v>
      </c>
      <c r="C315" t="s">
        <v>144</v>
      </c>
      <c r="D315" t="s">
        <v>12</v>
      </c>
      <c r="E315">
        <v>28</v>
      </c>
      <c r="F315">
        <v>2</v>
      </c>
      <c r="G315">
        <v>4</v>
      </c>
      <c r="H315">
        <v>5</v>
      </c>
      <c r="I315">
        <v>0</v>
      </c>
    </row>
    <row r="316" spans="1:9" x14ac:dyDescent="0.25">
      <c r="A316" t="s">
        <v>509</v>
      </c>
      <c r="B316" t="s">
        <v>157</v>
      </c>
      <c r="C316" t="s">
        <v>169</v>
      </c>
      <c r="D316" t="s">
        <v>23</v>
      </c>
      <c r="E316">
        <v>18</v>
      </c>
      <c r="F316">
        <v>1</v>
      </c>
      <c r="G316">
        <v>0</v>
      </c>
      <c r="H316">
        <v>1</v>
      </c>
      <c r="I316">
        <v>0</v>
      </c>
    </row>
    <row r="317" spans="1:9" x14ac:dyDescent="0.25">
      <c r="A317" t="s">
        <v>510</v>
      </c>
      <c r="B317" t="s">
        <v>511</v>
      </c>
      <c r="C317" t="s">
        <v>169</v>
      </c>
      <c r="D317" t="s">
        <v>15</v>
      </c>
      <c r="E317">
        <v>34</v>
      </c>
      <c r="F317">
        <v>0</v>
      </c>
      <c r="G317">
        <v>0</v>
      </c>
      <c r="H317">
        <v>1</v>
      </c>
      <c r="I317">
        <v>0</v>
      </c>
    </row>
    <row r="318" spans="1:9" x14ac:dyDescent="0.25">
      <c r="A318" t="s">
        <v>512</v>
      </c>
      <c r="B318" t="s">
        <v>183</v>
      </c>
      <c r="C318" t="s">
        <v>256</v>
      </c>
      <c r="D318" t="s">
        <v>4</v>
      </c>
      <c r="E318">
        <v>28</v>
      </c>
      <c r="F318">
        <v>0</v>
      </c>
      <c r="G318">
        <v>6</v>
      </c>
      <c r="H318">
        <v>6</v>
      </c>
      <c r="I318">
        <v>0</v>
      </c>
    </row>
    <row r="319" spans="1:9" x14ac:dyDescent="0.25">
      <c r="A319" t="s">
        <v>513</v>
      </c>
      <c r="B319" t="s">
        <v>460</v>
      </c>
      <c r="C319" t="s">
        <v>141</v>
      </c>
      <c r="D319" t="s">
        <v>23</v>
      </c>
      <c r="E319">
        <v>33</v>
      </c>
      <c r="F319">
        <v>2</v>
      </c>
      <c r="G319">
        <v>3</v>
      </c>
      <c r="H319">
        <v>0</v>
      </c>
      <c r="I319">
        <v>0</v>
      </c>
    </row>
    <row r="320" spans="1:9" x14ac:dyDescent="0.25">
      <c r="A320" t="s">
        <v>514</v>
      </c>
      <c r="B320" t="s">
        <v>152</v>
      </c>
      <c r="C320" t="s">
        <v>144</v>
      </c>
      <c r="D320" t="s">
        <v>18</v>
      </c>
      <c r="E320">
        <v>30</v>
      </c>
      <c r="F320">
        <v>0</v>
      </c>
      <c r="G320">
        <v>1</v>
      </c>
      <c r="H320">
        <v>3</v>
      </c>
      <c r="I320">
        <v>0</v>
      </c>
    </row>
    <row r="321" spans="1:9" x14ac:dyDescent="0.25">
      <c r="A321" t="s">
        <v>515</v>
      </c>
      <c r="B321" t="s">
        <v>157</v>
      </c>
      <c r="C321" t="s">
        <v>147</v>
      </c>
      <c r="D321" t="s">
        <v>20</v>
      </c>
      <c r="E321">
        <v>24</v>
      </c>
      <c r="F321">
        <v>0</v>
      </c>
      <c r="G321">
        <v>0</v>
      </c>
      <c r="H321">
        <v>1</v>
      </c>
      <c r="I321">
        <v>0</v>
      </c>
    </row>
    <row r="322" spans="1:9" x14ac:dyDescent="0.25">
      <c r="A322" t="s">
        <v>516</v>
      </c>
      <c r="B322" t="s">
        <v>152</v>
      </c>
      <c r="C322" t="s">
        <v>189</v>
      </c>
      <c r="D322" t="s">
        <v>9</v>
      </c>
      <c r="E322">
        <v>31</v>
      </c>
      <c r="F322">
        <v>0</v>
      </c>
      <c r="G322">
        <v>0</v>
      </c>
      <c r="H322">
        <v>1</v>
      </c>
      <c r="I322">
        <v>0</v>
      </c>
    </row>
    <row r="323" spans="1:9" x14ac:dyDescent="0.25">
      <c r="A323" t="s">
        <v>517</v>
      </c>
      <c r="B323" t="s">
        <v>210</v>
      </c>
      <c r="C323" t="s">
        <v>150</v>
      </c>
      <c r="D323" t="s">
        <v>21</v>
      </c>
      <c r="E323">
        <v>25</v>
      </c>
      <c r="F323">
        <v>8</v>
      </c>
      <c r="G323">
        <v>8</v>
      </c>
      <c r="H323">
        <v>5</v>
      </c>
      <c r="I323">
        <v>0</v>
      </c>
    </row>
    <row r="324" spans="1:9" x14ac:dyDescent="0.25">
      <c r="A324" t="s">
        <v>518</v>
      </c>
      <c r="B324" t="s">
        <v>460</v>
      </c>
      <c r="C324" t="s">
        <v>144</v>
      </c>
      <c r="D324" t="s">
        <v>12</v>
      </c>
      <c r="E324">
        <v>20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t="s">
        <v>519</v>
      </c>
      <c r="B325" t="s">
        <v>152</v>
      </c>
      <c r="C325" t="s">
        <v>147</v>
      </c>
      <c r="D325" t="s">
        <v>16</v>
      </c>
      <c r="E325">
        <v>24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t="s">
        <v>520</v>
      </c>
      <c r="B326" t="s">
        <v>152</v>
      </c>
      <c r="C326" t="s">
        <v>144</v>
      </c>
      <c r="D326" t="s">
        <v>19</v>
      </c>
      <c r="E326">
        <v>17</v>
      </c>
      <c r="F326">
        <v>1</v>
      </c>
      <c r="G326">
        <v>0</v>
      </c>
      <c r="H326">
        <v>3</v>
      </c>
      <c r="I326">
        <v>1</v>
      </c>
    </row>
    <row r="327" spans="1:9" x14ac:dyDescent="0.25">
      <c r="A327" t="s">
        <v>521</v>
      </c>
      <c r="B327" t="s">
        <v>165</v>
      </c>
      <c r="C327" t="s">
        <v>147</v>
      </c>
      <c r="D327" t="s">
        <v>7</v>
      </c>
      <c r="E327">
        <v>24</v>
      </c>
      <c r="F327">
        <v>0</v>
      </c>
      <c r="G327">
        <v>0</v>
      </c>
      <c r="H327">
        <v>1</v>
      </c>
      <c r="I327">
        <v>0</v>
      </c>
    </row>
    <row r="328" spans="1:9" x14ac:dyDescent="0.25">
      <c r="A328" t="s">
        <v>522</v>
      </c>
      <c r="B328" t="s">
        <v>152</v>
      </c>
      <c r="C328" t="s">
        <v>147</v>
      </c>
      <c r="D328" t="s">
        <v>21</v>
      </c>
      <c r="E328">
        <v>17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t="s">
        <v>523</v>
      </c>
      <c r="B329" t="s">
        <v>226</v>
      </c>
      <c r="C329" t="s">
        <v>147</v>
      </c>
      <c r="D329" t="s">
        <v>4</v>
      </c>
      <c r="E329">
        <v>29</v>
      </c>
      <c r="F329">
        <v>1</v>
      </c>
      <c r="G329">
        <v>0</v>
      </c>
      <c r="H329">
        <v>6</v>
      </c>
      <c r="I329">
        <v>0</v>
      </c>
    </row>
    <row r="330" spans="1:9" x14ac:dyDescent="0.25">
      <c r="A330" t="s">
        <v>524</v>
      </c>
      <c r="B330" t="s">
        <v>525</v>
      </c>
      <c r="C330" t="s">
        <v>169</v>
      </c>
      <c r="D330" t="s">
        <v>23</v>
      </c>
      <c r="E330">
        <v>23</v>
      </c>
      <c r="F330">
        <v>1</v>
      </c>
      <c r="G330">
        <v>1</v>
      </c>
      <c r="H330">
        <v>2</v>
      </c>
      <c r="I330">
        <v>1</v>
      </c>
    </row>
    <row r="331" spans="1:9" x14ac:dyDescent="0.25">
      <c r="A331" t="s">
        <v>526</v>
      </c>
      <c r="B331" t="s">
        <v>363</v>
      </c>
      <c r="C331" t="s">
        <v>147</v>
      </c>
      <c r="D331" t="s">
        <v>13</v>
      </c>
      <c r="E331">
        <v>29</v>
      </c>
      <c r="F331">
        <v>0</v>
      </c>
      <c r="G331">
        <v>1</v>
      </c>
      <c r="H331">
        <v>3</v>
      </c>
      <c r="I331">
        <v>0</v>
      </c>
    </row>
    <row r="332" spans="1:9" x14ac:dyDescent="0.25">
      <c r="A332" t="s">
        <v>527</v>
      </c>
      <c r="B332" t="s">
        <v>152</v>
      </c>
      <c r="C332" t="s">
        <v>147</v>
      </c>
      <c r="D332" t="s">
        <v>11</v>
      </c>
      <c r="E332">
        <v>26</v>
      </c>
      <c r="F332">
        <v>2</v>
      </c>
      <c r="G332">
        <v>2</v>
      </c>
      <c r="H332">
        <v>9</v>
      </c>
      <c r="I332">
        <v>0</v>
      </c>
    </row>
    <row r="333" spans="1:9" x14ac:dyDescent="0.25">
      <c r="A333" t="s">
        <v>528</v>
      </c>
      <c r="B333" t="s">
        <v>149</v>
      </c>
      <c r="C333" t="s">
        <v>147</v>
      </c>
      <c r="D333" t="s">
        <v>21</v>
      </c>
      <c r="E333">
        <v>28</v>
      </c>
      <c r="F333">
        <v>0</v>
      </c>
      <c r="G333">
        <v>0</v>
      </c>
      <c r="H333">
        <v>3</v>
      </c>
      <c r="I333">
        <v>0</v>
      </c>
    </row>
    <row r="334" spans="1:9" x14ac:dyDescent="0.25">
      <c r="A334" t="s">
        <v>529</v>
      </c>
      <c r="B334" t="s">
        <v>168</v>
      </c>
      <c r="C334" t="s">
        <v>160</v>
      </c>
      <c r="D334" t="s">
        <v>22</v>
      </c>
      <c r="E334">
        <v>26</v>
      </c>
      <c r="F334">
        <v>15</v>
      </c>
      <c r="G334">
        <v>5</v>
      </c>
      <c r="H334">
        <v>4</v>
      </c>
      <c r="I334">
        <v>0</v>
      </c>
    </row>
    <row r="335" spans="1:9" x14ac:dyDescent="0.25">
      <c r="A335" t="s">
        <v>530</v>
      </c>
      <c r="B335" t="s">
        <v>235</v>
      </c>
      <c r="C335" t="s">
        <v>147</v>
      </c>
      <c r="D335" t="s">
        <v>10</v>
      </c>
      <c r="E335">
        <v>26</v>
      </c>
      <c r="F335">
        <v>2</v>
      </c>
      <c r="G335">
        <v>3</v>
      </c>
      <c r="H335">
        <v>5</v>
      </c>
      <c r="I335">
        <v>0</v>
      </c>
    </row>
    <row r="336" spans="1:9" x14ac:dyDescent="0.25">
      <c r="A336" t="s">
        <v>531</v>
      </c>
      <c r="B336" t="s">
        <v>152</v>
      </c>
      <c r="C336" t="s">
        <v>150</v>
      </c>
      <c r="D336" t="s">
        <v>10</v>
      </c>
      <c r="E336">
        <v>23</v>
      </c>
      <c r="F336">
        <v>12</v>
      </c>
      <c r="G336">
        <v>1</v>
      </c>
      <c r="H336">
        <v>10</v>
      </c>
      <c r="I336">
        <v>0</v>
      </c>
    </row>
    <row r="337" spans="1:9" x14ac:dyDescent="0.25">
      <c r="A337" t="s">
        <v>532</v>
      </c>
      <c r="B337" t="s">
        <v>324</v>
      </c>
      <c r="C337" t="s">
        <v>144</v>
      </c>
      <c r="D337" t="s">
        <v>6</v>
      </c>
      <c r="E337">
        <v>26</v>
      </c>
      <c r="F337">
        <v>0</v>
      </c>
      <c r="G337">
        <v>1</v>
      </c>
      <c r="H337">
        <v>8</v>
      </c>
      <c r="I337">
        <v>1</v>
      </c>
    </row>
    <row r="338" spans="1:9" x14ac:dyDescent="0.25">
      <c r="A338" t="s">
        <v>533</v>
      </c>
      <c r="B338" t="s">
        <v>224</v>
      </c>
      <c r="C338" t="s">
        <v>144</v>
      </c>
      <c r="D338" t="s">
        <v>15</v>
      </c>
      <c r="E338">
        <v>34</v>
      </c>
      <c r="F338">
        <v>1</v>
      </c>
      <c r="G338">
        <v>0</v>
      </c>
      <c r="H338">
        <v>3</v>
      </c>
      <c r="I338">
        <v>0</v>
      </c>
    </row>
    <row r="339" spans="1:9" x14ac:dyDescent="0.25">
      <c r="A339" t="s">
        <v>534</v>
      </c>
      <c r="B339" t="s">
        <v>192</v>
      </c>
      <c r="C339" t="s">
        <v>147</v>
      </c>
      <c r="D339" t="s">
        <v>11</v>
      </c>
      <c r="E339">
        <v>26</v>
      </c>
      <c r="F339">
        <v>0</v>
      </c>
      <c r="G339">
        <v>0</v>
      </c>
      <c r="H339">
        <v>2</v>
      </c>
      <c r="I339">
        <v>0</v>
      </c>
    </row>
    <row r="340" spans="1:9" x14ac:dyDescent="0.25">
      <c r="A340" t="s">
        <v>535</v>
      </c>
      <c r="B340" t="s">
        <v>339</v>
      </c>
      <c r="C340" t="s">
        <v>150</v>
      </c>
      <c r="D340" t="s">
        <v>13</v>
      </c>
      <c r="E340">
        <v>31</v>
      </c>
      <c r="F340">
        <v>14</v>
      </c>
      <c r="G340">
        <v>10</v>
      </c>
      <c r="H340">
        <v>4</v>
      </c>
      <c r="I340">
        <v>0</v>
      </c>
    </row>
    <row r="341" spans="1:9" x14ac:dyDescent="0.25">
      <c r="A341" t="s">
        <v>536</v>
      </c>
      <c r="B341" t="s">
        <v>152</v>
      </c>
      <c r="C341" t="s">
        <v>144</v>
      </c>
      <c r="D341" t="s">
        <v>15</v>
      </c>
      <c r="E341">
        <v>27</v>
      </c>
      <c r="F341">
        <v>1</v>
      </c>
      <c r="G341">
        <v>3</v>
      </c>
      <c r="H341">
        <v>4</v>
      </c>
      <c r="I341">
        <v>0</v>
      </c>
    </row>
    <row r="342" spans="1:9" x14ac:dyDescent="0.25">
      <c r="A342" t="s">
        <v>537</v>
      </c>
      <c r="B342" t="s">
        <v>493</v>
      </c>
      <c r="C342" t="s">
        <v>169</v>
      </c>
      <c r="D342" t="s">
        <v>15</v>
      </c>
      <c r="E342">
        <v>22</v>
      </c>
      <c r="F342">
        <v>2</v>
      </c>
      <c r="G342">
        <v>2</v>
      </c>
      <c r="H342">
        <v>2</v>
      </c>
      <c r="I342">
        <v>0</v>
      </c>
    </row>
    <row r="343" spans="1:9" x14ac:dyDescent="0.25">
      <c r="A343" t="s">
        <v>538</v>
      </c>
      <c r="B343" t="s">
        <v>359</v>
      </c>
      <c r="C343" t="s">
        <v>144</v>
      </c>
      <c r="D343" t="s">
        <v>6</v>
      </c>
      <c r="E343">
        <v>30</v>
      </c>
      <c r="F343">
        <v>0</v>
      </c>
      <c r="G343">
        <v>4</v>
      </c>
      <c r="H343">
        <v>3</v>
      </c>
      <c r="I343">
        <v>0</v>
      </c>
    </row>
    <row r="344" spans="1:9" x14ac:dyDescent="0.25">
      <c r="A344" t="s">
        <v>539</v>
      </c>
      <c r="B344" t="s">
        <v>242</v>
      </c>
      <c r="C344" t="s">
        <v>256</v>
      </c>
      <c r="D344" t="s">
        <v>19</v>
      </c>
      <c r="E344">
        <v>20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 t="s">
        <v>540</v>
      </c>
      <c r="B345" t="s">
        <v>152</v>
      </c>
      <c r="C345" t="s">
        <v>144</v>
      </c>
      <c r="D345" t="s">
        <v>23</v>
      </c>
      <c r="E345">
        <v>28</v>
      </c>
      <c r="F345">
        <v>1</v>
      </c>
      <c r="G345">
        <v>0</v>
      </c>
      <c r="H345">
        <v>2</v>
      </c>
      <c r="I345">
        <v>0</v>
      </c>
    </row>
    <row r="346" spans="1:9" x14ac:dyDescent="0.25">
      <c r="A346" t="s">
        <v>541</v>
      </c>
      <c r="B346" t="s">
        <v>157</v>
      </c>
      <c r="C346" t="s">
        <v>189</v>
      </c>
      <c r="D346" t="s">
        <v>21</v>
      </c>
      <c r="E346">
        <v>29</v>
      </c>
      <c r="F346">
        <v>0</v>
      </c>
      <c r="G346">
        <v>0</v>
      </c>
      <c r="H346">
        <v>1</v>
      </c>
      <c r="I346">
        <v>0</v>
      </c>
    </row>
    <row r="347" spans="1:9" x14ac:dyDescent="0.25">
      <c r="A347" t="s">
        <v>542</v>
      </c>
      <c r="B347" t="s">
        <v>297</v>
      </c>
      <c r="C347" t="s">
        <v>147</v>
      </c>
      <c r="D347" t="s">
        <v>15</v>
      </c>
      <c r="E347">
        <v>26</v>
      </c>
      <c r="F347">
        <v>0</v>
      </c>
      <c r="G347">
        <v>3</v>
      </c>
      <c r="H347">
        <v>4</v>
      </c>
      <c r="I347">
        <v>1</v>
      </c>
    </row>
    <row r="348" spans="1:9" x14ac:dyDescent="0.25">
      <c r="A348" t="s">
        <v>543</v>
      </c>
      <c r="B348" t="s">
        <v>152</v>
      </c>
      <c r="C348" t="s">
        <v>160</v>
      </c>
      <c r="D348" t="s">
        <v>12</v>
      </c>
      <c r="E348">
        <v>22</v>
      </c>
      <c r="F348">
        <v>3</v>
      </c>
      <c r="G348">
        <v>0</v>
      </c>
      <c r="H348">
        <v>5</v>
      </c>
      <c r="I348">
        <v>0</v>
      </c>
    </row>
    <row r="349" spans="1:9" x14ac:dyDescent="0.25">
      <c r="A349" t="s">
        <v>543</v>
      </c>
      <c r="B349" t="s">
        <v>152</v>
      </c>
      <c r="C349" t="s">
        <v>169</v>
      </c>
      <c r="D349" t="s">
        <v>22</v>
      </c>
      <c r="E349">
        <v>22</v>
      </c>
      <c r="F349">
        <v>3</v>
      </c>
      <c r="G349">
        <v>0</v>
      </c>
      <c r="H349">
        <v>0</v>
      </c>
      <c r="I349">
        <v>0</v>
      </c>
    </row>
    <row r="350" spans="1:9" x14ac:dyDescent="0.25">
      <c r="A350" t="s">
        <v>544</v>
      </c>
      <c r="B350" t="s">
        <v>177</v>
      </c>
      <c r="C350" t="s">
        <v>147</v>
      </c>
      <c r="D350" t="s">
        <v>8</v>
      </c>
      <c r="E350">
        <v>25</v>
      </c>
      <c r="F350">
        <v>0</v>
      </c>
      <c r="G350">
        <v>1</v>
      </c>
      <c r="H350">
        <v>5</v>
      </c>
      <c r="I350">
        <v>1</v>
      </c>
    </row>
    <row r="351" spans="1:9" x14ac:dyDescent="0.25">
      <c r="A351" t="s">
        <v>545</v>
      </c>
      <c r="B351" t="s">
        <v>361</v>
      </c>
      <c r="C351" t="s">
        <v>160</v>
      </c>
      <c r="D351" t="s">
        <v>9</v>
      </c>
      <c r="E351">
        <v>31</v>
      </c>
      <c r="F351">
        <v>0</v>
      </c>
      <c r="G351">
        <v>2</v>
      </c>
      <c r="H351">
        <v>2</v>
      </c>
      <c r="I351">
        <v>0</v>
      </c>
    </row>
    <row r="352" spans="1:9" x14ac:dyDescent="0.25">
      <c r="A352" t="s">
        <v>546</v>
      </c>
      <c r="B352" t="s">
        <v>259</v>
      </c>
      <c r="C352" t="s">
        <v>169</v>
      </c>
      <c r="D352" t="s">
        <v>19</v>
      </c>
      <c r="E352">
        <v>25</v>
      </c>
      <c r="F352">
        <v>4</v>
      </c>
      <c r="G352">
        <v>4</v>
      </c>
      <c r="H352">
        <v>0</v>
      </c>
      <c r="I352">
        <v>0</v>
      </c>
    </row>
    <row r="353" spans="1:9" x14ac:dyDescent="0.25">
      <c r="A353" t="s">
        <v>547</v>
      </c>
      <c r="B353" t="s">
        <v>152</v>
      </c>
      <c r="C353" t="s">
        <v>144</v>
      </c>
      <c r="D353" t="s">
        <v>20</v>
      </c>
      <c r="E353">
        <v>28</v>
      </c>
      <c r="F353">
        <v>2</v>
      </c>
      <c r="G353">
        <v>0</v>
      </c>
      <c r="H353">
        <v>8</v>
      </c>
      <c r="I353">
        <v>0</v>
      </c>
    </row>
    <row r="354" spans="1:9" x14ac:dyDescent="0.25">
      <c r="A354" t="s">
        <v>548</v>
      </c>
      <c r="B354" t="s">
        <v>359</v>
      </c>
      <c r="C354" t="s">
        <v>189</v>
      </c>
      <c r="D354" t="s">
        <v>18</v>
      </c>
      <c r="E354">
        <v>22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 t="s">
        <v>549</v>
      </c>
      <c r="B355" t="s">
        <v>152</v>
      </c>
      <c r="C355" t="s">
        <v>147</v>
      </c>
      <c r="D355" t="s">
        <v>5</v>
      </c>
      <c r="E355">
        <v>27</v>
      </c>
      <c r="F355">
        <v>4</v>
      </c>
      <c r="G355">
        <v>3</v>
      </c>
      <c r="H355">
        <v>7</v>
      </c>
      <c r="I355">
        <v>0</v>
      </c>
    </row>
    <row r="356" spans="1:9" x14ac:dyDescent="0.25">
      <c r="A356" t="s">
        <v>550</v>
      </c>
      <c r="B356" t="s">
        <v>152</v>
      </c>
      <c r="C356" t="s">
        <v>147</v>
      </c>
      <c r="D356" t="s">
        <v>22</v>
      </c>
      <c r="E356">
        <v>19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 t="s">
        <v>551</v>
      </c>
      <c r="B357" t="s">
        <v>152</v>
      </c>
      <c r="C357" t="s">
        <v>144</v>
      </c>
      <c r="D357" t="s">
        <v>9</v>
      </c>
      <c r="E357">
        <v>21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t="s">
        <v>551</v>
      </c>
      <c r="B358" t="s">
        <v>152</v>
      </c>
      <c r="C358" t="s">
        <v>144</v>
      </c>
      <c r="D358" t="s">
        <v>16</v>
      </c>
      <c r="E358">
        <v>21</v>
      </c>
      <c r="F358">
        <v>0</v>
      </c>
      <c r="G358">
        <v>0</v>
      </c>
      <c r="H358">
        <v>2</v>
      </c>
      <c r="I358">
        <v>0</v>
      </c>
    </row>
    <row r="359" spans="1:9" x14ac:dyDescent="0.25">
      <c r="A359" t="s">
        <v>552</v>
      </c>
      <c r="B359" t="s">
        <v>226</v>
      </c>
      <c r="C359" t="s">
        <v>147</v>
      </c>
      <c r="D359" t="s">
        <v>14</v>
      </c>
      <c r="E359">
        <v>22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t="s">
        <v>553</v>
      </c>
      <c r="B360" t="s">
        <v>179</v>
      </c>
      <c r="C360" t="s">
        <v>144</v>
      </c>
      <c r="D360" t="s">
        <v>12</v>
      </c>
      <c r="E360">
        <v>30</v>
      </c>
      <c r="F360">
        <v>0</v>
      </c>
      <c r="G360">
        <v>0</v>
      </c>
      <c r="H360">
        <v>4</v>
      </c>
      <c r="I360">
        <v>1</v>
      </c>
    </row>
    <row r="361" spans="1:9" x14ac:dyDescent="0.25">
      <c r="A361" t="s">
        <v>553</v>
      </c>
      <c r="B361" t="s">
        <v>179</v>
      </c>
      <c r="C361" t="s">
        <v>144</v>
      </c>
      <c r="D361" t="s">
        <v>5</v>
      </c>
      <c r="E361">
        <v>30</v>
      </c>
      <c r="F361">
        <v>0</v>
      </c>
      <c r="G361">
        <v>0</v>
      </c>
      <c r="H361">
        <v>2</v>
      </c>
      <c r="I361">
        <v>0</v>
      </c>
    </row>
    <row r="362" spans="1:9" x14ac:dyDescent="0.25">
      <c r="A362" t="s">
        <v>554</v>
      </c>
      <c r="B362" t="s">
        <v>152</v>
      </c>
      <c r="C362" t="s">
        <v>144</v>
      </c>
      <c r="D362" t="s">
        <v>8</v>
      </c>
      <c r="E362">
        <v>20</v>
      </c>
      <c r="F362">
        <v>0</v>
      </c>
      <c r="G362">
        <v>0</v>
      </c>
      <c r="H362">
        <v>0</v>
      </c>
      <c r="I362">
        <v>1</v>
      </c>
    </row>
    <row r="363" spans="1:9" x14ac:dyDescent="0.25">
      <c r="A363" t="s">
        <v>555</v>
      </c>
      <c r="B363" t="s">
        <v>198</v>
      </c>
      <c r="C363" t="s">
        <v>169</v>
      </c>
      <c r="D363" t="s">
        <v>12</v>
      </c>
      <c r="E363">
        <v>29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 t="s">
        <v>555</v>
      </c>
      <c r="B364" t="s">
        <v>198</v>
      </c>
      <c r="C364" t="s">
        <v>150</v>
      </c>
      <c r="D364" t="s">
        <v>16</v>
      </c>
      <c r="E364">
        <v>29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 t="s">
        <v>556</v>
      </c>
      <c r="B365" t="s">
        <v>179</v>
      </c>
      <c r="C365" t="s">
        <v>144</v>
      </c>
      <c r="D365" t="s">
        <v>13</v>
      </c>
      <c r="E365">
        <v>22</v>
      </c>
      <c r="F365">
        <v>0</v>
      </c>
      <c r="G365">
        <v>0</v>
      </c>
      <c r="H365">
        <v>1</v>
      </c>
      <c r="I365">
        <v>0</v>
      </c>
    </row>
    <row r="366" spans="1:9" x14ac:dyDescent="0.25">
      <c r="A366" t="s">
        <v>557</v>
      </c>
      <c r="B366" t="s">
        <v>259</v>
      </c>
      <c r="C366" t="s">
        <v>147</v>
      </c>
      <c r="D366" t="s">
        <v>15</v>
      </c>
      <c r="E366">
        <v>28</v>
      </c>
      <c r="F366">
        <v>3</v>
      </c>
      <c r="G366">
        <v>2</v>
      </c>
      <c r="H366">
        <v>4</v>
      </c>
      <c r="I366">
        <v>0</v>
      </c>
    </row>
    <row r="367" spans="1:9" x14ac:dyDescent="0.25">
      <c r="A367" t="s">
        <v>558</v>
      </c>
      <c r="B367" t="s">
        <v>559</v>
      </c>
      <c r="C367" t="s">
        <v>144</v>
      </c>
      <c r="D367" t="s">
        <v>4</v>
      </c>
      <c r="E367">
        <v>30</v>
      </c>
      <c r="F367">
        <v>1</v>
      </c>
      <c r="G367">
        <v>1</v>
      </c>
      <c r="H367">
        <v>4</v>
      </c>
      <c r="I367">
        <v>1</v>
      </c>
    </row>
    <row r="368" spans="1:9" x14ac:dyDescent="0.25">
      <c r="A368" t="s">
        <v>560</v>
      </c>
      <c r="B368" t="s">
        <v>179</v>
      </c>
      <c r="C368" t="s">
        <v>144</v>
      </c>
      <c r="D368" t="s">
        <v>9</v>
      </c>
      <c r="E368">
        <v>27</v>
      </c>
      <c r="F368">
        <v>0</v>
      </c>
      <c r="G368">
        <v>8</v>
      </c>
      <c r="H368">
        <v>5</v>
      </c>
      <c r="I368">
        <v>0</v>
      </c>
    </row>
    <row r="369" spans="1:9" x14ac:dyDescent="0.25">
      <c r="A369" t="s">
        <v>561</v>
      </c>
      <c r="B369" t="s">
        <v>179</v>
      </c>
      <c r="C369" t="s">
        <v>189</v>
      </c>
      <c r="D369" t="s">
        <v>17</v>
      </c>
      <c r="E369">
        <v>26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 t="s">
        <v>562</v>
      </c>
      <c r="B370" t="s">
        <v>224</v>
      </c>
      <c r="C370" t="s">
        <v>150</v>
      </c>
      <c r="D370" t="s">
        <v>17</v>
      </c>
      <c r="E370">
        <v>26</v>
      </c>
      <c r="F370">
        <v>12</v>
      </c>
      <c r="G370">
        <v>3</v>
      </c>
      <c r="H370">
        <v>1</v>
      </c>
      <c r="I370">
        <v>0</v>
      </c>
    </row>
    <row r="371" spans="1:9" x14ac:dyDescent="0.25">
      <c r="A371" t="s">
        <v>563</v>
      </c>
      <c r="B371" t="s">
        <v>224</v>
      </c>
      <c r="C371" t="s">
        <v>144</v>
      </c>
      <c r="D371" t="s">
        <v>5</v>
      </c>
      <c r="E371">
        <v>28</v>
      </c>
      <c r="F371">
        <v>1</v>
      </c>
      <c r="G371">
        <v>0</v>
      </c>
      <c r="H371">
        <v>1</v>
      </c>
      <c r="I371">
        <v>0</v>
      </c>
    </row>
    <row r="372" spans="1:9" x14ac:dyDescent="0.25">
      <c r="A372" t="s">
        <v>564</v>
      </c>
      <c r="B372" t="s">
        <v>152</v>
      </c>
      <c r="C372" t="s">
        <v>265</v>
      </c>
      <c r="D372" t="s">
        <v>12</v>
      </c>
      <c r="E372">
        <v>19</v>
      </c>
      <c r="F372">
        <v>0</v>
      </c>
      <c r="G372">
        <v>1</v>
      </c>
      <c r="H372">
        <v>1</v>
      </c>
      <c r="I372">
        <v>0</v>
      </c>
    </row>
    <row r="373" spans="1:9" x14ac:dyDescent="0.25">
      <c r="A373" t="s">
        <v>565</v>
      </c>
      <c r="B373" t="s">
        <v>159</v>
      </c>
      <c r="C373" t="s">
        <v>144</v>
      </c>
      <c r="D373" t="s">
        <v>18</v>
      </c>
      <c r="E373">
        <v>31</v>
      </c>
      <c r="F373">
        <v>4</v>
      </c>
      <c r="G373">
        <v>0</v>
      </c>
      <c r="H373">
        <v>1</v>
      </c>
      <c r="I373">
        <v>0</v>
      </c>
    </row>
    <row r="374" spans="1:9" x14ac:dyDescent="0.25">
      <c r="A374" t="s">
        <v>566</v>
      </c>
      <c r="B374" t="s">
        <v>177</v>
      </c>
      <c r="C374" t="s">
        <v>144</v>
      </c>
      <c r="D374" t="s">
        <v>4</v>
      </c>
      <c r="E374">
        <v>30</v>
      </c>
      <c r="F374">
        <v>1</v>
      </c>
      <c r="G374">
        <v>2</v>
      </c>
      <c r="H374">
        <v>5</v>
      </c>
      <c r="I374">
        <v>0</v>
      </c>
    </row>
    <row r="375" spans="1:9" x14ac:dyDescent="0.25">
      <c r="A375" t="s">
        <v>567</v>
      </c>
      <c r="B375" t="s">
        <v>152</v>
      </c>
      <c r="C375" t="s">
        <v>147</v>
      </c>
      <c r="D375" t="s">
        <v>9</v>
      </c>
      <c r="E375">
        <v>23</v>
      </c>
      <c r="F375">
        <v>1</v>
      </c>
      <c r="G375">
        <v>0</v>
      </c>
      <c r="H375">
        <v>3</v>
      </c>
      <c r="I375">
        <v>0</v>
      </c>
    </row>
    <row r="376" spans="1:9" x14ac:dyDescent="0.25">
      <c r="A376" t="s">
        <v>568</v>
      </c>
      <c r="B376" t="s">
        <v>569</v>
      </c>
      <c r="C376" t="s">
        <v>144</v>
      </c>
      <c r="D376" t="s">
        <v>9</v>
      </c>
      <c r="E376">
        <v>19</v>
      </c>
      <c r="F376">
        <v>0</v>
      </c>
      <c r="G376">
        <v>0</v>
      </c>
      <c r="H376">
        <v>2</v>
      </c>
      <c r="I376">
        <v>0</v>
      </c>
    </row>
    <row r="377" spans="1:9" x14ac:dyDescent="0.25">
      <c r="A377" t="s">
        <v>570</v>
      </c>
      <c r="B377" t="s">
        <v>152</v>
      </c>
      <c r="C377" t="s">
        <v>189</v>
      </c>
      <c r="D377" t="s">
        <v>12</v>
      </c>
      <c r="E377">
        <v>20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t="s">
        <v>571</v>
      </c>
      <c r="B378" t="s">
        <v>152</v>
      </c>
      <c r="C378" t="s">
        <v>147</v>
      </c>
      <c r="D378" t="s">
        <v>7</v>
      </c>
      <c r="E378">
        <v>28</v>
      </c>
      <c r="F378">
        <v>1</v>
      </c>
      <c r="G378">
        <v>1</v>
      </c>
      <c r="H378">
        <v>1</v>
      </c>
      <c r="I378">
        <v>0</v>
      </c>
    </row>
    <row r="379" spans="1:9" x14ac:dyDescent="0.25">
      <c r="A379" t="s">
        <v>572</v>
      </c>
      <c r="B379" t="s">
        <v>152</v>
      </c>
      <c r="C379" t="s">
        <v>256</v>
      </c>
      <c r="D379" t="s">
        <v>13</v>
      </c>
      <c r="E379">
        <v>29</v>
      </c>
      <c r="F379">
        <v>0</v>
      </c>
      <c r="G379">
        <v>0</v>
      </c>
      <c r="H379">
        <v>3</v>
      </c>
      <c r="I379">
        <v>0</v>
      </c>
    </row>
    <row r="380" spans="1:9" x14ac:dyDescent="0.25">
      <c r="A380" t="s">
        <v>573</v>
      </c>
      <c r="B380" t="s">
        <v>339</v>
      </c>
      <c r="C380" t="s">
        <v>150</v>
      </c>
      <c r="D380" t="s">
        <v>11</v>
      </c>
      <c r="E380">
        <v>20</v>
      </c>
      <c r="F380">
        <v>3</v>
      </c>
      <c r="G380">
        <v>3</v>
      </c>
      <c r="H380">
        <v>1</v>
      </c>
      <c r="I380">
        <v>0</v>
      </c>
    </row>
    <row r="381" spans="1:9" x14ac:dyDescent="0.25">
      <c r="A381" t="s">
        <v>574</v>
      </c>
      <c r="B381" t="s">
        <v>261</v>
      </c>
      <c r="C381" t="s">
        <v>265</v>
      </c>
      <c r="D381" t="s">
        <v>11</v>
      </c>
      <c r="E381">
        <v>25</v>
      </c>
      <c r="F381">
        <v>2</v>
      </c>
      <c r="G381">
        <v>4</v>
      </c>
      <c r="H381">
        <v>3</v>
      </c>
      <c r="I381">
        <v>0</v>
      </c>
    </row>
    <row r="382" spans="1:9" x14ac:dyDescent="0.25">
      <c r="A382" t="s">
        <v>575</v>
      </c>
      <c r="B382" t="s">
        <v>155</v>
      </c>
      <c r="C382" t="s">
        <v>147</v>
      </c>
      <c r="D382" t="s">
        <v>13</v>
      </c>
      <c r="E382">
        <v>27</v>
      </c>
      <c r="F382">
        <v>12</v>
      </c>
      <c r="G382">
        <v>4</v>
      </c>
      <c r="H382">
        <v>3</v>
      </c>
      <c r="I382">
        <v>0</v>
      </c>
    </row>
    <row r="383" spans="1:9" x14ac:dyDescent="0.25">
      <c r="A383" t="s">
        <v>576</v>
      </c>
      <c r="B383" t="s">
        <v>152</v>
      </c>
      <c r="C383" t="s">
        <v>160</v>
      </c>
      <c r="D383" t="s">
        <v>9</v>
      </c>
      <c r="E383">
        <v>25</v>
      </c>
      <c r="F383">
        <v>0</v>
      </c>
      <c r="G383">
        <v>1</v>
      </c>
      <c r="H383">
        <v>0</v>
      </c>
      <c r="I383">
        <v>0</v>
      </c>
    </row>
    <row r="384" spans="1:9" x14ac:dyDescent="0.25">
      <c r="A384" t="s">
        <v>577</v>
      </c>
      <c r="B384" t="s">
        <v>152</v>
      </c>
      <c r="C384" t="s">
        <v>189</v>
      </c>
      <c r="D384" t="s">
        <v>13</v>
      </c>
      <c r="E384">
        <v>27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 t="s">
        <v>578</v>
      </c>
      <c r="B385" t="s">
        <v>192</v>
      </c>
      <c r="C385" t="s">
        <v>160</v>
      </c>
      <c r="D385" t="s">
        <v>9</v>
      </c>
      <c r="E385">
        <v>33</v>
      </c>
      <c r="F385">
        <v>1</v>
      </c>
      <c r="G385">
        <v>1</v>
      </c>
      <c r="H385">
        <v>1</v>
      </c>
      <c r="I385">
        <v>0</v>
      </c>
    </row>
    <row r="386" spans="1:9" x14ac:dyDescent="0.25">
      <c r="A386" t="s">
        <v>579</v>
      </c>
      <c r="B386" t="s">
        <v>259</v>
      </c>
      <c r="C386" t="s">
        <v>169</v>
      </c>
      <c r="D386" t="s">
        <v>19</v>
      </c>
      <c r="E386">
        <v>24</v>
      </c>
      <c r="F386">
        <v>0</v>
      </c>
      <c r="G386">
        <v>3</v>
      </c>
      <c r="H386">
        <v>2</v>
      </c>
      <c r="I386">
        <v>0</v>
      </c>
    </row>
    <row r="387" spans="1:9" x14ac:dyDescent="0.25">
      <c r="A387" t="s">
        <v>580</v>
      </c>
      <c r="B387" t="s">
        <v>460</v>
      </c>
      <c r="C387" t="s">
        <v>189</v>
      </c>
      <c r="D387" t="s">
        <v>4</v>
      </c>
      <c r="E387">
        <v>27</v>
      </c>
      <c r="F387">
        <v>0</v>
      </c>
      <c r="G387">
        <v>0</v>
      </c>
      <c r="H387">
        <v>3</v>
      </c>
      <c r="I387">
        <v>0</v>
      </c>
    </row>
    <row r="388" spans="1:9" x14ac:dyDescent="0.25">
      <c r="A388" t="s">
        <v>581</v>
      </c>
      <c r="B388" t="s">
        <v>324</v>
      </c>
      <c r="C388" t="s">
        <v>144</v>
      </c>
      <c r="D388" t="s">
        <v>15</v>
      </c>
      <c r="E388">
        <v>29</v>
      </c>
      <c r="F388">
        <v>1</v>
      </c>
      <c r="G388">
        <v>0</v>
      </c>
      <c r="H388">
        <v>6</v>
      </c>
      <c r="I388">
        <v>1</v>
      </c>
    </row>
    <row r="389" spans="1:9" x14ac:dyDescent="0.25">
      <c r="A389" t="s">
        <v>582</v>
      </c>
      <c r="B389" t="s">
        <v>179</v>
      </c>
      <c r="C389" t="s">
        <v>144</v>
      </c>
      <c r="D389" t="s">
        <v>6</v>
      </c>
      <c r="E389">
        <v>24</v>
      </c>
      <c r="F389">
        <v>0</v>
      </c>
      <c r="G389">
        <v>6</v>
      </c>
      <c r="H389">
        <v>4</v>
      </c>
      <c r="I389">
        <v>1</v>
      </c>
    </row>
    <row r="390" spans="1:9" x14ac:dyDescent="0.25">
      <c r="A390" t="s">
        <v>583</v>
      </c>
      <c r="B390" t="s">
        <v>152</v>
      </c>
      <c r="C390" t="s">
        <v>160</v>
      </c>
      <c r="D390" t="s">
        <v>9</v>
      </c>
      <c r="E390">
        <v>20</v>
      </c>
      <c r="F390">
        <v>3</v>
      </c>
      <c r="G390">
        <v>3</v>
      </c>
      <c r="H390">
        <v>2</v>
      </c>
      <c r="I390">
        <v>0</v>
      </c>
    </row>
    <row r="391" spans="1:9" x14ac:dyDescent="0.25">
      <c r="A391" t="s">
        <v>584</v>
      </c>
      <c r="B391" t="s">
        <v>585</v>
      </c>
      <c r="C391" t="s">
        <v>147</v>
      </c>
      <c r="D391" t="s">
        <v>17</v>
      </c>
      <c r="E391">
        <v>35</v>
      </c>
      <c r="F391">
        <v>1</v>
      </c>
      <c r="G391">
        <v>4</v>
      </c>
      <c r="H391">
        <v>4</v>
      </c>
      <c r="I391">
        <v>0</v>
      </c>
    </row>
    <row r="392" spans="1:9" x14ac:dyDescent="0.25">
      <c r="A392" t="s">
        <v>586</v>
      </c>
      <c r="B392" t="s">
        <v>493</v>
      </c>
      <c r="C392" t="s">
        <v>141</v>
      </c>
      <c r="D392" t="s">
        <v>10</v>
      </c>
      <c r="E392">
        <v>24</v>
      </c>
      <c r="F392">
        <v>0</v>
      </c>
      <c r="G392">
        <v>1</v>
      </c>
      <c r="H392">
        <v>1</v>
      </c>
      <c r="I392">
        <v>0</v>
      </c>
    </row>
    <row r="393" spans="1:9" x14ac:dyDescent="0.25">
      <c r="A393" t="s">
        <v>587</v>
      </c>
      <c r="B393" t="s">
        <v>152</v>
      </c>
      <c r="C393" t="s">
        <v>189</v>
      </c>
      <c r="D393" t="s">
        <v>23</v>
      </c>
      <c r="E393">
        <v>28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t="s">
        <v>588</v>
      </c>
      <c r="B394" t="s">
        <v>179</v>
      </c>
      <c r="C394" t="s">
        <v>169</v>
      </c>
      <c r="D394" t="s">
        <v>21</v>
      </c>
      <c r="E394">
        <v>31</v>
      </c>
      <c r="F394">
        <v>5</v>
      </c>
      <c r="G394">
        <v>0</v>
      </c>
      <c r="H394">
        <v>5</v>
      </c>
      <c r="I394">
        <v>0</v>
      </c>
    </row>
    <row r="395" spans="1:9" x14ac:dyDescent="0.25">
      <c r="A395" t="s">
        <v>589</v>
      </c>
      <c r="B395" t="s">
        <v>179</v>
      </c>
      <c r="C395" t="s">
        <v>144</v>
      </c>
      <c r="D395" t="s">
        <v>7</v>
      </c>
      <c r="E395">
        <v>32</v>
      </c>
      <c r="F395">
        <v>0</v>
      </c>
      <c r="G395">
        <v>0</v>
      </c>
      <c r="H395">
        <v>4</v>
      </c>
      <c r="I395">
        <v>0</v>
      </c>
    </row>
    <row r="396" spans="1:9" x14ac:dyDescent="0.25">
      <c r="A396" t="s">
        <v>590</v>
      </c>
      <c r="B396" t="s">
        <v>224</v>
      </c>
      <c r="C396" t="s">
        <v>144</v>
      </c>
      <c r="D396" t="s">
        <v>5</v>
      </c>
      <c r="E396">
        <v>20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t="s">
        <v>591</v>
      </c>
      <c r="B397" t="s">
        <v>179</v>
      </c>
      <c r="C397" t="s">
        <v>169</v>
      </c>
      <c r="D397" t="s">
        <v>14</v>
      </c>
      <c r="E397">
        <v>27</v>
      </c>
      <c r="F397">
        <v>3</v>
      </c>
      <c r="G397">
        <v>2</v>
      </c>
      <c r="H397">
        <v>5</v>
      </c>
      <c r="I397">
        <v>0</v>
      </c>
    </row>
    <row r="398" spans="1:9" x14ac:dyDescent="0.25">
      <c r="A398" t="s">
        <v>592</v>
      </c>
      <c r="B398" t="s">
        <v>198</v>
      </c>
      <c r="C398" t="s">
        <v>147</v>
      </c>
      <c r="D398" t="s">
        <v>6</v>
      </c>
      <c r="E398">
        <v>26</v>
      </c>
      <c r="F398">
        <v>0</v>
      </c>
      <c r="G398">
        <v>2</v>
      </c>
      <c r="H398">
        <v>1</v>
      </c>
      <c r="I398">
        <v>0</v>
      </c>
    </row>
    <row r="399" spans="1:9" x14ac:dyDescent="0.25">
      <c r="A399" t="s">
        <v>593</v>
      </c>
      <c r="B399" t="s">
        <v>324</v>
      </c>
      <c r="C399" t="s">
        <v>150</v>
      </c>
      <c r="D399" t="s">
        <v>23</v>
      </c>
      <c r="E399">
        <v>24</v>
      </c>
      <c r="F399">
        <v>5</v>
      </c>
      <c r="G399">
        <v>1</v>
      </c>
      <c r="H399">
        <v>4</v>
      </c>
      <c r="I399">
        <v>0</v>
      </c>
    </row>
    <row r="400" spans="1:9" x14ac:dyDescent="0.25">
      <c r="A400" t="s">
        <v>594</v>
      </c>
      <c r="B400" t="s">
        <v>210</v>
      </c>
      <c r="C400" t="s">
        <v>169</v>
      </c>
      <c r="D400" t="s">
        <v>12</v>
      </c>
      <c r="E400">
        <v>26</v>
      </c>
      <c r="F400">
        <v>5</v>
      </c>
      <c r="G400">
        <v>2</v>
      </c>
      <c r="H400">
        <v>3</v>
      </c>
      <c r="I400">
        <v>0</v>
      </c>
    </row>
    <row r="401" spans="1:9" x14ac:dyDescent="0.25">
      <c r="A401" t="s">
        <v>595</v>
      </c>
      <c r="B401" t="s">
        <v>152</v>
      </c>
      <c r="C401" t="s">
        <v>147</v>
      </c>
      <c r="D401" t="s">
        <v>21</v>
      </c>
      <c r="E401">
        <v>20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 t="s">
        <v>596</v>
      </c>
      <c r="B402" t="s">
        <v>261</v>
      </c>
      <c r="C402" t="s">
        <v>160</v>
      </c>
      <c r="D402" t="s">
        <v>21</v>
      </c>
      <c r="E402">
        <v>21</v>
      </c>
      <c r="F402">
        <v>0</v>
      </c>
      <c r="G402">
        <v>2</v>
      </c>
      <c r="H402">
        <v>5</v>
      </c>
      <c r="I402">
        <v>0</v>
      </c>
    </row>
    <row r="403" spans="1:9" x14ac:dyDescent="0.25">
      <c r="A403" t="s">
        <v>597</v>
      </c>
      <c r="B403" t="s">
        <v>224</v>
      </c>
      <c r="C403" t="s">
        <v>189</v>
      </c>
      <c r="D403" t="s">
        <v>22</v>
      </c>
      <c r="E403">
        <v>30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 t="s">
        <v>598</v>
      </c>
      <c r="B404" t="s">
        <v>208</v>
      </c>
      <c r="C404" t="s">
        <v>169</v>
      </c>
      <c r="D404" t="s">
        <v>15</v>
      </c>
      <c r="E404">
        <v>21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 t="s">
        <v>599</v>
      </c>
      <c r="B405" t="s">
        <v>165</v>
      </c>
      <c r="C405" t="s">
        <v>144</v>
      </c>
      <c r="D405" t="s">
        <v>20</v>
      </c>
      <c r="E405">
        <v>24</v>
      </c>
      <c r="F405">
        <v>0</v>
      </c>
      <c r="G405">
        <v>1</v>
      </c>
      <c r="H405">
        <v>2</v>
      </c>
      <c r="I405">
        <v>0</v>
      </c>
    </row>
    <row r="406" spans="1:9" x14ac:dyDescent="0.25">
      <c r="A406" t="s">
        <v>600</v>
      </c>
      <c r="B406" t="s">
        <v>165</v>
      </c>
      <c r="C406" t="s">
        <v>169</v>
      </c>
      <c r="D406" t="s">
        <v>14</v>
      </c>
      <c r="E406">
        <v>23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t="s">
        <v>601</v>
      </c>
      <c r="B407" t="s">
        <v>157</v>
      </c>
      <c r="C407" t="s">
        <v>147</v>
      </c>
      <c r="D407" t="s">
        <v>15</v>
      </c>
      <c r="E407">
        <v>24</v>
      </c>
      <c r="F407">
        <v>1</v>
      </c>
      <c r="G407">
        <v>1</v>
      </c>
      <c r="H407">
        <v>5</v>
      </c>
      <c r="I407">
        <v>1</v>
      </c>
    </row>
    <row r="408" spans="1:9" x14ac:dyDescent="0.25">
      <c r="A408" t="s">
        <v>602</v>
      </c>
      <c r="B408" t="s">
        <v>152</v>
      </c>
      <c r="C408" t="s">
        <v>265</v>
      </c>
      <c r="D408" t="s">
        <v>5</v>
      </c>
      <c r="E408">
        <v>20</v>
      </c>
      <c r="F408">
        <v>0</v>
      </c>
      <c r="G408">
        <v>0</v>
      </c>
      <c r="H408">
        <v>1</v>
      </c>
      <c r="I408">
        <v>0</v>
      </c>
    </row>
    <row r="409" spans="1:9" x14ac:dyDescent="0.25">
      <c r="A409" t="s">
        <v>603</v>
      </c>
      <c r="B409" t="s">
        <v>162</v>
      </c>
      <c r="C409" t="s">
        <v>150</v>
      </c>
      <c r="D409" t="s">
        <v>6</v>
      </c>
      <c r="E409">
        <v>23</v>
      </c>
      <c r="F409">
        <v>8</v>
      </c>
      <c r="G409">
        <v>4</v>
      </c>
      <c r="H409">
        <v>4</v>
      </c>
      <c r="I409">
        <v>0</v>
      </c>
    </row>
    <row r="410" spans="1:9" x14ac:dyDescent="0.25">
      <c r="A410" t="s">
        <v>604</v>
      </c>
      <c r="B410" t="s">
        <v>146</v>
      </c>
      <c r="C410" t="s">
        <v>144</v>
      </c>
      <c r="D410" t="s">
        <v>20</v>
      </c>
      <c r="E410">
        <v>25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 t="s">
        <v>605</v>
      </c>
      <c r="B411" t="s">
        <v>192</v>
      </c>
      <c r="C411" t="s">
        <v>150</v>
      </c>
      <c r="D411" t="s">
        <v>13</v>
      </c>
      <c r="E411">
        <v>27</v>
      </c>
      <c r="F411">
        <v>2</v>
      </c>
      <c r="G411">
        <v>4</v>
      </c>
      <c r="H411">
        <v>1</v>
      </c>
      <c r="I411">
        <v>0</v>
      </c>
    </row>
    <row r="412" spans="1:9" x14ac:dyDescent="0.25">
      <c r="A412" t="s">
        <v>606</v>
      </c>
      <c r="B412" t="s">
        <v>339</v>
      </c>
      <c r="C412" t="s">
        <v>150</v>
      </c>
      <c r="D412" t="s">
        <v>13</v>
      </c>
      <c r="E412">
        <v>24</v>
      </c>
      <c r="F412">
        <v>0</v>
      </c>
      <c r="G412">
        <v>0</v>
      </c>
      <c r="H412">
        <v>2</v>
      </c>
      <c r="I412">
        <v>0</v>
      </c>
    </row>
    <row r="413" spans="1:9" x14ac:dyDescent="0.25">
      <c r="A413" t="s">
        <v>607</v>
      </c>
      <c r="B413" t="s">
        <v>203</v>
      </c>
      <c r="C413" t="s">
        <v>147</v>
      </c>
      <c r="D413" t="s">
        <v>23</v>
      </c>
      <c r="E413">
        <v>24</v>
      </c>
      <c r="F413">
        <v>0</v>
      </c>
      <c r="G413">
        <v>0</v>
      </c>
      <c r="H413">
        <v>4</v>
      </c>
      <c r="I413">
        <v>0</v>
      </c>
    </row>
    <row r="414" spans="1:9" x14ac:dyDescent="0.25">
      <c r="A414" t="s">
        <v>608</v>
      </c>
      <c r="B414" t="s">
        <v>152</v>
      </c>
      <c r="C414" t="s">
        <v>147</v>
      </c>
      <c r="D414" t="s">
        <v>16</v>
      </c>
      <c r="E414">
        <v>24</v>
      </c>
      <c r="F414">
        <v>4</v>
      </c>
      <c r="G414">
        <v>2</v>
      </c>
      <c r="H414">
        <v>7</v>
      </c>
      <c r="I414">
        <v>1</v>
      </c>
    </row>
    <row r="415" spans="1:9" x14ac:dyDescent="0.25">
      <c r="A415" t="s">
        <v>609</v>
      </c>
      <c r="B415" t="s">
        <v>146</v>
      </c>
      <c r="C415" t="s">
        <v>144</v>
      </c>
      <c r="D415" t="s">
        <v>18</v>
      </c>
      <c r="E415">
        <v>21</v>
      </c>
      <c r="F415">
        <v>0</v>
      </c>
      <c r="G415">
        <v>0</v>
      </c>
      <c r="H415">
        <v>1</v>
      </c>
      <c r="I415">
        <v>0</v>
      </c>
    </row>
    <row r="416" spans="1:9" x14ac:dyDescent="0.25">
      <c r="A416" t="s">
        <v>610</v>
      </c>
      <c r="B416" t="s">
        <v>174</v>
      </c>
      <c r="C416" t="s">
        <v>169</v>
      </c>
      <c r="D416" t="s">
        <v>4</v>
      </c>
      <c r="E416">
        <v>19</v>
      </c>
      <c r="F416">
        <v>1</v>
      </c>
      <c r="G416">
        <v>0</v>
      </c>
      <c r="H416">
        <v>1</v>
      </c>
      <c r="I416">
        <v>0</v>
      </c>
    </row>
    <row r="417" spans="1:9" x14ac:dyDescent="0.25">
      <c r="A417" t="s">
        <v>611</v>
      </c>
      <c r="B417" t="s">
        <v>149</v>
      </c>
      <c r="C417" t="s">
        <v>256</v>
      </c>
      <c r="D417" t="s">
        <v>9</v>
      </c>
      <c r="E417">
        <v>20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 t="s">
        <v>612</v>
      </c>
      <c r="B418" t="s">
        <v>200</v>
      </c>
      <c r="C418" t="s">
        <v>169</v>
      </c>
      <c r="D418" t="s">
        <v>18</v>
      </c>
      <c r="E418">
        <v>25</v>
      </c>
      <c r="F418">
        <v>2</v>
      </c>
      <c r="G418">
        <v>2</v>
      </c>
      <c r="H418">
        <v>2</v>
      </c>
      <c r="I418">
        <v>0</v>
      </c>
    </row>
    <row r="419" spans="1:9" x14ac:dyDescent="0.25">
      <c r="A419" t="s">
        <v>613</v>
      </c>
      <c r="B419" t="s">
        <v>363</v>
      </c>
      <c r="C419" t="s">
        <v>144</v>
      </c>
      <c r="D419" t="s">
        <v>15</v>
      </c>
      <c r="E419">
        <v>21</v>
      </c>
      <c r="F419">
        <v>1</v>
      </c>
      <c r="G419">
        <v>1</v>
      </c>
      <c r="H419">
        <v>4</v>
      </c>
      <c r="I419">
        <v>0</v>
      </c>
    </row>
    <row r="420" spans="1:9" x14ac:dyDescent="0.25">
      <c r="A420" t="s">
        <v>614</v>
      </c>
      <c r="B420" t="s">
        <v>146</v>
      </c>
      <c r="C420" t="s">
        <v>160</v>
      </c>
      <c r="D420" t="s">
        <v>6</v>
      </c>
      <c r="E420">
        <v>25</v>
      </c>
      <c r="F420">
        <v>6</v>
      </c>
      <c r="G420">
        <v>1</v>
      </c>
      <c r="H420">
        <v>1</v>
      </c>
      <c r="I420">
        <v>0</v>
      </c>
    </row>
    <row r="421" spans="1:9" x14ac:dyDescent="0.25">
      <c r="A421" t="s">
        <v>615</v>
      </c>
      <c r="B421" t="s">
        <v>162</v>
      </c>
      <c r="C421" t="s">
        <v>150</v>
      </c>
      <c r="D421" t="s">
        <v>21</v>
      </c>
      <c r="E421">
        <v>24</v>
      </c>
      <c r="F421">
        <v>1</v>
      </c>
      <c r="G421">
        <v>0</v>
      </c>
      <c r="H421">
        <v>0</v>
      </c>
      <c r="I421">
        <v>0</v>
      </c>
    </row>
    <row r="422" spans="1:9" x14ac:dyDescent="0.25">
      <c r="A422" t="s">
        <v>615</v>
      </c>
      <c r="B422" t="s">
        <v>162</v>
      </c>
      <c r="C422" t="s">
        <v>169</v>
      </c>
      <c r="D422" t="s">
        <v>13</v>
      </c>
      <c r="E422">
        <v>24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t="s">
        <v>616</v>
      </c>
      <c r="B423" t="s">
        <v>157</v>
      </c>
      <c r="C423" t="s">
        <v>144</v>
      </c>
      <c r="D423" t="s">
        <v>23</v>
      </c>
      <c r="E423">
        <v>21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 t="s">
        <v>617</v>
      </c>
      <c r="B424" t="s">
        <v>168</v>
      </c>
      <c r="C424" t="s">
        <v>189</v>
      </c>
      <c r="D424" t="s">
        <v>10</v>
      </c>
      <c r="E424">
        <v>24</v>
      </c>
      <c r="F424">
        <v>0</v>
      </c>
      <c r="G424">
        <v>0</v>
      </c>
      <c r="H424">
        <v>1</v>
      </c>
      <c r="I424">
        <v>0</v>
      </c>
    </row>
    <row r="425" spans="1:9" x14ac:dyDescent="0.25">
      <c r="A425" t="s">
        <v>618</v>
      </c>
      <c r="B425" t="s">
        <v>569</v>
      </c>
      <c r="C425" t="s">
        <v>144</v>
      </c>
      <c r="D425" t="s">
        <v>13</v>
      </c>
      <c r="E425">
        <v>26</v>
      </c>
      <c r="F425">
        <v>0</v>
      </c>
      <c r="G425">
        <v>2</v>
      </c>
      <c r="H425">
        <v>4</v>
      </c>
      <c r="I425">
        <v>0</v>
      </c>
    </row>
    <row r="426" spans="1:9" x14ac:dyDescent="0.25">
      <c r="A426" t="s">
        <v>619</v>
      </c>
      <c r="B426" t="s">
        <v>369</v>
      </c>
      <c r="C426" t="s">
        <v>147</v>
      </c>
      <c r="D426" t="s">
        <v>9</v>
      </c>
      <c r="E426">
        <v>24</v>
      </c>
      <c r="F426">
        <v>0</v>
      </c>
      <c r="G426">
        <v>0</v>
      </c>
      <c r="H426">
        <v>1</v>
      </c>
      <c r="I426">
        <v>0</v>
      </c>
    </row>
    <row r="427" spans="1:9" x14ac:dyDescent="0.25">
      <c r="A427" t="s">
        <v>620</v>
      </c>
      <c r="B427" t="s">
        <v>174</v>
      </c>
      <c r="C427" t="s">
        <v>160</v>
      </c>
      <c r="D427" t="s">
        <v>19</v>
      </c>
      <c r="E427">
        <v>21</v>
      </c>
      <c r="F427">
        <v>5</v>
      </c>
      <c r="G427">
        <v>0</v>
      </c>
      <c r="H427">
        <v>0</v>
      </c>
      <c r="I427">
        <v>0</v>
      </c>
    </row>
    <row r="428" spans="1:9" x14ac:dyDescent="0.25">
      <c r="A428" t="s">
        <v>621</v>
      </c>
      <c r="B428" t="s">
        <v>152</v>
      </c>
      <c r="C428" t="s">
        <v>169</v>
      </c>
      <c r="D428" t="s">
        <v>16</v>
      </c>
      <c r="E428">
        <v>21</v>
      </c>
      <c r="F428">
        <v>3</v>
      </c>
      <c r="G428">
        <v>3</v>
      </c>
      <c r="H428">
        <v>3</v>
      </c>
      <c r="I428">
        <v>0</v>
      </c>
    </row>
    <row r="429" spans="1:9" x14ac:dyDescent="0.25">
      <c r="A429" t="s">
        <v>622</v>
      </c>
      <c r="B429" t="s">
        <v>152</v>
      </c>
      <c r="C429" t="s">
        <v>150</v>
      </c>
      <c r="D429" t="s">
        <v>6</v>
      </c>
      <c r="E429">
        <v>27</v>
      </c>
      <c r="F429">
        <v>15</v>
      </c>
      <c r="G429">
        <v>4</v>
      </c>
      <c r="H429">
        <v>2</v>
      </c>
      <c r="I429">
        <v>0</v>
      </c>
    </row>
    <row r="430" spans="1:9" x14ac:dyDescent="0.25">
      <c r="A430" t="s">
        <v>623</v>
      </c>
      <c r="B430" t="s">
        <v>624</v>
      </c>
      <c r="C430" t="s">
        <v>144</v>
      </c>
      <c r="D430" t="s">
        <v>19</v>
      </c>
      <c r="E430">
        <v>30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 t="s">
        <v>625</v>
      </c>
      <c r="B431" t="s">
        <v>146</v>
      </c>
      <c r="C431" t="s">
        <v>144</v>
      </c>
      <c r="D431" t="s">
        <v>9</v>
      </c>
      <c r="E431">
        <v>20</v>
      </c>
      <c r="F431">
        <v>0</v>
      </c>
      <c r="G431">
        <v>0</v>
      </c>
      <c r="H431">
        <v>1</v>
      </c>
      <c r="I431">
        <v>1</v>
      </c>
    </row>
    <row r="432" spans="1:9" x14ac:dyDescent="0.25">
      <c r="A432" t="s">
        <v>626</v>
      </c>
      <c r="B432" t="s">
        <v>157</v>
      </c>
      <c r="C432" t="s">
        <v>160</v>
      </c>
      <c r="D432" t="s">
        <v>14</v>
      </c>
      <c r="E432">
        <v>27</v>
      </c>
      <c r="F432">
        <v>0</v>
      </c>
      <c r="G432">
        <v>0</v>
      </c>
      <c r="H432">
        <v>1</v>
      </c>
      <c r="I432">
        <v>0</v>
      </c>
    </row>
    <row r="433" spans="1:9" x14ac:dyDescent="0.25">
      <c r="A433" t="s">
        <v>627</v>
      </c>
      <c r="B433" t="s">
        <v>628</v>
      </c>
      <c r="C433" t="s">
        <v>147</v>
      </c>
      <c r="D433" t="s">
        <v>16</v>
      </c>
      <c r="E433">
        <v>24</v>
      </c>
      <c r="F433">
        <v>0</v>
      </c>
      <c r="G433">
        <v>0</v>
      </c>
      <c r="H433">
        <v>2</v>
      </c>
      <c r="I433">
        <v>0</v>
      </c>
    </row>
    <row r="434" spans="1:9" x14ac:dyDescent="0.25">
      <c r="A434" t="s">
        <v>629</v>
      </c>
      <c r="B434" t="s">
        <v>149</v>
      </c>
      <c r="C434" t="s">
        <v>144</v>
      </c>
      <c r="D434" t="s">
        <v>23</v>
      </c>
      <c r="E434">
        <v>21</v>
      </c>
      <c r="F434">
        <v>0</v>
      </c>
      <c r="G434">
        <v>0</v>
      </c>
      <c r="H434">
        <v>1</v>
      </c>
      <c r="I434">
        <v>0</v>
      </c>
    </row>
    <row r="435" spans="1:9" x14ac:dyDescent="0.25">
      <c r="A435" t="s">
        <v>630</v>
      </c>
      <c r="B435" t="s">
        <v>152</v>
      </c>
      <c r="C435" t="s">
        <v>189</v>
      </c>
      <c r="D435" t="s">
        <v>10</v>
      </c>
      <c r="E435">
        <v>38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t="s">
        <v>631</v>
      </c>
      <c r="B436" t="s">
        <v>152</v>
      </c>
      <c r="C436" t="s">
        <v>265</v>
      </c>
      <c r="D436" t="s">
        <v>10</v>
      </c>
      <c r="E436">
        <v>18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t="s">
        <v>632</v>
      </c>
      <c r="B437" t="s">
        <v>224</v>
      </c>
      <c r="C437" t="s">
        <v>144</v>
      </c>
      <c r="D437" t="s">
        <v>12</v>
      </c>
      <c r="E437">
        <v>21</v>
      </c>
      <c r="F437">
        <v>0</v>
      </c>
      <c r="G437">
        <v>0</v>
      </c>
      <c r="H437">
        <v>2</v>
      </c>
      <c r="I437">
        <v>0</v>
      </c>
    </row>
    <row r="438" spans="1:9" x14ac:dyDescent="0.25">
      <c r="A438" t="s">
        <v>632</v>
      </c>
      <c r="B438" t="s">
        <v>224</v>
      </c>
      <c r="C438" t="s">
        <v>144</v>
      </c>
      <c r="D438" t="s">
        <v>17</v>
      </c>
      <c r="E438">
        <v>21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t="s">
        <v>633</v>
      </c>
      <c r="B439" t="s">
        <v>152</v>
      </c>
      <c r="C439" t="s">
        <v>189</v>
      </c>
      <c r="D439" t="s">
        <v>4</v>
      </c>
      <c r="E439">
        <v>31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t="s">
        <v>634</v>
      </c>
      <c r="B440" t="s">
        <v>152</v>
      </c>
      <c r="C440" t="s">
        <v>144</v>
      </c>
      <c r="D440" t="s">
        <v>22</v>
      </c>
      <c r="E440">
        <v>19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t="s">
        <v>635</v>
      </c>
      <c r="B441" t="s">
        <v>171</v>
      </c>
      <c r="C441" t="s">
        <v>144</v>
      </c>
      <c r="D441" t="s">
        <v>10</v>
      </c>
      <c r="E441">
        <v>16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t="s">
        <v>636</v>
      </c>
      <c r="B442" t="s">
        <v>224</v>
      </c>
      <c r="C442" t="s">
        <v>147</v>
      </c>
      <c r="D442" t="s">
        <v>20</v>
      </c>
      <c r="E442">
        <v>30</v>
      </c>
      <c r="F442">
        <v>3</v>
      </c>
      <c r="G442">
        <v>1</v>
      </c>
      <c r="H442">
        <v>4</v>
      </c>
      <c r="I442">
        <v>0</v>
      </c>
    </row>
    <row r="443" spans="1:9" x14ac:dyDescent="0.25">
      <c r="A443" t="s">
        <v>637</v>
      </c>
      <c r="B443" t="s">
        <v>152</v>
      </c>
      <c r="C443" t="s">
        <v>141</v>
      </c>
      <c r="D443" t="s">
        <v>5</v>
      </c>
      <c r="E443">
        <v>23</v>
      </c>
      <c r="F443">
        <v>2</v>
      </c>
      <c r="G443">
        <v>0</v>
      </c>
      <c r="H443">
        <v>3</v>
      </c>
      <c r="I443">
        <v>0</v>
      </c>
    </row>
    <row r="444" spans="1:9" x14ac:dyDescent="0.25">
      <c r="A444" t="s">
        <v>638</v>
      </c>
      <c r="B444" t="s">
        <v>198</v>
      </c>
      <c r="C444" t="s">
        <v>147</v>
      </c>
      <c r="D444" t="s">
        <v>22</v>
      </c>
      <c r="E444">
        <v>29</v>
      </c>
      <c r="F444">
        <v>3</v>
      </c>
      <c r="G444">
        <v>4</v>
      </c>
      <c r="H444">
        <v>1</v>
      </c>
      <c r="I444">
        <v>0</v>
      </c>
    </row>
    <row r="445" spans="1:9" x14ac:dyDescent="0.25">
      <c r="A445" t="s">
        <v>639</v>
      </c>
      <c r="B445" t="s">
        <v>179</v>
      </c>
      <c r="C445" t="s">
        <v>144</v>
      </c>
      <c r="D445" t="s">
        <v>18</v>
      </c>
      <c r="E445">
        <v>31</v>
      </c>
      <c r="F445">
        <v>1</v>
      </c>
      <c r="G445">
        <v>0</v>
      </c>
      <c r="H445">
        <v>2</v>
      </c>
      <c r="I445">
        <v>0</v>
      </c>
    </row>
    <row r="446" spans="1:9" x14ac:dyDescent="0.25">
      <c r="A446" t="s">
        <v>640</v>
      </c>
      <c r="B446" t="s">
        <v>210</v>
      </c>
      <c r="C446" t="s">
        <v>189</v>
      </c>
      <c r="D446" t="s">
        <v>22</v>
      </c>
      <c r="E446">
        <v>36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t="s">
        <v>641</v>
      </c>
      <c r="B447" t="s">
        <v>157</v>
      </c>
      <c r="C447" t="s">
        <v>144</v>
      </c>
      <c r="D447" t="s">
        <v>17</v>
      </c>
      <c r="E447">
        <v>28</v>
      </c>
      <c r="F447">
        <v>0</v>
      </c>
      <c r="G447">
        <v>1</v>
      </c>
      <c r="H447">
        <v>4</v>
      </c>
      <c r="I447">
        <v>0</v>
      </c>
    </row>
    <row r="448" spans="1:9" x14ac:dyDescent="0.25">
      <c r="A448" t="s">
        <v>642</v>
      </c>
      <c r="B448" t="s">
        <v>460</v>
      </c>
      <c r="C448" t="s">
        <v>144</v>
      </c>
      <c r="D448" t="s">
        <v>21</v>
      </c>
      <c r="E448">
        <v>23</v>
      </c>
      <c r="F448">
        <v>2</v>
      </c>
      <c r="G448">
        <v>1</v>
      </c>
      <c r="H448">
        <v>3</v>
      </c>
      <c r="I448">
        <v>1</v>
      </c>
    </row>
    <row r="449" spans="1:9" x14ac:dyDescent="0.25">
      <c r="A449" t="s">
        <v>643</v>
      </c>
      <c r="B449" t="s">
        <v>152</v>
      </c>
      <c r="C449" t="s">
        <v>169</v>
      </c>
      <c r="D449" t="s">
        <v>15</v>
      </c>
      <c r="E449">
        <v>35</v>
      </c>
      <c r="F449">
        <v>2</v>
      </c>
      <c r="G449">
        <v>0</v>
      </c>
      <c r="H449">
        <v>5</v>
      </c>
      <c r="I449">
        <v>0</v>
      </c>
    </row>
    <row r="450" spans="1:9" x14ac:dyDescent="0.25">
      <c r="A450" t="s">
        <v>644</v>
      </c>
      <c r="B450" t="s">
        <v>224</v>
      </c>
      <c r="C450" t="s">
        <v>147</v>
      </c>
      <c r="D450" t="s">
        <v>10</v>
      </c>
      <c r="E450">
        <v>25</v>
      </c>
      <c r="F450">
        <v>1</v>
      </c>
      <c r="G450">
        <v>1</v>
      </c>
      <c r="H450">
        <v>5</v>
      </c>
      <c r="I450">
        <v>0</v>
      </c>
    </row>
    <row r="451" spans="1:9" x14ac:dyDescent="0.25">
      <c r="A451" t="s">
        <v>645</v>
      </c>
      <c r="B451" t="s">
        <v>224</v>
      </c>
      <c r="C451" t="s">
        <v>160</v>
      </c>
      <c r="D451" t="s">
        <v>7</v>
      </c>
      <c r="E451">
        <v>19</v>
      </c>
      <c r="F451">
        <v>6</v>
      </c>
      <c r="G451">
        <v>8</v>
      </c>
      <c r="H451">
        <v>6</v>
      </c>
      <c r="I451">
        <v>0</v>
      </c>
    </row>
    <row r="452" spans="1:9" x14ac:dyDescent="0.25">
      <c r="A452" t="s">
        <v>646</v>
      </c>
      <c r="B452" t="s">
        <v>242</v>
      </c>
      <c r="C452" t="s">
        <v>144</v>
      </c>
      <c r="D452" t="s">
        <v>4</v>
      </c>
      <c r="E452">
        <v>24</v>
      </c>
      <c r="F452">
        <v>0</v>
      </c>
      <c r="G452">
        <v>0</v>
      </c>
      <c r="H452">
        <v>3</v>
      </c>
      <c r="I452">
        <v>0</v>
      </c>
    </row>
    <row r="453" spans="1:9" x14ac:dyDescent="0.25">
      <c r="A453" t="s">
        <v>647</v>
      </c>
      <c r="B453" t="s">
        <v>179</v>
      </c>
      <c r="C453" t="s">
        <v>169</v>
      </c>
      <c r="D453" t="s">
        <v>18</v>
      </c>
      <c r="E453">
        <v>37</v>
      </c>
      <c r="F453">
        <v>10</v>
      </c>
      <c r="G453">
        <v>1</v>
      </c>
      <c r="H453">
        <v>2</v>
      </c>
      <c r="I453">
        <v>0</v>
      </c>
    </row>
    <row r="454" spans="1:9" x14ac:dyDescent="0.25">
      <c r="A454" t="s">
        <v>648</v>
      </c>
      <c r="B454" t="s">
        <v>152</v>
      </c>
      <c r="C454" t="s">
        <v>150</v>
      </c>
      <c r="D454" t="s">
        <v>8</v>
      </c>
      <c r="E454">
        <v>23</v>
      </c>
      <c r="F454">
        <v>3</v>
      </c>
      <c r="G454">
        <v>0</v>
      </c>
      <c r="H454">
        <v>2</v>
      </c>
      <c r="I454">
        <v>0</v>
      </c>
    </row>
    <row r="455" spans="1:9" x14ac:dyDescent="0.25">
      <c r="A455" t="s">
        <v>649</v>
      </c>
      <c r="B455" t="s">
        <v>152</v>
      </c>
      <c r="C455" t="s">
        <v>147</v>
      </c>
      <c r="D455" t="s">
        <v>20</v>
      </c>
      <c r="E455">
        <v>28</v>
      </c>
      <c r="F455">
        <v>2</v>
      </c>
      <c r="G455">
        <v>1</v>
      </c>
      <c r="H455">
        <v>4</v>
      </c>
      <c r="I455">
        <v>0</v>
      </c>
    </row>
    <row r="456" spans="1:9" x14ac:dyDescent="0.25">
      <c r="A456" t="s">
        <v>650</v>
      </c>
      <c r="B456" t="s">
        <v>152</v>
      </c>
      <c r="C456" t="s">
        <v>144</v>
      </c>
      <c r="D456" t="s">
        <v>18</v>
      </c>
      <c r="E456">
        <v>25</v>
      </c>
      <c r="F456">
        <v>0</v>
      </c>
      <c r="G456">
        <v>4</v>
      </c>
      <c r="H456">
        <v>5</v>
      </c>
      <c r="I456">
        <v>0</v>
      </c>
    </row>
    <row r="457" spans="1:9" x14ac:dyDescent="0.25">
      <c r="A457" t="s">
        <v>651</v>
      </c>
      <c r="B457" t="s">
        <v>224</v>
      </c>
      <c r="C457" t="s">
        <v>150</v>
      </c>
      <c r="D457" t="s">
        <v>19</v>
      </c>
      <c r="E457">
        <v>23</v>
      </c>
      <c r="F457">
        <v>3</v>
      </c>
      <c r="G457">
        <v>1</v>
      </c>
      <c r="H457">
        <v>2</v>
      </c>
      <c r="I457">
        <v>0</v>
      </c>
    </row>
    <row r="458" spans="1:9" x14ac:dyDescent="0.25">
      <c r="A458" t="s">
        <v>652</v>
      </c>
      <c r="B458" t="s">
        <v>653</v>
      </c>
      <c r="C458" t="s">
        <v>144</v>
      </c>
      <c r="D458" t="s">
        <v>14</v>
      </c>
      <c r="E458">
        <v>24</v>
      </c>
      <c r="F458">
        <v>0</v>
      </c>
      <c r="G458">
        <v>0</v>
      </c>
      <c r="H458">
        <v>1</v>
      </c>
      <c r="I458">
        <v>0</v>
      </c>
    </row>
    <row r="459" spans="1:9" x14ac:dyDescent="0.25">
      <c r="A459" t="s">
        <v>654</v>
      </c>
      <c r="B459" t="s">
        <v>655</v>
      </c>
      <c r="C459" t="s">
        <v>169</v>
      </c>
      <c r="D459" t="s">
        <v>4</v>
      </c>
      <c r="E459">
        <v>18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t="s">
        <v>656</v>
      </c>
      <c r="B460" t="s">
        <v>210</v>
      </c>
      <c r="C460" t="s">
        <v>144</v>
      </c>
      <c r="D460" t="s">
        <v>12</v>
      </c>
      <c r="E460">
        <v>26</v>
      </c>
      <c r="F460">
        <v>1</v>
      </c>
      <c r="G460">
        <v>3</v>
      </c>
      <c r="H460">
        <v>10</v>
      </c>
      <c r="I460">
        <v>0</v>
      </c>
    </row>
    <row r="461" spans="1:9" x14ac:dyDescent="0.25">
      <c r="A461" t="s">
        <v>657</v>
      </c>
      <c r="B461" t="s">
        <v>569</v>
      </c>
      <c r="C461" t="s">
        <v>147</v>
      </c>
      <c r="D461" t="s">
        <v>9</v>
      </c>
      <c r="E461">
        <v>29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 t="s">
        <v>658</v>
      </c>
      <c r="B462" t="s">
        <v>179</v>
      </c>
      <c r="C462" t="s">
        <v>147</v>
      </c>
      <c r="D462" t="s">
        <v>16</v>
      </c>
      <c r="E462">
        <v>27</v>
      </c>
      <c r="F462">
        <v>1</v>
      </c>
      <c r="G462">
        <v>0</v>
      </c>
      <c r="H462">
        <v>4</v>
      </c>
      <c r="I462">
        <v>0</v>
      </c>
    </row>
    <row r="463" spans="1:9" x14ac:dyDescent="0.25">
      <c r="A463" t="s">
        <v>659</v>
      </c>
      <c r="B463" t="s">
        <v>224</v>
      </c>
      <c r="C463" t="s">
        <v>144</v>
      </c>
      <c r="D463" t="s">
        <v>10</v>
      </c>
      <c r="E463">
        <v>24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 t="s">
        <v>660</v>
      </c>
      <c r="B464" t="s">
        <v>152</v>
      </c>
      <c r="C464" t="s">
        <v>189</v>
      </c>
      <c r="D464" t="s">
        <v>23</v>
      </c>
      <c r="E464">
        <v>29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 t="s">
        <v>661</v>
      </c>
      <c r="B465" t="s">
        <v>152</v>
      </c>
      <c r="C465" t="s">
        <v>189</v>
      </c>
      <c r="D465" t="s">
        <v>11</v>
      </c>
      <c r="E465">
        <v>31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 t="s">
        <v>662</v>
      </c>
      <c r="B466" t="s">
        <v>224</v>
      </c>
      <c r="C466" t="s">
        <v>147</v>
      </c>
      <c r="D466" t="s">
        <v>7</v>
      </c>
      <c r="E466">
        <v>21</v>
      </c>
      <c r="F466">
        <v>0</v>
      </c>
      <c r="G466">
        <v>3</v>
      </c>
      <c r="H466">
        <v>6</v>
      </c>
      <c r="I466">
        <v>0</v>
      </c>
    </row>
    <row r="467" spans="1:9" x14ac:dyDescent="0.25">
      <c r="A467" t="s">
        <v>663</v>
      </c>
      <c r="B467" t="s">
        <v>152</v>
      </c>
      <c r="C467" t="s">
        <v>147</v>
      </c>
      <c r="D467" t="s">
        <v>12</v>
      </c>
      <c r="E467">
        <v>27</v>
      </c>
      <c r="F467">
        <v>0</v>
      </c>
      <c r="G467">
        <v>0</v>
      </c>
      <c r="H467">
        <v>2</v>
      </c>
      <c r="I467">
        <v>0</v>
      </c>
    </row>
    <row r="468" spans="1:9" x14ac:dyDescent="0.25">
      <c r="A468" t="s">
        <v>664</v>
      </c>
      <c r="B468" t="s">
        <v>152</v>
      </c>
      <c r="C468" t="s">
        <v>150</v>
      </c>
      <c r="D468" t="s">
        <v>12</v>
      </c>
      <c r="E468">
        <v>29</v>
      </c>
      <c r="F468">
        <v>0</v>
      </c>
      <c r="G468">
        <v>0</v>
      </c>
      <c r="H468">
        <v>1</v>
      </c>
      <c r="I468">
        <v>0</v>
      </c>
    </row>
    <row r="469" spans="1:9" x14ac:dyDescent="0.25">
      <c r="A469" t="s">
        <v>665</v>
      </c>
      <c r="B469" t="s">
        <v>152</v>
      </c>
      <c r="C469" t="s">
        <v>256</v>
      </c>
      <c r="D469" t="s">
        <v>8</v>
      </c>
      <c r="E469">
        <v>26</v>
      </c>
      <c r="F469">
        <v>0</v>
      </c>
      <c r="G469">
        <v>3</v>
      </c>
      <c r="H469">
        <v>7</v>
      </c>
      <c r="I469">
        <v>0</v>
      </c>
    </row>
    <row r="470" spans="1:9" x14ac:dyDescent="0.25">
      <c r="A470" t="s">
        <v>666</v>
      </c>
      <c r="B470" t="s">
        <v>152</v>
      </c>
      <c r="C470" t="s">
        <v>150</v>
      </c>
      <c r="D470" t="s">
        <v>15</v>
      </c>
      <c r="E470">
        <v>23</v>
      </c>
      <c r="F470">
        <v>10</v>
      </c>
      <c r="G470">
        <v>1</v>
      </c>
      <c r="H470">
        <v>6</v>
      </c>
      <c r="I470">
        <v>0</v>
      </c>
    </row>
    <row r="471" spans="1:9" x14ac:dyDescent="0.25">
      <c r="A471" t="s">
        <v>667</v>
      </c>
      <c r="B471" t="s">
        <v>152</v>
      </c>
      <c r="C471" t="s">
        <v>147</v>
      </c>
      <c r="D471" t="s">
        <v>16</v>
      </c>
      <c r="E471">
        <v>25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 t="s">
        <v>668</v>
      </c>
      <c r="B472" t="s">
        <v>224</v>
      </c>
      <c r="C472" t="s">
        <v>150</v>
      </c>
      <c r="D472" t="s">
        <v>14</v>
      </c>
      <c r="E472">
        <v>23</v>
      </c>
      <c r="F472">
        <v>4</v>
      </c>
      <c r="G472">
        <v>2</v>
      </c>
      <c r="H472">
        <v>6</v>
      </c>
      <c r="I472">
        <v>1</v>
      </c>
    </row>
    <row r="473" spans="1:9" x14ac:dyDescent="0.25">
      <c r="A473" t="s">
        <v>669</v>
      </c>
      <c r="B473" t="s">
        <v>157</v>
      </c>
      <c r="C473" t="s">
        <v>147</v>
      </c>
      <c r="D473" t="s">
        <v>14</v>
      </c>
      <c r="E473">
        <v>24</v>
      </c>
      <c r="F473">
        <v>0</v>
      </c>
      <c r="G473">
        <v>0</v>
      </c>
      <c r="H473">
        <v>2</v>
      </c>
      <c r="I473">
        <v>0</v>
      </c>
    </row>
    <row r="474" spans="1:9" x14ac:dyDescent="0.25">
      <c r="A474" t="s">
        <v>670</v>
      </c>
      <c r="B474" t="s">
        <v>152</v>
      </c>
      <c r="C474" t="s">
        <v>150</v>
      </c>
      <c r="D474" t="s">
        <v>9</v>
      </c>
      <c r="E474">
        <v>25</v>
      </c>
      <c r="F474">
        <v>10</v>
      </c>
      <c r="G474">
        <v>1</v>
      </c>
      <c r="H474">
        <v>4</v>
      </c>
      <c r="I474">
        <v>0</v>
      </c>
    </row>
    <row r="475" spans="1:9" x14ac:dyDescent="0.25">
      <c r="A475" t="s">
        <v>671</v>
      </c>
      <c r="B475" t="s">
        <v>152</v>
      </c>
      <c r="C475" t="s">
        <v>144</v>
      </c>
      <c r="D475" t="s">
        <v>15</v>
      </c>
      <c r="E475">
        <v>19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 t="s">
        <v>672</v>
      </c>
      <c r="B476" t="s">
        <v>152</v>
      </c>
      <c r="C476" t="s">
        <v>147</v>
      </c>
      <c r="D476" t="s">
        <v>20</v>
      </c>
      <c r="E476">
        <v>19</v>
      </c>
      <c r="F476">
        <v>2</v>
      </c>
      <c r="G476">
        <v>1</v>
      </c>
      <c r="H476">
        <v>7</v>
      </c>
      <c r="I476">
        <v>0</v>
      </c>
    </row>
    <row r="477" spans="1:9" x14ac:dyDescent="0.25">
      <c r="A477" t="s">
        <v>673</v>
      </c>
      <c r="B477" t="s">
        <v>559</v>
      </c>
      <c r="C477" t="s">
        <v>169</v>
      </c>
      <c r="D477" t="s">
        <v>10</v>
      </c>
      <c r="E477">
        <v>19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t="s">
        <v>674</v>
      </c>
      <c r="B478" t="s">
        <v>152</v>
      </c>
      <c r="C478" t="s">
        <v>189</v>
      </c>
      <c r="D478" t="s">
        <v>12</v>
      </c>
      <c r="E478">
        <v>22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t="s">
        <v>675</v>
      </c>
      <c r="B479" t="s">
        <v>152</v>
      </c>
      <c r="C479" t="s">
        <v>147</v>
      </c>
      <c r="D479" t="s">
        <v>6</v>
      </c>
      <c r="E479">
        <v>25</v>
      </c>
      <c r="F479">
        <v>2</v>
      </c>
      <c r="G479">
        <v>2</v>
      </c>
      <c r="H479">
        <v>6</v>
      </c>
      <c r="I479">
        <v>2</v>
      </c>
    </row>
    <row r="480" spans="1:9" x14ac:dyDescent="0.25">
      <c r="A480" t="s">
        <v>676</v>
      </c>
      <c r="B480" t="s">
        <v>474</v>
      </c>
      <c r="C480" t="s">
        <v>150</v>
      </c>
      <c r="D480" t="s">
        <v>16</v>
      </c>
      <c r="E480">
        <v>29</v>
      </c>
      <c r="F480">
        <v>6</v>
      </c>
      <c r="G480">
        <v>0</v>
      </c>
      <c r="H480">
        <v>1</v>
      </c>
      <c r="I480">
        <v>0</v>
      </c>
    </row>
    <row r="481" spans="1:9" x14ac:dyDescent="0.25">
      <c r="A481" t="s">
        <v>677</v>
      </c>
      <c r="B481" t="s">
        <v>152</v>
      </c>
      <c r="C481" t="s">
        <v>169</v>
      </c>
      <c r="D481" t="s">
        <v>13</v>
      </c>
      <c r="E481">
        <v>30</v>
      </c>
      <c r="F481">
        <v>3</v>
      </c>
      <c r="G481">
        <v>4</v>
      </c>
      <c r="H481">
        <v>3</v>
      </c>
      <c r="I481">
        <v>0</v>
      </c>
    </row>
    <row r="482" spans="1:9" x14ac:dyDescent="0.25">
      <c r="A482" t="s">
        <v>678</v>
      </c>
      <c r="B482" t="s">
        <v>198</v>
      </c>
      <c r="C482" t="s">
        <v>144</v>
      </c>
      <c r="D482" t="s">
        <v>5</v>
      </c>
      <c r="E482">
        <v>26</v>
      </c>
      <c r="F482">
        <v>0</v>
      </c>
      <c r="G482">
        <v>0</v>
      </c>
      <c r="H482">
        <v>3</v>
      </c>
      <c r="I482">
        <v>1</v>
      </c>
    </row>
    <row r="483" spans="1:9" x14ac:dyDescent="0.25">
      <c r="A483" t="s">
        <v>679</v>
      </c>
      <c r="B483" t="s">
        <v>183</v>
      </c>
      <c r="C483" t="s">
        <v>144</v>
      </c>
      <c r="D483" t="s">
        <v>6</v>
      </c>
      <c r="E483">
        <v>27</v>
      </c>
      <c r="F483">
        <v>0</v>
      </c>
      <c r="G483">
        <v>0</v>
      </c>
      <c r="H483">
        <v>1</v>
      </c>
      <c r="I483">
        <v>0</v>
      </c>
    </row>
    <row r="484" spans="1:9" x14ac:dyDescent="0.25">
      <c r="A484" t="s">
        <v>679</v>
      </c>
      <c r="B484" t="s">
        <v>183</v>
      </c>
      <c r="C484" t="s">
        <v>144</v>
      </c>
      <c r="D484" t="s">
        <v>22</v>
      </c>
      <c r="E484">
        <v>27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 t="s">
        <v>680</v>
      </c>
      <c r="B485" t="s">
        <v>152</v>
      </c>
      <c r="C485" t="s">
        <v>147</v>
      </c>
      <c r="D485" t="s">
        <v>15</v>
      </c>
      <c r="E485">
        <v>20</v>
      </c>
      <c r="F485">
        <v>0</v>
      </c>
      <c r="G485">
        <v>0</v>
      </c>
      <c r="H485">
        <v>1</v>
      </c>
      <c r="I485">
        <v>0</v>
      </c>
    </row>
    <row r="486" spans="1:9" x14ac:dyDescent="0.25">
      <c r="A486" t="s">
        <v>681</v>
      </c>
      <c r="B486" t="s">
        <v>152</v>
      </c>
      <c r="C486" t="s">
        <v>189</v>
      </c>
      <c r="D486" t="s">
        <v>18</v>
      </c>
      <c r="E486">
        <v>30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 t="s">
        <v>682</v>
      </c>
      <c r="B487" t="s">
        <v>152</v>
      </c>
      <c r="C487" t="s">
        <v>150</v>
      </c>
      <c r="D487" t="s">
        <v>11</v>
      </c>
      <c r="E487">
        <v>18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 t="s">
        <v>683</v>
      </c>
      <c r="B488" t="s">
        <v>261</v>
      </c>
      <c r="C488" t="s">
        <v>169</v>
      </c>
      <c r="D488" t="s">
        <v>21</v>
      </c>
      <c r="E488">
        <v>25</v>
      </c>
      <c r="F488">
        <v>11</v>
      </c>
      <c r="G488">
        <v>9</v>
      </c>
      <c r="H488">
        <v>1</v>
      </c>
      <c r="I488">
        <v>0</v>
      </c>
    </row>
    <row r="489" spans="1:9" x14ac:dyDescent="0.25">
      <c r="A489" t="s">
        <v>684</v>
      </c>
      <c r="B489" t="s">
        <v>259</v>
      </c>
      <c r="C489" t="s">
        <v>189</v>
      </c>
      <c r="D489" t="s">
        <v>16</v>
      </c>
      <c r="E489">
        <v>27</v>
      </c>
      <c r="F489">
        <v>0</v>
      </c>
      <c r="G489">
        <v>0</v>
      </c>
      <c r="H489">
        <v>1</v>
      </c>
      <c r="I489">
        <v>0</v>
      </c>
    </row>
    <row r="490" spans="1:9" x14ac:dyDescent="0.25">
      <c r="A490" t="s">
        <v>685</v>
      </c>
      <c r="B490" t="s">
        <v>444</v>
      </c>
      <c r="C490" t="s">
        <v>147</v>
      </c>
      <c r="D490" t="s">
        <v>14</v>
      </c>
      <c r="E490">
        <v>25</v>
      </c>
      <c r="F490">
        <v>0</v>
      </c>
      <c r="G490">
        <v>0</v>
      </c>
      <c r="H490">
        <v>4</v>
      </c>
      <c r="I490">
        <v>0</v>
      </c>
    </row>
    <row r="491" spans="1:9" x14ac:dyDescent="0.25">
      <c r="A491" t="s">
        <v>686</v>
      </c>
      <c r="B491" t="s">
        <v>152</v>
      </c>
      <c r="C491" t="s">
        <v>389</v>
      </c>
      <c r="D491" t="s">
        <v>16</v>
      </c>
      <c r="E491">
        <v>20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 t="s">
        <v>687</v>
      </c>
      <c r="B492" t="s">
        <v>185</v>
      </c>
      <c r="C492" t="s">
        <v>147</v>
      </c>
      <c r="D492" t="s">
        <v>14</v>
      </c>
      <c r="E492">
        <v>28</v>
      </c>
      <c r="F492">
        <v>1</v>
      </c>
      <c r="G492">
        <v>1</v>
      </c>
      <c r="H492">
        <v>4</v>
      </c>
      <c r="I492">
        <v>0</v>
      </c>
    </row>
    <row r="493" spans="1:9" x14ac:dyDescent="0.25">
      <c r="A493" t="s">
        <v>688</v>
      </c>
      <c r="B493" t="s">
        <v>152</v>
      </c>
      <c r="C493" t="s">
        <v>144</v>
      </c>
      <c r="D493" t="s">
        <v>5</v>
      </c>
      <c r="E493">
        <v>25</v>
      </c>
      <c r="F493">
        <v>1</v>
      </c>
      <c r="G493">
        <v>3</v>
      </c>
      <c r="H493">
        <v>7</v>
      </c>
      <c r="I493">
        <v>0</v>
      </c>
    </row>
    <row r="494" spans="1:9" x14ac:dyDescent="0.25">
      <c r="A494" t="s">
        <v>689</v>
      </c>
      <c r="B494" t="s">
        <v>152</v>
      </c>
      <c r="C494" t="s">
        <v>169</v>
      </c>
      <c r="D494" t="s">
        <v>13</v>
      </c>
      <c r="E494">
        <v>24</v>
      </c>
      <c r="F494">
        <v>6</v>
      </c>
      <c r="G494">
        <v>1</v>
      </c>
      <c r="H494">
        <v>1</v>
      </c>
      <c r="I494">
        <v>0</v>
      </c>
    </row>
    <row r="495" spans="1:9" x14ac:dyDescent="0.25">
      <c r="A495" t="s">
        <v>690</v>
      </c>
      <c r="B495" t="s">
        <v>152</v>
      </c>
      <c r="C495" t="s">
        <v>189</v>
      </c>
      <c r="D495" t="s">
        <v>6</v>
      </c>
      <c r="E495">
        <v>24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t="s">
        <v>691</v>
      </c>
      <c r="B496" t="s">
        <v>198</v>
      </c>
      <c r="C496" t="s">
        <v>169</v>
      </c>
      <c r="D496" t="s">
        <v>14</v>
      </c>
      <c r="E496">
        <v>30</v>
      </c>
      <c r="F496">
        <v>1</v>
      </c>
      <c r="G496">
        <v>0</v>
      </c>
      <c r="H496">
        <v>3</v>
      </c>
      <c r="I496">
        <v>2</v>
      </c>
    </row>
    <row r="497" spans="1:9" x14ac:dyDescent="0.25">
      <c r="A497" t="s">
        <v>692</v>
      </c>
      <c r="B497" t="s">
        <v>200</v>
      </c>
      <c r="C497" t="s">
        <v>147</v>
      </c>
      <c r="D497" t="s">
        <v>21</v>
      </c>
      <c r="E497">
        <v>26</v>
      </c>
      <c r="F497">
        <v>10</v>
      </c>
      <c r="G497">
        <v>4</v>
      </c>
      <c r="H497">
        <v>2</v>
      </c>
      <c r="I497">
        <v>1</v>
      </c>
    </row>
    <row r="498" spans="1:9" x14ac:dyDescent="0.25">
      <c r="A498" t="s">
        <v>693</v>
      </c>
      <c r="B498" t="s">
        <v>179</v>
      </c>
      <c r="C498" t="s">
        <v>189</v>
      </c>
      <c r="D498" t="s">
        <v>7</v>
      </c>
      <c r="E498">
        <v>41</v>
      </c>
      <c r="F498">
        <v>0</v>
      </c>
      <c r="G498">
        <v>0</v>
      </c>
      <c r="H498">
        <v>0</v>
      </c>
      <c r="I498">
        <v>1</v>
      </c>
    </row>
    <row r="499" spans="1:9" x14ac:dyDescent="0.25">
      <c r="A499" t="s">
        <v>694</v>
      </c>
      <c r="B499" t="s">
        <v>200</v>
      </c>
      <c r="C499" t="s">
        <v>144</v>
      </c>
      <c r="D499" t="s">
        <v>20</v>
      </c>
      <c r="E499">
        <v>21</v>
      </c>
      <c r="F499">
        <v>0</v>
      </c>
      <c r="G499">
        <v>1</v>
      </c>
      <c r="H499">
        <v>0</v>
      </c>
      <c r="I499">
        <v>0</v>
      </c>
    </row>
    <row r="500" spans="1:9" x14ac:dyDescent="0.25">
      <c r="A500" t="s">
        <v>695</v>
      </c>
      <c r="B500" t="s">
        <v>152</v>
      </c>
      <c r="C500" t="s">
        <v>150</v>
      </c>
      <c r="D500" t="s">
        <v>22</v>
      </c>
      <c r="E500">
        <v>25</v>
      </c>
      <c r="F500">
        <v>25</v>
      </c>
      <c r="G500">
        <v>8</v>
      </c>
      <c r="H500">
        <v>3</v>
      </c>
      <c r="I500">
        <v>0</v>
      </c>
    </row>
    <row r="501" spans="1:9" x14ac:dyDescent="0.25">
      <c r="A501" t="s">
        <v>696</v>
      </c>
      <c r="B501" t="s">
        <v>152</v>
      </c>
      <c r="C501" t="s">
        <v>147</v>
      </c>
      <c r="D501" t="s">
        <v>4</v>
      </c>
      <c r="E501">
        <v>22</v>
      </c>
      <c r="F501">
        <v>1</v>
      </c>
      <c r="G501">
        <v>1</v>
      </c>
      <c r="H501">
        <v>8</v>
      </c>
      <c r="I501">
        <v>1</v>
      </c>
    </row>
    <row r="502" spans="1:9" x14ac:dyDescent="0.25">
      <c r="A502" t="s">
        <v>697</v>
      </c>
      <c r="B502" t="s">
        <v>177</v>
      </c>
      <c r="C502" t="s">
        <v>147</v>
      </c>
      <c r="D502" t="s">
        <v>5</v>
      </c>
      <c r="E502">
        <v>22</v>
      </c>
      <c r="F502">
        <v>1</v>
      </c>
      <c r="G502">
        <v>1</v>
      </c>
      <c r="H502">
        <v>6</v>
      </c>
      <c r="I502">
        <v>0</v>
      </c>
    </row>
    <row r="503" spans="1:9" x14ac:dyDescent="0.25">
      <c r="A503" t="s">
        <v>698</v>
      </c>
      <c r="B503" t="s">
        <v>179</v>
      </c>
      <c r="C503" t="s">
        <v>147</v>
      </c>
      <c r="D503" t="s">
        <v>7</v>
      </c>
      <c r="E503">
        <v>32</v>
      </c>
      <c r="F503">
        <v>0</v>
      </c>
      <c r="G503">
        <v>1</v>
      </c>
      <c r="H503">
        <v>4</v>
      </c>
      <c r="I503">
        <v>0</v>
      </c>
    </row>
    <row r="504" spans="1:9" x14ac:dyDescent="0.25">
      <c r="A504" t="s">
        <v>699</v>
      </c>
      <c r="B504" t="s">
        <v>152</v>
      </c>
      <c r="C504" t="s">
        <v>144</v>
      </c>
      <c r="D504" t="s">
        <v>18</v>
      </c>
      <c r="E504">
        <v>29</v>
      </c>
      <c r="F504">
        <v>2</v>
      </c>
      <c r="G504">
        <v>0</v>
      </c>
      <c r="H504">
        <v>4</v>
      </c>
      <c r="I504">
        <v>2</v>
      </c>
    </row>
    <row r="505" spans="1:9" x14ac:dyDescent="0.25">
      <c r="A505" t="s">
        <v>700</v>
      </c>
      <c r="B505" t="s">
        <v>200</v>
      </c>
      <c r="C505" t="s">
        <v>265</v>
      </c>
      <c r="D505" t="s">
        <v>22</v>
      </c>
      <c r="E505">
        <v>33</v>
      </c>
      <c r="F505">
        <v>4</v>
      </c>
      <c r="G505">
        <v>4</v>
      </c>
      <c r="H505">
        <v>5</v>
      </c>
      <c r="I505">
        <v>0</v>
      </c>
    </row>
    <row r="506" spans="1:9" x14ac:dyDescent="0.25">
      <c r="A506" t="s">
        <v>701</v>
      </c>
      <c r="B506" t="s">
        <v>174</v>
      </c>
      <c r="C506" t="s">
        <v>144</v>
      </c>
      <c r="D506" t="s">
        <v>11</v>
      </c>
      <c r="E506">
        <v>20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 t="s">
        <v>702</v>
      </c>
      <c r="B507" t="s">
        <v>152</v>
      </c>
      <c r="C507" t="s">
        <v>147</v>
      </c>
      <c r="D507" t="s">
        <v>18</v>
      </c>
      <c r="E507">
        <v>22</v>
      </c>
      <c r="F507">
        <v>0</v>
      </c>
      <c r="G507">
        <v>3</v>
      </c>
      <c r="H507">
        <v>13</v>
      </c>
      <c r="I507">
        <v>0</v>
      </c>
    </row>
    <row r="508" spans="1:9" x14ac:dyDescent="0.25">
      <c r="A508" t="s">
        <v>703</v>
      </c>
      <c r="B508" t="s">
        <v>704</v>
      </c>
      <c r="C508" t="s">
        <v>144</v>
      </c>
      <c r="D508" t="s">
        <v>13</v>
      </c>
      <c r="E508">
        <v>30</v>
      </c>
      <c r="F508">
        <v>1</v>
      </c>
      <c r="G508">
        <v>3</v>
      </c>
      <c r="H508">
        <v>2</v>
      </c>
      <c r="I508">
        <v>0</v>
      </c>
    </row>
    <row r="509" spans="1:9" x14ac:dyDescent="0.25">
      <c r="A509" t="s">
        <v>705</v>
      </c>
      <c r="B509" t="s">
        <v>152</v>
      </c>
      <c r="C509" t="s">
        <v>147</v>
      </c>
      <c r="D509" t="s">
        <v>5</v>
      </c>
      <c r="E509">
        <v>17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t="s">
        <v>706</v>
      </c>
      <c r="B510" t="s">
        <v>152</v>
      </c>
      <c r="C510" t="s">
        <v>144</v>
      </c>
      <c r="D510" t="s">
        <v>22</v>
      </c>
      <c r="E510">
        <v>22</v>
      </c>
      <c r="F510">
        <v>0</v>
      </c>
      <c r="G510">
        <v>3</v>
      </c>
      <c r="H510">
        <v>2</v>
      </c>
      <c r="I510">
        <v>0</v>
      </c>
    </row>
    <row r="511" spans="1:9" x14ac:dyDescent="0.25">
      <c r="A511" t="s">
        <v>707</v>
      </c>
      <c r="B511" t="s">
        <v>152</v>
      </c>
      <c r="C511" t="s">
        <v>144</v>
      </c>
      <c r="D511" t="s">
        <v>9</v>
      </c>
      <c r="E511">
        <v>31</v>
      </c>
      <c r="F511">
        <v>0</v>
      </c>
      <c r="G511">
        <v>2</v>
      </c>
      <c r="H511">
        <v>3</v>
      </c>
      <c r="I511">
        <v>0</v>
      </c>
    </row>
    <row r="512" spans="1:9" x14ac:dyDescent="0.25">
      <c r="A512" t="s">
        <v>708</v>
      </c>
      <c r="B512" t="s">
        <v>339</v>
      </c>
      <c r="C512" t="s">
        <v>256</v>
      </c>
      <c r="D512" t="s">
        <v>20</v>
      </c>
      <c r="E512">
        <v>25</v>
      </c>
      <c r="F512">
        <v>7</v>
      </c>
      <c r="G512">
        <v>3</v>
      </c>
      <c r="H512">
        <v>4</v>
      </c>
      <c r="I512">
        <v>0</v>
      </c>
    </row>
    <row r="513" spans="1:9" x14ac:dyDescent="0.25">
      <c r="A513" t="s">
        <v>708</v>
      </c>
      <c r="B513" t="s">
        <v>339</v>
      </c>
      <c r="C513" t="s">
        <v>256</v>
      </c>
      <c r="D513" t="s">
        <v>21</v>
      </c>
      <c r="E513">
        <v>25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t="s">
        <v>709</v>
      </c>
      <c r="B514" t="s">
        <v>339</v>
      </c>
      <c r="C514" t="s">
        <v>144</v>
      </c>
      <c r="D514" t="s">
        <v>16</v>
      </c>
      <c r="E514">
        <v>20</v>
      </c>
      <c r="F514">
        <v>0</v>
      </c>
      <c r="G514">
        <v>0</v>
      </c>
      <c r="H514">
        <v>1</v>
      </c>
      <c r="I514">
        <v>0</v>
      </c>
    </row>
    <row r="515" spans="1:9" x14ac:dyDescent="0.25">
      <c r="A515" t="s">
        <v>710</v>
      </c>
      <c r="B515" t="s">
        <v>152</v>
      </c>
      <c r="C515" t="s">
        <v>144</v>
      </c>
      <c r="D515" t="s">
        <v>7</v>
      </c>
      <c r="E515">
        <v>25</v>
      </c>
      <c r="F515">
        <v>0</v>
      </c>
      <c r="G515">
        <v>0</v>
      </c>
      <c r="H515">
        <v>3</v>
      </c>
      <c r="I515">
        <v>0</v>
      </c>
    </row>
    <row r="516" spans="1:9" x14ac:dyDescent="0.25">
      <c r="A516" t="s">
        <v>710</v>
      </c>
      <c r="B516" t="s">
        <v>152</v>
      </c>
      <c r="C516" t="s">
        <v>144</v>
      </c>
      <c r="D516" t="s">
        <v>14</v>
      </c>
      <c r="E516">
        <v>25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t="s">
        <v>711</v>
      </c>
      <c r="B517" t="s">
        <v>200</v>
      </c>
      <c r="C517" t="s">
        <v>144</v>
      </c>
      <c r="D517" t="s">
        <v>20</v>
      </c>
      <c r="E517">
        <v>22</v>
      </c>
      <c r="F517">
        <v>0</v>
      </c>
      <c r="G517">
        <v>1</v>
      </c>
      <c r="H517">
        <v>0</v>
      </c>
      <c r="I517">
        <v>0</v>
      </c>
    </row>
    <row r="518" spans="1:9" x14ac:dyDescent="0.25">
      <c r="A518" t="s">
        <v>712</v>
      </c>
      <c r="B518" t="s">
        <v>460</v>
      </c>
      <c r="C518" t="s">
        <v>147</v>
      </c>
      <c r="D518" t="s">
        <v>22</v>
      </c>
      <c r="E518">
        <v>22</v>
      </c>
      <c r="F518">
        <v>2</v>
      </c>
      <c r="G518">
        <v>1</v>
      </c>
      <c r="H518">
        <v>3</v>
      </c>
      <c r="I518">
        <v>0</v>
      </c>
    </row>
    <row r="519" spans="1:9" x14ac:dyDescent="0.25">
      <c r="A519" t="s">
        <v>713</v>
      </c>
      <c r="B519" t="s">
        <v>157</v>
      </c>
      <c r="C519" t="s">
        <v>256</v>
      </c>
      <c r="D519" t="s">
        <v>8</v>
      </c>
      <c r="E519">
        <v>27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t="s">
        <v>714</v>
      </c>
      <c r="B520" t="s">
        <v>715</v>
      </c>
      <c r="C520" t="s">
        <v>150</v>
      </c>
      <c r="D520" t="s">
        <v>4</v>
      </c>
      <c r="E520">
        <v>28</v>
      </c>
      <c r="F520">
        <v>2</v>
      </c>
      <c r="G520">
        <v>1</v>
      </c>
      <c r="H520">
        <v>2</v>
      </c>
      <c r="I520">
        <v>0</v>
      </c>
    </row>
    <row r="521" spans="1:9" x14ac:dyDescent="0.25">
      <c r="A521" t="s">
        <v>716</v>
      </c>
      <c r="B521" t="s">
        <v>559</v>
      </c>
      <c r="C521" t="s">
        <v>150</v>
      </c>
      <c r="D521" t="s">
        <v>10</v>
      </c>
      <c r="E521">
        <v>35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 t="s">
        <v>717</v>
      </c>
      <c r="B522" t="s">
        <v>152</v>
      </c>
      <c r="C522" t="s">
        <v>160</v>
      </c>
      <c r="D522" t="s">
        <v>14</v>
      </c>
      <c r="E522">
        <v>32</v>
      </c>
      <c r="F522">
        <v>0</v>
      </c>
      <c r="G522">
        <v>0</v>
      </c>
      <c r="H522">
        <v>1</v>
      </c>
      <c r="I522">
        <v>0</v>
      </c>
    </row>
    <row r="523" spans="1:9" x14ac:dyDescent="0.25">
      <c r="A523" t="s">
        <v>718</v>
      </c>
      <c r="B523" t="s">
        <v>174</v>
      </c>
      <c r="C523" t="s">
        <v>150</v>
      </c>
      <c r="D523" t="s">
        <v>23</v>
      </c>
      <c r="E523">
        <v>23</v>
      </c>
      <c r="F523">
        <v>4</v>
      </c>
      <c r="G523">
        <v>1</v>
      </c>
      <c r="H523">
        <v>1</v>
      </c>
      <c r="I523">
        <v>0</v>
      </c>
    </row>
    <row r="524" spans="1:9" x14ac:dyDescent="0.25">
      <c r="A524" t="s">
        <v>719</v>
      </c>
      <c r="B524" t="s">
        <v>259</v>
      </c>
      <c r="C524" t="s">
        <v>189</v>
      </c>
      <c r="D524" t="s">
        <v>10</v>
      </c>
      <c r="E524">
        <v>22</v>
      </c>
      <c r="F524">
        <v>0</v>
      </c>
      <c r="G524">
        <v>0</v>
      </c>
      <c r="H524">
        <v>1</v>
      </c>
      <c r="I524">
        <v>0</v>
      </c>
    </row>
    <row r="525" spans="1:9" x14ac:dyDescent="0.25">
      <c r="A525" t="s">
        <v>720</v>
      </c>
      <c r="B525" t="s">
        <v>152</v>
      </c>
      <c r="C525" t="s">
        <v>144</v>
      </c>
      <c r="D525" t="s">
        <v>11</v>
      </c>
      <c r="E525">
        <v>21</v>
      </c>
      <c r="F525">
        <v>2</v>
      </c>
      <c r="G525">
        <v>1</v>
      </c>
      <c r="H525">
        <v>5</v>
      </c>
      <c r="I525">
        <v>0</v>
      </c>
    </row>
    <row r="526" spans="1:9" x14ac:dyDescent="0.25">
      <c r="A526" t="s">
        <v>721</v>
      </c>
      <c r="B526" t="s">
        <v>428</v>
      </c>
      <c r="C526" t="s">
        <v>144</v>
      </c>
      <c r="D526" t="s">
        <v>4</v>
      </c>
      <c r="E526">
        <v>22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 t="s">
        <v>722</v>
      </c>
      <c r="B527" t="s">
        <v>152</v>
      </c>
      <c r="C527" t="s">
        <v>144</v>
      </c>
      <c r="D527" t="s">
        <v>22</v>
      </c>
      <c r="E527">
        <v>20</v>
      </c>
      <c r="F527">
        <v>0</v>
      </c>
      <c r="G527">
        <v>0</v>
      </c>
      <c r="H527">
        <v>2</v>
      </c>
      <c r="I527">
        <v>0</v>
      </c>
    </row>
    <row r="528" spans="1:9" x14ac:dyDescent="0.25">
      <c r="A528" t="s">
        <v>723</v>
      </c>
      <c r="B528" t="s">
        <v>152</v>
      </c>
      <c r="C528" t="s">
        <v>150</v>
      </c>
      <c r="D528" t="s">
        <v>22</v>
      </c>
      <c r="E528">
        <v>25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 t="s">
        <v>724</v>
      </c>
      <c r="B529" t="s">
        <v>339</v>
      </c>
      <c r="C529" t="s">
        <v>144</v>
      </c>
      <c r="D529" t="s">
        <v>16</v>
      </c>
      <c r="E529">
        <v>21</v>
      </c>
      <c r="F529">
        <v>0</v>
      </c>
      <c r="G529">
        <v>0</v>
      </c>
      <c r="H529">
        <v>2</v>
      </c>
      <c r="I529">
        <v>0</v>
      </c>
    </row>
    <row r="530" spans="1:9" x14ac:dyDescent="0.25">
      <c r="A530" t="s">
        <v>725</v>
      </c>
      <c r="B530" t="s">
        <v>152</v>
      </c>
      <c r="C530" t="s">
        <v>189</v>
      </c>
      <c r="D530" t="s">
        <v>15</v>
      </c>
      <c r="E530">
        <v>28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 t="s">
        <v>725</v>
      </c>
      <c r="B531" t="s">
        <v>152</v>
      </c>
      <c r="C531" t="s">
        <v>189</v>
      </c>
      <c r="D531" t="s">
        <v>13</v>
      </c>
      <c r="E531">
        <v>28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 t="s">
        <v>726</v>
      </c>
      <c r="B532" t="s">
        <v>152</v>
      </c>
      <c r="C532" t="s">
        <v>189</v>
      </c>
      <c r="D532" t="s">
        <v>8</v>
      </c>
      <c r="E532">
        <v>19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t="s">
        <v>727</v>
      </c>
      <c r="B533" t="s">
        <v>152</v>
      </c>
      <c r="C533" t="s">
        <v>147</v>
      </c>
      <c r="D533" t="s">
        <v>12</v>
      </c>
      <c r="E533">
        <v>28</v>
      </c>
      <c r="F533">
        <v>1</v>
      </c>
      <c r="G533">
        <v>0</v>
      </c>
      <c r="H533">
        <v>0</v>
      </c>
      <c r="I533">
        <v>0</v>
      </c>
    </row>
    <row r="534" spans="1:9" x14ac:dyDescent="0.25">
      <c r="A534" t="s">
        <v>728</v>
      </c>
      <c r="B534" t="s">
        <v>171</v>
      </c>
      <c r="C534" t="s">
        <v>147</v>
      </c>
      <c r="D534" t="s">
        <v>23</v>
      </c>
      <c r="E534">
        <v>27</v>
      </c>
      <c r="F534">
        <v>2</v>
      </c>
      <c r="G534">
        <v>1</v>
      </c>
      <c r="H534">
        <v>4</v>
      </c>
      <c r="I534">
        <v>1</v>
      </c>
    </row>
    <row r="535" spans="1:9" x14ac:dyDescent="0.25">
      <c r="A535" t="s">
        <v>729</v>
      </c>
      <c r="B535" t="s">
        <v>152</v>
      </c>
      <c r="C535" t="s">
        <v>141</v>
      </c>
      <c r="D535" t="s">
        <v>20</v>
      </c>
      <c r="E535">
        <v>31</v>
      </c>
      <c r="F535">
        <v>3</v>
      </c>
      <c r="G535">
        <v>4</v>
      </c>
      <c r="H535">
        <v>2</v>
      </c>
      <c r="I535">
        <v>0</v>
      </c>
    </row>
    <row r="536" spans="1:9" x14ac:dyDescent="0.25">
      <c r="A536" t="s">
        <v>730</v>
      </c>
      <c r="B536" t="s">
        <v>185</v>
      </c>
      <c r="C536" t="s">
        <v>189</v>
      </c>
      <c r="D536" t="s">
        <v>15</v>
      </c>
      <c r="E536">
        <v>26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t="s">
        <v>731</v>
      </c>
      <c r="B537" t="s">
        <v>732</v>
      </c>
      <c r="C537" t="s">
        <v>169</v>
      </c>
      <c r="D537" t="s">
        <v>20</v>
      </c>
      <c r="E537">
        <v>29</v>
      </c>
      <c r="F537">
        <v>4</v>
      </c>
      <c r="G537">
        <v>4</v>
      </c>
      <c r="H537">
        <v>1</v>
      </c>
      <c r="I537">
        <v>0</v>
      </c>
    </row>
    <row r="538" spans="1:9" x14ac:dyDescent="0.25">
      <c r="A538" t="s">
        <v>733</v>
      </c>
      <c r="B538" t="s">
        <v>162</v>
      </c>
      <c r="C538" t="s">
        <v>189</v>
      </c>
      <c r="D538" t="s">
        <v>9</v>
      </c>
      <c r="E538">
        <v>32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t="s">
        <v>734</v>
      </c>
      <c r="B539" t="s">
        <v>152</v>
      </c>
      <c r="C539" t="s">
        <v>189</v>
      </c>
      <c r="D539" t="s">
        <v>8</v>
      </c>
      <c r="E539">
        <v>33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t="s">
        <v>735</v>
      </c>
      <c r="B540" t="s">
        <v>224</v>
      </c>
      <c r="C540" t="s">
        <v>150</v>
      </c>
      <c r="D540" t="s">
        <v>13</v>
      </c>
      <c r="E540">
        <v>29</v>
      </c>
      <c r="F540">
        <v>1</v>
      </c>
      <c r="G540">
        <v>1</v>
      </c>
      <c r="H540">
        <v>1</v>
      </c>
      <c r="I540">
        <v>0</v>
      </c>
    </row>
    <row r="541" spans="1:9" x14ac:dyDescent="0.25">
      <c r="A541" t="s">
        <v>736</v>
      </c>
      <c r="B541" t="s">
        <v>226</v>
      </c>
      <c r="C541" t="s">
        <v>189</v>
      </c>
      <c r="D541" t="s">
        <v>6</v>
      </c>
      <c r="E541">
        <v>33</v>
      </c>
      <c r="F541">
        <v>0</v>
      </c>
      <c r="G541">
        <v>0</v>
      </c>
      <c r="H541">
        <v>1</v>
      </c>
      <c r="I541">
        <v>0</v>
      </c>
    </row>
    <row r="542" spans="1:9" x14ac:dyDescent="0.25">
      <c r="A542" t="s">
        <v>737</v>
      </c>
      <c r="B542" t="s">
        <v>198</v>
      </c>
      <c r="C542" t="s">
        <v>144</v>
      </c>
      <c r="D542" t="s">
        <v>7</v>
      </c>
      <c r="E542">
        <v>23</v>
      </c>
      <c r="F542">
        <v>0</v>
      </c>
      <c r="G542">
        <v>0</v>
      </c>
      <c r="H542">
        <v>2</v>
      </c>
      <c r="I542">
        <v>0</v>
      </c>
    </row>
    <row r="543" spans="1:9" x14ac:dyDescent="0.25">
      <c r="A543" t="s">
        <v>738</v>
      </c>
      <c r="B543" t="s">
        <v>162</v>
      </c>
      <c r="C543" t="s">
        <v>147</v>
      </c>
      <c r="D543" t="s">
        <v>19</v>
      </c>
      <c r="E543">
        <v>23</v>
      </c>
      <c r="F543">
        <v>4</v>
      </c>
      <c r="G543">
        <v>0</v>
      </c>
      <c r="H543">
        <v>6</v>
      </c>
      <c r="I543">
        <v>0</v>
      </c>
    </row>
    <row r="544" spans="1:9" x14ac:dyDescent="0.25">
      <c r="A544" t="s">
        <v>739</v>
      </c>
      <c r="B544" t="s">
        <v>242</v>
      </c>
      <c r="C544" t="s">
        <v>160</v>
      </c>
      <c r="D544" t="s">
        <v>8</v>
      </c>
      <c r="E544">
        <v>25</v>
      </c>
      <c r="F544">
        <v>0</v>
      </c>
      <c r="G544">
        <v>0</v>
      </c>
      <c r="H544">
        <v>2</v>
      </c>
      <c r="I544">
        <v>0</v>
      </c>
    </row>
    <row r="545" spans="1:9" x14ac:dyDescent="0.25">
      <c r="A545" t="s">
        <v>740</v>
      </c>
      <c r="B545" t="s">
        <v>157</v>
      </c>
      <c r="C545" t="s">
        <v>144</v>
      </c>
      <c r="D545" t="s">
        <v>10</v>
      </c>
      <c r="E545">
        <v>24</v>
      </c>
      <c r="F545">
        <v>1</v>
      </c>
      <c r="G545">
        <v>2</v>
      </c>
      <c r="H545">
        <v>3</v>
      </c>
      <c r="I545">
        <v>1</v>
      </c>
    </row>
    <row r="546" spans="1:9" x14ac:dyDescent="0.25">
      <c r="A546" t="s">
        <v>741</v>
      </c>
      <c r="B546" t="s">
        <v>152</v>
      </c>
      <c r="C546" t="s">
        <v>189</v>
      </c>
      <c r="D546" t="s">
        <v>9</v>
      </c>
      <c r="E546">
        <v>27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742</v>
      </c>
      <c r="B547" t="s">
        <v>162</v>
      </c>
      <c r="C547" t="s">
        <v>189</v>
      </c>
      <c r="D547" t="s">
        <v>17</v>
      </c>
      <c r="E547">
        <v>35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t="s">
        <v>743</v>
      </c>
      <c r="B548" t="s">
        <v>198</v>
      </c>
      <c r="C548" t="s">
        <v>144</v>
      </c>
      <c r="D548" t="s">
        <v>4</v>
      </c>
      <c r="E548">
        <v>26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 t="s">
        <v>744</v>
      </c>
      <c r="B549" t="s">
        <v>152</v>
      </c>
      <c r="C549" t="s">
        <v>169</v>
      </c>
      <c r="D549" t="s">
        <v>5</v>
      </c>
      <c r="E549">
        <v>25</v>
      </c>
      <c r="F549">
        <v>1</v>
      </c>
      <c r="G549">
        <v>1</v>
      </c>
      <c r="H549">
        <v>1</v>
      </c>
      <c r="I549">
        <v>0</v>
      </c>
    </row>
    <row r="550" spans="1:9" x14ac:dyDescent="0.25">
      <c r="A550" t="s">
        <v>744</v>
      </c>
      <c r="B550" t="s">
        <v>152</v>
      </c>
      <c r="C550" t="s">
        <v>169</v>
      </c>
      <c r="D550" t="s">
        <v>21</v>
      </c>
      <c r="E550">
        <v>25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 t="s">
        <v>745</v>
      </c>
      <c r="B551" t="s">
        <v>224</v>
      </c>
      <c r="C551" t="s">
        <v>265</v>
      </c>
      <c r="D551" t="s">
        <v>20</v>
      </c>
      <c r="E551">
        <v>21</v>
      </c>
      <c r="F551">
        <v>5</v>
      </c>
      <c r="G551">
        <v>5</v>
      </c>
      <c r="H551">
        <v>3</v>
      </c>
      <c r="I551">
        <v>0</v>
      </c>
    </row>
    <row r="552" spans="1:9" x14ac:dyDescent="0.25">
      <c r="A552" t="s">
        <v>746</v>
      </c>
      <c r="B552" t="s">
        <v>152</v>
      </c>
      <c r="C552" t="s">
        <v>256</v>
      </c>
      <c r="D552" t="s">
        <v>13</v>
      </c>
      <c r="E552">
        <v>31</v>
      </c>
      <c r="F552">
        <v>1</v>
      </c>
      <c r="G552">
        <v>1</v>
      </c>
      <c r="H552">
        <v>1</v>
      </c>
      <c r="I552">
        <v>0</v>
      </c>
    </row>
    <row r="553" spans="1:9" x14ac:dyDescent="0.25">
      <c r="A553" t="s">
        <v>747</v>
      </c>
      <c r="B553" t="s">
        <v>152</v>
      </c>
      <c r="C553" t="s">
        <v>189</v>
      </c>
      <c r="D553" t="s">
        <v>21</v>
      </c>
      <c r="E553">
        <v>32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 t="s">
        <v>748</v>
      </c>
      <c r="B554" t="s">
        <v>460</v>
      </c>
      <c r="C554" t="s">
        <v>189</v>
      </c>
      <c r="D554" t="s">
        <v>16</v>
      </c>
      <c r="E554">
        <v>22</v>
      </c>
      <c r="F554">
        <v>0</v>
      </c>
      <c r="G554">
        <v>0</v>
      </c>
      <c r="H554">
        <v>1</v>
      </c>
      <c r="I554">
        <v>0</v>
      </c>
    </row>
    <row r="555" spans="1:9" x14ac:dyDescent="0.25">
      <c r="A555" t="s">
        <v>749</v>
      </c>
      <c r="B555" t="s">
        <v>235</v>
      </c>
      <c r="C555" t="s">
        <v>147</v>
      </c>
      <c r="D555" t="s">
        <v>8</v>
      </c>
      <c r="E555">
        <v>28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t="s">
        <v>750</v>
      </c>
      <c r="B556" t="s">
        <v>192</v>
      </c>
      <c r="C556" t="s">
        <v>169</v>
      </c>
      <c r="D556" t="s">
        <v>7</v>
      </c>
      <c r="E556">
        <v>27</v>
      </c>
      <c r="F556">
        <v>6</v>
      </c>
      <c r="G556">
        <v>4</v>
      </c>
      <c r="H556">
        <v>5</v>
      </c>
      <c r="I556">
        <v>0</v>
      </c>
    </row>
    <row r="557" spans="1:9" x14ac:dyDescent="0.25">
      <c r="A557" t="s">
        <v>751</v>
      </c>
      <c r="B557" t="s">
        <v>366</v>
      </c>
      <c r="C557" t="s">
        <v>147</v>
      </c>
      <c r="D557" t="s">
        <v>22</v>
      </c>
      <c r="E557">
        <v>21</v>
      </c>
      <c r="F557">
        <v>2</v>
      </c>
      <c r="G557">
        <v>0</v>
      </c>
      <c r="H557">
        <v>1</v>
      </c>
      <c r="I557">
        <v>0</v>
      </c>
    </row>
    <row r="558" spans="1:9" x14ac:dyDescent="0.25">
      <c r="A558" t="s">
        <v>752</v>
      </c>
      <c r="B558" t="s">
        <v>363</v>
      </c>
      <c r="C558" t="s">
        <v>160</v>
      </c>
      <c r="D558" t="s">
        <v>23</v>
      </c>
      <c r="E558">
        <v>22</v>
      </c>
      <c r="F558">
        <v>0</v>
      </c>
      <c r="G558">
        <v>1</v>
      </c>
      <c r="H558">
        <v>7</v>
      </c>
      <c r="I558">
        <v>1</v>
      </c>
    </row>
    <row r="559" spans="1:9" x14ac:dyDescent="0.25">
      <c r="A559" t="s">
        <v>753</v>
      </c>
      <c r="B559" t="s">
        <v>754</v>
      </c>
      <c r="C559" t="s">
        <v>189</v>
      </c>
      <c r="D559" t="s">
        <v>19</v>
      </c>
      <c r="E559">
        <v>21</v>
      </c>
      <c r="F559">
        <v>0</v>
      </c>
      <c r="G559">
        <v>0</v>
      </c>
      <c r="H559">
        <v>2</v>
      </c>
      <c r="I559">
        <v>1</v>
      </c>
    </row>
    <row r="560" spans="1:9" x14ac:dyDescent="0.25">
      <c r="A560" t="s">
        <v>755</v>
      </c>
      <c r="B560" t="s">
        <v>198</v>
      </c>
      <c r="C560" t="s">
        <v>144</v>
      </c>
      <c r="D560" t="s">
        <v>16</v>
      </c>
      <c r="E560">
        <v>26</v>
      </c>
      <c r="F560">
        <v>1</v>
      </c>
      <c r="G560">
        <v>0</v>
      </c>
      <c r="H560">
        <v>3</v>
      </c>
      <c r="I560">
        <v>0</v>
      </c>
    </row>
    <row r="561" spans="1:9" x14ac:dyDescent="0.25">
      <c r="A561" t="s">
        <v>756</v>
      </c>
      <c r="B561" t="s">
        <v>460</v>
      </c>
      <c r="C561" t="s">
        <v>189</v>
      </c>
      <c r="D561" t="s">
        <v>20</v>
      </c>
      <c r="E561">
        <v>24</v>
      </c>
      <c r="F561">
        <v>0</v>
      </c>
      <c r="G561">
        <v>0</v>
      </c>
      <c r="H561">
        <v>1</v>
      </c>
      <c r="I561">
        <v>0</v>
      </c>
    </row>
    <row r="562" spans="1:9" x14ac:dyDescent="0.25">
      <c r="A562" t="s">
        <v>757</v>
      </c>
      <c r="B562" t="s">
        <v>183</v>
      </c>
      <c r="C562" t="s">
        <v>144</v>
      </c>
      <c r="D562" t="s">
        <v>16</v>
      </c>
      <c r="E562">
        <v>25</v>
      </c>
      <c r="F562">
        <v>1</v>
      </c>
      <c r="G562">
        <v>0</v>
      </c>
      <c r="H562">
        <v>1</v>
      </c>
      <c r="I562">
        <v>0</v>
      </c>
    </row>
    <row r="563" spans="1:9" x14ac:dyDescent="0.25">
      <c r="A563" t="s">
        <v>758</v>
      </c>
      <c r="B563" t="s">
        <v>369</v>
      </c>
      <c r="C563" t="s">
        <v>265</v>
      </c>
      <c r="D563" t="s">
        <v>4</v>
      </c>
      <c r="E563">
        <v>30</v>
      </c>
      <c r="F563">
        <v>0</v>
      </c>
      <c r="G563">
        <v>0</v>
      </c>
      <c r="H563">
        <v>3</v>
      </c>
      <c r="I563">
        <v>0</v>
      </c>
    </row>
    <row r="564" spans="1:9" x14ac:dyDescent="0.25">
      <c r="A564" t="s">
        <v>759</v>
      </c>
      <c r="B564" t="s">
        <v>760</v>
      </c>
      <c r="C564" t="s">
        <v>150</v>
      </c>
      <c r="D564" t="s">
        <v>17</v>
      </c>
      <c r="E564">
        <v>32</v>
      </c>
      <c r="F564">
        <v>1</v>
      </c>
      <c r="G564">
        <v>2</v>
      </c>
      <c r="H564">
        <v>1</v>
      </c>
      <c r="I564">
        <v>0</v>
      </c>
    </row>
    <row r="565" spans="1:9" x14ac:dyDescent="0.25">
      <c r="A565" t="s">
        <v>761</v>
      </c>
      <c r="B565" t="s">
        <v>210</v>
      </c>
      <c r="C565" t="s">
        <v>144</v>
      </c>
      <c r="D565" t="s">
        <v>18</v>
      </c>
      <c r="E565">
        <v>24</v>
      </c>
      <c r="F565">
        <v>0</v>
      </c>
      <c r="G565">
        <v>8</v>
      </c>
      <c r="H565">
        <v>4</v>
      </c>
      <c r="I565">
        <v>1</v>
      </c>
    </row>
    <row r="566" spans="1:9" x14ac:dyDescent="0.25">
      <c r="A566" t="s">
        <v>762</v>
      </c>
      <c r="B566" t="s">
        <v>157</v>
      </c>
      <c r="C566" t="s">
        <v>169</v>
      </c>
      <c r="D566" t="s">
        <v>18</v>
      </c>
      <c r="E566">
        <v>20</v>
      </c>
      <c r="F566">
        <v>1</v>
      </c>
      <c r="G566">
        <v>0</v>
      </c>
      <c r="H566">
        <v>4</v>
      </c>
      <c r="I566">
        <v>1</v>
      </c>
    </row>
    <row r="567" spans="1:9" x14ac:dyDescent="0.25">
      <c r="A567" t="s">
        <v>763</v>
      </c>
      <c r="B567" t="s">
        <v>369</v>
      </c>
      <c r="C567" t="s">
        <v>141</v>
      </c>
      <c r="D567" t="s">
        <v>23</v>
      </c>
      <c r="E567">
        <v>22</v>
      </c>
      <c r="F567">
        <v>2</v>
      </c>
      <c r="G567">
        <v>3</v>
      </c>
      <c r="H567">
        <v>7</v>
      </c>
      <c r="I567">
        <v>1</v>
      </c>
    </row>
    <row r="568" spans="1:9" x14ac:dyDescent="0.25">
      <c r="A568" t="s">
        <v>764</v>
      </c>
      <c r="B568" t="s">
        <v>146</v>
      </c>
      <c r="C568" t="s">
        <v>150</v>
      </c>
      <c r="D568" t="s">
        <v>23</v>
      </c>
      <c r="E568">
        <v>24</v>
      </c>
      <c r="F568">
        <v>6</v>
      </c>
      <c r="G568">
        <v>1</v>
      </c>
      <c r="H568">
        <v>2</v>
      </c>
      <c r="I568">
        <v>0</v>
      </c>
    </row>
    <row r="569" spans="1:9" x14ac:dyDescent="0.25">
      <c r="A569" t="s">
        <v>765</v>
      </c>
      <c r="B569" t="s">
        <v>152</v>
      </c>
      <c r="C569" t="s">
        <v>141</v>
      </c>
      <c r="D569" t="s">
        <v>21</v>
      </c>
      <c r="E569">
        <v>21</v>
      </c>
      <c r="F569">
        <v>0</v>
      </c>
      <c r="G569">
        <v>0</v>
      </c>
      <c r="H569">
        <v>3</v>
      </c>
      <c r="I569">
        <v>0</v>
      </c>
    </row>
    <row r="570" spans="1:9" x14ac:dyDescent="0.25">
      <c r="A570" t="s">
        <v>766</v>
      </c>
      <c r="B570" t="s">
        <v>152</v>
      </c>
      <c r="C570" t="s">
        <v>189</v>
      </c>
      <c r="D570" t="s">
        <v>5</v>
      </c>
      <c r="E570">
        <v>34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 t="s">
        <v>767</v>
      </c>
      <c r="B571" t="s">
        <v>157</v>
      </c>
      <c r="C571" t="s">
        <v>169</v>
      </c>
      <c r="D571" t="s">
        <v>10</v>
      </c>
      <c r="E571">
        <v>31</v>
      </c>
      <c r="F571">
        <v>8</v>
      </c>
      <c r="G571">
        <v>3</v>
      </c>
      <c r="H571">
        <v>0</v>
      </c>
      <c r="I571">
        <v>0</v>
      </c>
    </row>
    <row r="572" spans="1:9" x14ac:dyDescent="0.25">
      <c r="A572" t="s">
        <v>768</v>
      </c>
      <c r="B572" t="s">
        <v>171</v>
      </c>
      <c r="C572" t="s">
        <v>144</v>
      </c>
      <c r="D572" t="s">
        <v>21</v>
      </c>
      <c r="E572">
        <v>22</v>
      </c>
      <c r="F572">
        <v>0</v>
      </c>
      <c r="G572">
        <v>0</v>
      </c>
      <c r="H572">
        <v>2</v>
      </c>
      <c r="I572">
        <v>0</v>
      </c>
    </row>
    <row r="573" spans="1:9" x14ac:dyDescent="0.25">
      <c r="A573" t="s">
        <v>769</v>
      </c>
      <c r="B573" t="s">
        <v>242</v>
      </c>
      <c r="C573" t="s">
        <v>160</v>
      </c>
      <c r="D573" t="s">
        <v>9</v>
      </c>
      <c r="E573">
        <v>28</v>
      </c>
      <c r="F573">
        <v>0</v>
      </c>
      <c r="G573">
        <v>1</v>
      </c>
      <c r="H573">
        <v>6</v>
      </c>
      <c r="I573">
        <v>0</v>
      </c>
    </row>
    <row r="574" spans="1:9" x14ac:dyDescent="0.25">
      <c r="A574" t="s">
        <v>770</v>
      </c>
      <c r="B574" t="s">
        <v>157</v>
      </c>
      <c r="C574" t="s">
        <v>147</v>
      </c>
      <c r="D574" t="s">
        <v>11</v>
      </c>
      <c r="E574">
        <v>23</v>
      </c>
      <c r="F574">
        <v>4</v>
      </c>
      <c r="G574">
        <v>5</v>
      </c>
      <c r="H574">
        <v>5</v>
      </c>
      <c r="I574">
        <v>0</v>
      </c>
    </row>
    <row r="575" spans="1:9" x14ac:dyDescent="0.25">
      <c r="A575" t="s">
        <v>771</v>
      </c>
      <c r="B575" t="s">
        <v>157</v>
      </c>
      <c r="C575" t="s">
        <v>150</v>
      </c>
      <c r="D575" t="s">
        <v>17</v>
      </c>
      <c r="E575">
        <v>26</v>
      </c>
      <c r="F575">
        <v>14</v>
      </c>
      <c r="G575">
        <v>4</v>
      </c>
      <c r="H575">
        <v>1</v>
      </c>
      <c r="I575">
        <v>0</v>
      </c>
    </row>
    <row r="576" spans="1:9" x14ac:dyDescent="0.25">
      <c r="A576" t="s">
        <v>772</v>
      </c>
      <c r="B576" t="s">
        <v>152</v>
      </c>
      <c r="C576" t="s">
        <v>144</v>
      </c>
      <c r="D576" t="s">
        <v>22</v>
      </c>
      <c r="E576">
        <v>33</v>
      </c>
      <c r="F576">
        <v>0</v>
      </c>
      <c r="G576">
        <v>0</v>
      </c>
      <c r="H576">
        <v>1</v>
      </c>
      <c r="I576">
        <v>0</v>
      </c>
    </row>
    <row r="577" spans="1:9" x14ac:dyDescent="0.25">
      <c r="A577" t="s">
        <v>773</v>
      </c>
      <c r="B577" t="s">
        <v>149</v>
      </c>
      <c r="C577" t="s">
        <v>144</v>
      </c>
      <c r="D577" t="s">
        <v>21</v>
      </c>
      <c r="E577">
        <v>26</v>
      </c>
      <c r="F577">
        <v>0</v>
      </c>
      <c r="G577">
        <v>1</v>
      </c>
      <c r="H577">
        <v>4</v>
      </c>
      <c r="I577">
        <v>1</v>
      </c>
    </row>
    <row r="578" spans="1:9" x14ac:dyDescent="0.25">
      <c r="A578" t="s">
        <v>774</v>
      </c>
      <c r="B578" t="s">
        <v>235</v>
      </c>
      <c r="C578" t="s">
        <v>147</v>
      </c>
      <c r="D578" t="s">
        <v>17</v>
      </c>
      <c r="E578">
        <v>18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 t="s">
        <v>775</v>
      </c>
      <c r="B579" t="s">
        <v>152</v>
      </c>
      <c r="C579" t="s">
        <v>144</v>
      </c>
      <c r="D579" t="s">
        <v>8</v>
      </c>
      <c r="E579">
        <v>18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 t="s">
        <v>776</v>
      </c>
      <c r="B580" t="s">
        <v>157</v>
      </c>
      <c r="C580" t="s">
        <v>144</v>
      </c>
      <c r="D580" t="s">
        <v>10</v>
      </c>
      <c r="E580">
        <v>21</v>
      </c>
      <c r="F580">
        <v>1</v>
      </c>
      <c r="G580">
        <v>0</v>
      </c>
      <c r="H580">
        <v>2</v>
      </c>
      <c r="I580">
        <v>2</v>
      </c>
    </row>
    <row r="581" spans="1:9" x14ac:dyDescent="0.25">
      <c r="A581" t="s">
        <v>777</v>
      </c>
      <c r="B581" t="s">
        <v>152</v>
      </c>
      <c r="C581" t="s">
        <v>189</v>
      </c>
      <c r="D581" t="s">
        <v>12</v>
      </c>
      <c r="E581">
        <v>22</v>
      </c>
      <c r="F581">
        <v>0</v>
      </c>
      <c r="G581">
        <v>0</v>
      </c>
      <c r="H581">
        <v>1</v>
      </c>
      <c r="I581">
        <v>0</v>
      </c>
    </row>
    <row r="582" spans="1:9" x14ac:dyDescent="0.25">
      <c r="A582" t="s">
        <v>778</v>
      </c>
      <c r="B582" t="s">
        <v>226</v>
      </c>
      <c r="C582" t="s">
        <v>147</v>
      </c>
      <c r="D582" t="s">
        <v>6</v>
      </c>
      <c r="E582">
        <v>19</v>
      </c>
      <c r="F582">
        <v>1</v>
      </c>
      <c r="G582">
        <v>0</v>
      </c>
      <c r="H582">
        <v>2</v>
      </c>
      <c r="I582">
        <v>0</v>
      </c>
    </row>
    <row r="583" spans="1:9" x14ac:dyDescent="0.25">
      <c r="A583" t="s">
        <v>778</v>
      </c>
      <c r="B583" t="s">
        <v>226</v>
      </c>
      <c r="C583" t="s">
        <v>147</v>
      </c>
      <c r="D583" t="s">
        <v>12</v>
      </c>
      <c r="E583">
        <v>19</v>
      </c>
      <c r="F583">
        <v>0</v>
      </c>
      <c r="G583">
        <v>0</v>
      </c>
      <c r="H583">
        <v>1</v>
      </c>
      <c r="I583">
        <v>0</v>
      </c>
    </row>
    <row r="584" spans="1:9" x14ac:dyDescent="0.25">
      <c r="A584" t="s">
        <v>779</v>
      </c>
      <c r="B584" t="s">
        <v>224</v>
      </c>
      <c r="C584" t="s">
        <v>144</v>
      </c>
      <c r="D584" t="s">
        <v>19</v>
      </c>
      <c r="E584">
        <v>25</v>
      </c>
      <c r="F584">
        <v>1</v>
      </c>
      <c r="G584">
        <v>0</v>
      </c>
      <c r="H584">
        <v>6</v>
      </c>
      <c r="I584">
        <v>1</v>
      </c>
    </row>
    <row r="585" spans="1:9" x14ac:dyDescent="0.25">
      <c r="A585" t="s">
        <v>780</v>
      </c>
      <c r="B585" t="s">
        <v>224</v>
      </c>
      <c r="C585" t="s">
        <v>144</v>
      </c>
      <c r="D585" t="s">
        <v>23</v>
      </c>
      <c r="E585">
        <v>23</v>
      </c>
      <c r="F585">
        <v>0</v>
      </c>
      <c r="G585">
        <v>0</v>
      </c>
      <c r="H585">
        <v>5</v>
      </c>
      <c r="I585">
        <v>1</v>
      </c>
    </row>
    <row r="586" spans="1:9" x14ac:dyDescent="0.25">
      <c r="A586" t="s">
        <v>781</v>
      </c>
      <c r="B586" t="s">
        <v>152</v>
      </c>
      <c r="C586" t="s">
        <v>144</v>
      </c>
      <c r="D586" t="s">
        <v>19</v>
      </c>
      <c r="E586">
        <v>25</v>
      </c>
      <c r="F586">
        <v>2</v>
      </c>
      <c r="G586">
        <v>6</v>
      </c>
      <c r="H586">
        <v>1</v>
      </c>
      <c r="I586">
        <v>0</v>
      </c>
    </row>
    <row r="587" spans="1:9" x14ac:dyDescent="0.25">
      <c r="A587" t="s">
        <v>782</v>
      </c>
      <c r="B587" t="s">
        <v>179</v>
      </c>
      <c r="C587" t="s">
        <v>144</v>
      </c>
      <c r="D587" t="s">
        <v>7</v>
      </c>
      <c r="E587">
        <v>20</v>
      </c>
      <c r="F587">
        <v>0</v>
      </c>
      <c r="G587">
        <v>0</v>
      </c>
      <c r="H587">
        <v>2</v>
      </c>
      <c r="I587">
        <v>0</v>
      </c>
    </row>
    <row r="588" spans="1:9" x14ac:dyDescent="0.25">
      <c r="A588" t="s">
        <v>783</v>
      </c>
      <c r="B588" t="s">
        <v>152</v>
      </c>
      <c r="C588" t="s">
        <v>147</v>
      </c>
      <c r="D588" t="s">
        <v>12</v>
      </c>
      <c r="E588">
        <v>30</v>
      </c>
      <c r="F588">
        <v>0</v>
      </c>
      <c r="G588">
        <v>0</v>
      </c>
      <c r="H588">
        <v>1</v>
      </c>
      <c r="I588">
        <v>0</v>
      </c>
    </row>
    <row r="589" spans="1:9" x14ac:dyDescent="0.25">
      <c r="A589" t="s">
        <v>784</v>
      </c>
      <c r="B589" t="s">
        <v>339</v>
      </c>
      <c r="C589" t="s">
        <v>144</v>
      </c>
      <c r="D589" t="s">
        <v>7</v>
      </c>
      <c r="E589">
        <v>22</v>
      </c>
      <c r="F589">
        <v>0</v>
      </c>
      <c r="G589">
        <v>1</v>
      </c>
      <c r="H589">
        <v>3</v>
      </c>
      <c r="I589">
        <v>0</v>
      </c>
    </row>
    <row r="590" spans="1:9" x14ac:dyDescent="0.25">
      <c r="A590" t="s">
        <v>785</v>
      </c>
      <c r="B590" t="s">
        <v>324</v>
      </c>
      <c r="C590" t="s">
        <v>189</v>
      </c>
      <c r="D590" t="s">
        <v>8</v>
      </c>
      <c r="E590">
        <v>26</v>
      </c>
      <c r="F590">
        <v>0</v>
      </c>
      <c r="G590">
        <v>0</v>
      </c>
      <c r="H590">
        <v>2</v>
      </c>
      <c r="I590">
        <v>0</v>
      </c>
    </row>
    <row r="591" spans="1:9" x14ac:dyDescent="0.25">
      <c r="A591" t="s">
        <v>786</v>
      </c>
      <c r="B591" t="s">
        <v>423</v>
      </c>
      <c r="C591" t="s">
        <v>144</v>
      </c>
      <c r="D591" t="s">
        <v>9</v>
      </c>
      <c r="E591">
        <v>25</v>
      </c>
      <c r="F591">
        <v>3</v>
      </c>
      <c r="G591">
        <v>0</v>
      </c>
      <c r="H591">
        <v>9</v>
      </c>
      <c r="I591">
        <v>0</v>
      </c>
    </row>
    <row r="592" spans="1:9" x14ac:dyDescent="0.25">
      <c r="A592" t="s">
        <v>787</v>
      </c>
      <c r="B592" t="s">
        <v>569</v>
      </c>
      <c r="C592" t="s">
        <v>147</v>
      </c>
      <c r="D592" t="s">
        <v>18</v>
      </c>
      <c r="E592">
        <v>32</v>
      </c>
      <c r="F592">
        <v>2</v>
      </c>
      <c r="G592">
        <v>3</v>
      </c>
      <c r="H592">
        <v>7</v>
      </c>
      <c r="I592">
        <v>0</v>
      </c>
    </row>
    <row r="593" spans="1:9" x14ac:dyDescent="0.25">
      <c r="A593" t="s">
        <v>788</v>
      </c>
      <c r="B593" t="s">
        <v>210</v>
      </c>
      <c r="C593" t="s">
        <v>144</v>
      </c>
      <c r="D593" t="s">
        <v>14</v>
      </c>
      <c r="E593">
        <v>21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t="s">
        <v>789</v>
      </c>
      <c r="B594" t="s">
        <v>210</v>
      </c>
      <c r="C594" t="s">
        <v>144</v>
      </c>
      <c r="D594" t="s">
        <v>11</v>
      </c>
      <c r="E594">
        <v>21</v>
      </c>
      <c r="F594">
        <v>0</v>
      </c>
      <c r="G594">
        <v>1</v>
      </c>
      <c r="H594">
        <v>2</v>
      </c>
      <c r="I594">
        <v>0</v>
      </c>
    </row>
    <row r="595" spans="1:9" x14ac:dyDescent="0.25">
      <c r="A595" t="s">
        <v>790</v>
      </c>
      <c r="B595" t="s">
        <v>152</v>
      </c>
      <c r="C595" t="s">
        <v>169</v>
      </c>
      <c r="D595" t="s">
        <v>9</v>
      </c>
      <c r="E595">
        <v>18</v>
      </c>
      <c r="F595">
        <v>2</v>
      </c>
      <c r="G595">
        <v>0</v>
      </c>
      <c r="H595">
        <v>0</v>
      </c>
      <c r="I595">
        <v>0</v>
      </c>
    </row>
    <row r="596" spans="1:9" x14ac:dyDescent="0.25">
      <c r="A596" t="s">
        <v>791</v>
      </c>
      <c r="B596" t="s">
        <v>152</v>
      </c>
      <c r="C596" t="s">
        <v>160</v>
      </c>
      <c r="D596" t="s">
        <v>7</v>
      </c>
      <c r="E596">
        <v>32</v>
      </c>
      <c r="F596">
        <v>0</v>
      </c>
      <c r="G596">
        <v>0</v>
      </c>
      <c r="H596">
        <v>1</v>
      </c>
      <c r="I596">
        <v>0</v>
      </c>
    </row>
    <row r="597" spans="1:9" x14ac:dyDescent="0.25">
      <c r="A597" t="s">
        <v>792</v>
      </c>
      <c r="B597" t="s">
        <v>152</v>
      </c>
      <c r="C597" t="s">
        <v>147</v>
      </c>
      <c r="D597" t="s">
        <v>12</v>
      </c>
      <c r="E597">
        <v>20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 t="s">
        <v>793</v>
      </c>
      <c r="B598" t="s">
        <v>152</v>
      </c>
      <c r="C598" t="s">
        <v>169</v>
      </c>
      <c r="D598" t="s">
        <v>15</v>
      </c>
      <c r="E598">
        <v>34</v>
      </c>
      <c r="F598">
        <v>3</v>
      </c>
      <c r="G598">
        <v>1</v>
      </c>
      <c r="H598">
        <v>2</v>
      </c>
      <c r="I598">
        <v>0</v>
      </c>
    </row>
    <row r="599" spans="1:9" x14ac:dyDescent="0.25">
      <c r="A599" t="s">
        <v>794</v>
      </c>
      <c r="B599" t="s">
        <v>152</v>
      </c>
      <c r="C599" t="s">
        <v>144</v>
      </c>
      <c r="D599" t="s">
        <v>8</v>
      </c>
      <c r="E599">
        <v>22</v>
      </c>
      <c r="F599">
        <v>1</v>
      </c>
      <c r="G599">
        <v>0</v>
      </c>
      <c r="H599">
        <v>3</v>
      </c>
      <c r="I599">
        <v>0</v>
      </c>
    </row>
    <row r="600" spans="1:9" x14ac:dyDescent="0.25">
      <c r="A600" t="s">
        <v>795</v>
      </c>
      <c r="B600" t="s">
        <v>210</v>
      </c>
      <c r="C600" t="s">
        <v>169</v>
      </c>
      <c r="D600" t="s">
        <v>9</v>
      </c>
      <c r="E600">
        <v>24</v>
      </c>
      <c r="F600">
        <v>2</v>
      </c>
      <c r="G600">
        <v>3</v>
      </c>
      <c r="H600">
        <v>2</v>
      </c>
      <c r="I600">
        <v>0</v>
      </c>
    </row>
    <row r="601" spans="1:9" x14ac:dyDescent="0.25">
      <c r="A601" t="s">
        <v>796</v>
      </c>
      <c r="B601" t="s">
        <v>460</v>
      </c>
      <c r="C601" t="s">
        <v>150</v>
      </c>
      <c r="D601" t="s">
        <v>11</v>
      </c>
      <c r="E601">
        <v>24</v>
      </c>
      <c r="F601">
        <v>10</v>
      </c>
      <c r="G601">
        <v>4</v>
      </c>
      <c r="H601">
        <v>3</v>
      </c>
      <c r="I601">
        <v>0</v>
      </c>
    </row>
    <row r="602" spans="1:9" x14ac:dyDescent="0.25">
      <c r="A602" t="s">
        <v>797</v>
      </c>
      <c r="B602" t="s">
        <v>460</v>
      </c>
      <c r="C602" t="s">
        <v>169</v>
      </c>
      <c r="D602" t="s">
        <v>22</v>
      </c>
      <c r="E602">
        <v>20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 t="s">
        <v>798</v>
      </c>
      <c r="B603" t="s">
        <v>198</v>
      </c>
      <c r="C603" t="s">
        <v>160</v>
      </c>
      <c r="D603" t="s">
        <v>4</v>
      </c>
      <c r="E603">
        <v>26</v>
      </c>
      <c r="F603">
        <v>5</v>
      </c>
      <c r="G603">
        <v>4</v>
      </c>
      <c r="H603">
        <v>0</v>
      </c>
      <c r="I603">
        <v>0</v>
      </c>
    </row>
    <row r="604" spans="1:9" x14ac:dyDescent="0.25">
      <c r="A604" t="s">
        <v>799</v>
      </c>
      <c r="B604" t="s">
        <v>152</v>
      </c>
      <c r="C604" t="s">
        <v>144</v>
      </c>
      <c r="D604" t="s">
        <v>9</v>
      </c>
      <c r="E604">
        <v>25</v>
      </c>
      <c r="F604">
        <v>2</v>
      </c>
      <c r="G604">
        <v>0</v>
      </c>
      <c r="H604">
        <v>3</v>
      </c>
      <c r="I604">
        <v>0</v>
      </c>
    </row>
    <row r="605" spans="1:9" x14ac:dyDescent="0.25">
      <c r="A605" t="s">
        <v>799</v>
      </c>
      <c r="B605" t="s">
        <v>152</v>
      </c>
      <c r="C605" t="s">
        <v>144</v>
      </c>
      <c r="D605" t="s">
        <v>19</v>
      </c>
      <c r="E605">
        <v>25</v>
      </c>
      <c r="F605">
        <v>0</v>
      </c>
      <c r="G605">
        <v>0</v>
      </c>
      <c r="H605">
        <v>2</v>
      </c>
      <c r="I605">
        <v>0</v>
      </c>
    </row>
    <row r="606" spans="1:9" x14ac:dyDescent="0.25">
      <c r="A606" t="s">
        <v>800</v>
      </c>
      <c r="B606" t="s">
        <v>704</v>
      </c>
      <c r="C606" t="s">
        <v>144</v>
      </c>
      <c r="D606" t="s">
        <v>4</v>
      </c>
      <c r="E606">
        <v>29</v>
      </c>
      <c r="F606">
        <v>0</v>
      </c>
      <c r="G606">
        <v>0</v>
      </c>
      <c r="H606">
        <v>4</v>
      </c>
      <c r="I606">
        <v>0</v>
      </c>
    </row>
    <row r="607" spans="1:9" x14ac:dyDescent="0.25">
      <c r="A607" t="s">
        <v>800</v>
      </c>
      <c r="B607" t="s">
        <v>704</v>
      </c>
      <c r="C607" t="s">
        <v>144</v>
      </c>
      <c r="D607" t="s">
        <v>7</v>
      </c>
      <c r="E607">
        <v>29</v>
      </c>
      <c r="F607">
        <v>1</v>
      </c>
      <c r="G607">
        <v>2</v>
      </c>
      <c r="H607">
        <v>2</v>
      </c>
      <c r="I607">
        <v>0</v>
      </c>
    </row>
    <row r="608" spans="1:9" x14ac:dyDescent="0.25">
      <c r="A608" t="s">
        <v>801</v>
      </c>
      <c r="B608" t="s">
        <v>200</v>
      </c>
      <c r="C608" t="s">
        <v>144</v>
      </c>
      <c r="D608" t="s">
        <v>17</v>
      </c>
      <c r="E608">
        <v>32</v>
      </c>
      <c r="F608">
        <v>3</v>
      </c>
      <c r="G608">
        <v>0</v>
      </c>
      <c r="H608">
        <v>2</v>
      </c>
      <c r="I608">
        <v>0</v>
      </c>
    </row>
    <row r="609" spans="1:9" x14ac:dyDescent="0.25">
      <c r="A609" t="s">
        <v>802</v>
      </c>
      <c r="B609" t="s">
        <v>149</v>
      </c>
      <c r="C609" t="s">
        <v>144</v>
      </c>
      <c r="D609" t="s">
        <v>21</v>
      </c>
      <c r="E609">
        <v>34</v>
      </c>
      <c r="F609">
        <v>0</v>
      </c>
      <c r="G609">
        <v>0</v>
      </c>
      <c r="H609">
        <v>1</v>
      </c>
      <c r="I609">
        <v>0</v>
      </c>
    </row>
    <row r="610" spans="1:9" x14ac:dyDescent="0.25">
      <c r="A610" t="s">
        <v>803</v>
      </c>
      <c r="B610" t="s">
        <v>226</v>
      </c>
      <c r="C610" t="s">
        <v>144</v>
      </c>
      <c r="D610" t="s">
        <v>4</v>
      </c>
      <c r="E610">
        <v>24</v>
      </c>
      <c r="F610">
        <v>0</v>
      </c>
      <c r="G610">
        <v>0</v>
      </c>
      <c r="H610">
        <v>6</v>
      </c>
      <c r="I610">
        <v>0</v>
      </c>
    </row>
    <row r="611" spans="1:9" x14ac:dyDescent="0.25">
      <c r="A611" t="s">
        <v>803</v>
      </c>
      <c r="B611" t="s">
        <v>226</v>
      </c>
      <c r="C611" t="s">
        <v>144</v>
      </c>
      <c r="D611" t="s">
        <v>8</v>
      </c>
      <c r="E611">
        <v>24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 t="s">
        <v>804</v>
      </c>
      <c r="B612" t="s">
        <v>261</v>
      </c>
      <c r="C612" t="s">
        <v>256</v>
      </c>
      <c r="D612" t="s">
        <v>11</v>
      </c>
      <c r="E612">
        <v>24</v>
      </c>
      <c r="F612">
        <v>5</v>
      </c>
      <c r="G612">
        <v>2</v>
      </c>
      <c r="H612">
        <v>4</v>
      </c>
      <c r="I612">
        <v>0</v>
      </c>
    </row>
    <row r="613" spans="1:9" x14ac:dyDescent="0.25">
      <c r="A613" t="s">
        <v>805</v>
      </c>
      <c r="B613" t="s">
        <v>226</v>
      </c>
      <c r="C613" t="s">
        <v>144</v>
      </c>
      <c r="D613" t="s">
        <v>15</v>
      </c>
      <c r="E613">
        <v>27</v>
      </c>
      <c r="F613">
        <v>0</v>
      </c>
      <c r="G613">
        <v>0</v>
      </c>
      <c r="H613">
        <v>1</v>
      </c>
      <c r="I613">
        <v>0</v>
      </c>
    </row>
    <row r="614" spans="1:9" x14ac:dyDescent="0.25">
      <c r="A614" t="s">
        <v>806</v>
      </c>
      <c r="B614" t="s">
        <v>807</v>
      </c>
      <c r="C614" t="s">
        <v>169</v>
      </c>
      <c r="D614" t="s">
        <v>16</v>
      </c>
      <c r="E614">
        <v>24</v>
      </c>
      <c r="F614">
        <v>1</v>
      </c>
      <c r="G614">
        <v>1</v>
      </c>
      <c r="H614">
        <v>6</v>
      </c>
      <c r="I614">
        <v>0</v>
      </c>
    </row>
    <row r="615" spans="1:9" x14ac:dyDescent="0.25">
      <c r="A615" t="s">
        <v>808</v>
      </c>
      <c r="B615" t="s">
        <v>270</v>
      </c>
      <c r="C615" t="s">
        <v>169</v>
      </c>
      <c r="D615" t="s">
        <v>11</v>
      </c>
      <c r="E615">
        <v>19</v>
      </c>
      <c r="F615">
        <v>7</v>
      </c>
      <c r="G615">
        <v>4</v>
      </c>
      <c r="H615">
        <v>2</v>
      </c>
      <c r="I615">
        <v>1</v>
      </c>
    </row>
    <row r="616" spans="1:9" x14ac:dyDescent="0.25">
      <c r="A616" t="s">
        <v>809</v>
      </c>
      <c r="B616" t="s">
        <v>152</v>
      </c>
      <c r="C616" t="s">
        <v>150</v>
      </c>
      <c r="D616" t="s">
        <v>18</v>
      </c>
      <c r="E616">
        <v>29</v>
      </c>
      <c r="F616">
        <v>8</v>
      </c>
      <c r="G616">
        <v>6</v>
      </c>
      <c r="H616">
        <v>10</v>
      </c>
      <c r="I616">
        <v>0</v>
      </c>
    </row>
    <row r="617" spans="1:9" x14ac:dyDescent="0.25">
      <c r="A617" t="s">
        <v>810</v>
      </c>
      <c r="B617" t="s">
        <v>226</v>
      </c>
      <c r="C617" t="s">
        <v>256</v>
      </c>
      <c r="D617" t="s">
        <v>20</v>
      </c>
      <c r="E617">
        <v>22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t="s">
        <v>810</v>
      </c>
      <c r="B618" t="s">
        <v>226</v>
      </c>
      <c r="C618" t="s">
        <v>141</v>
      </c>
      <c r="D618" t="s">
        <v>17</v>
      </c>
      <c r="E618">
        <v>22</v>
      </c>
      <c r="F618">
        <v>1</v>
      </c>
      <c r="G618">
        <v>1</v>
      </c>
      <c r="H618">
        <v>4</v>
      </c>
      <c r="I618">
        <v>0</v>
      </c>
    </row>
    <row r="619" spans="1:9" x14ac:dyDescent="0.25">
      <c r="A619" t="s">
        <v>811</v>
      </c>
      <c r="B619" t="s">
        <v>369</v>
      </c>
      <c r="C619" t="s">
        <v>147</v>
      </c>
      <c r="D619" t="s">
        <v>13</v>
      </c>
      <c r="E619">
        <v>28</v>
      </c>
      <c r="F619">
        <v>6</v>
      </c>
      <c r="G619">
        <v>4</v>
      </c>
      <c r="H619">
        <v>5</v>
      </c>
      <c r="I619">
        <v>0</v>
      </c>
    </row>
    <row r="620" spans="1:9" x14ac:dyDescent="0.25">
      <c r="A620" t="s">
        <v>812</v>
      </c>
      <c r="B620" t="s">
        <v>152</v>
      </c>
      <c r="C620" t="s">
        <v>144</v>
      </c>
      <c r="D620" t="s">
        <v>16</v>
      </c>
      <c r="E620">
        <v>30</v>
      </c>
      <c r="F620">
        <v>1</v>
      </c>
      <c r="G620">
        <v>2</v>
      </c>
      <c r="H620">
        <v>5</v>
      </c>
      <c r="I620">
        <v>0</v>
      </c>
    </row>
    <row r="621" spans="1:9" x14ac:dyDescent="0.25">
      <c r="A621" t="s">
        <v>813</v>
      </c>
      <c r="B621" t="s">
        <v>152</v>
      </c>
      <c r="C621" t="s">
        <v>150</v>
      </c>
      <c r="D621" t="s">
        <v>5</v>
      </c>
      <c r="E621">
        <v>25</v>
      </c>
      <c r="F621">
        <v>0</v>
      </c>
      <c r="G621">
        <v>0</v>
      </c>
      <c r="H621">
        <v>2</v>
      </c>
      <c r="I621">
        <v>1</v>
      </c>
    </row>
    <row r="622" spans="1:9" x14ac:dyDescent="0.25">
      <c r="A622" t="s">
        <v>813</v>
      </c>
      <c r="B622" t="s">
        <v>152</v>
      </c>
      <c r="C622" t="s">
        <v>169</v>
      </c>
      <c r="D622" t="s">
        <v>22</v>
      </c>
      <c r="E622">
        <v>25</v>
      </c>
      <c r="F622">
        <v>2</v>
      </c>
      <c r="G622">
        <v>2</v>
      </c>
      <c r="H622">
        <v>4</v>
      </c>
      <c r="I622">
        <v>0</v>
      </c>
    </row>
    <row r="623" spans="1:9" x14ac:dyDescent="0.25">
      <c r="A623" t="s">
        <v>814</v>
      </c>
      <c r="B623" t="s">
        <v>152</v>
      </c>
      <c r="C623" t="s">
        <v>389</v>
      </c>
      <c r="D623" t="s">
        <v>9</v>
      </c>
      <c r="E623">
        <v>23</v>
      </c>
      <c r="F623">
        <v>1</v>
      </c>
      <c r="G623">
        <v>0</v>
      </c>
      <c r="H623">
        <v>3</v>
      </c>
      <c r="I623">
        <v>0</v>
      </c>
    </row>
    <row r="624" spans="1:9" x14ac:dyDescent="0.25">
      <c r="A624" t="s">
        <v>815</v>
      </c>
      <c r="B624" t="s">
        <v>324</v>
      </c>
      <c r="C624" t="s">
        <v>150</v>
      </c>
      <c r="D624" t="s">
        <v>4</v>
      </c>
      <c r="E624">
        <v>33</v>
      </c>
      <c r="F624">
        <v>3</v>
      </c>
      <c r="G624">
        <v>0</v>
      </c>
      <c r="H624">
        <v>1</v>
      </c>
      <c r="I624">
        <v>0</v>
      </c>
    </row>
    <row r="625" spans="1:9" x14ac:dyDescent="0.25">
      <c r="A625" t="s">
        <v>816</v>
      </c>
      <c r="B625" t="s">
        <v>152</v>
      </c>
      <c r="C625" t="s">
        <v>144</v>
      </c>
      <c r="D625" t="s">
        <v>15</v>
      </c>
      <c r="E625">
        <v>24</v>
      </c>
      <c r="F625">
        <v>2</v>
      </c>
      <c r="G625">
        <v>0</v>
      </c>
      <c r="H625">
        <v>4</v>
      </c>
      <c r="I625">
        <v>0</v>
      </c>
    </row>
    <row r="626" spans="1:9" x14ac:dyDescent="0.25">
      <c r="A626" t="s">
        <v>817</v>
      </c>
      <c r="B626" t="s">
        <v>152</v>
      </c>
      <c r="C626" t="s">
        <v>144</v>
      </c>
      <c r="D626" t="s">
        <v>22</v>
      </c>
      <c r="E626">
        <v>32</v>
      </c>
      <c r="F626">
        <v>4</v>
      </c>
      <c r="G626">
        <v>2</v>
      </c>
      <c r="H626">
        <v>3</v>
      </c>
      <c r="I626">
        <v>0</v>
      </c>
    </row>
    <row r="627" spans="1:9" x14ac:dyDescent="0.25">
      <c r="A627" t="s">
        <v>818</v>
      </c>
      <c r="B627" t="s">
        <v>179</v>
      </c>
      <c r="C627" t="s">
        <v>147</v>
      </c>
      <c r="D627" t="s">
        <v>10</v>
      </c>
      <c r="E627">
        <v>25</v>
      </c>
      <c r="F627">
        <v>1</v>
      </c>
      <c r="G627">
        <v>0</v>
      </c>
      <c r="H627">
        <v>0</v>
      </c>
      <c r="I627">
        <v>0</v>
      </c>
    </row>
    <row r="628" spans="1:9" x14ac:dyDescent="0.25">
      <c r="A628" t="s">
        <v>819</v>
      </c>
      <c r="B628" t="s">
        <v>820</v>
      </c>
      <c r="C628" t="s">
        <v>144</v>
      </c>
      <c r="D628" t="s">
        <v>10</v>
      </c>
      <c r="E628">
        <v>24</v>
      </c>
      <c r="F628">
        <v>1</v>
      </c>
      <c r="G628">
        <v>2</v>
      </c>
      <c r="H628">
        <v>2</v>
      </c>
      <c r="I628">
        <v>0</v>
      </c>
    </row>
    <row r="629" spans="1:9" x14ac:dyDescent="0.25">
      <c r="A629" t="s">
        <v>821</v>
      </c>
      <c r="B629" t="s">
        <v>152</v>
      </c>
      <c r="C629" t="s">
        <v>144</v>
      </c>
      <c r="D629" t="s">
        <v>16</v>
      </c>
      <c r="E629">
        <v>25</v>
      </c>
      <c r="F629">
        <v>1</v>
      </c>
      <c r="G629">
        <v>1</v>
      </c>
      <c r="H629">
        <v>4</v>
      </c>
      <c r="I629">
        <v>0</v>
      </c>
    </row>
    <row r="630" spans="1:9" x14ac:dyDescent="0.25">
      <c r="A630" t="s">
        <v>821</v>
      </c>
      <c r="B630" t="s">
        <v>152</v>
      </c>
      <c r="C630" t="s">
        <v>389</v>
      </c>
      <c r="D630" t="s">
        <v>13</v>
      </c>
      <c r="E630">
        <v>25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 t="s">
        <v>822</v>
      </c>
      <c r="B631" t="s">
        <v>152</v>
      </c>
      <c r="C631" t="s">
        <v>147</v>
      </c>
      <c r="D631" t="s">
        <v>12</v>
      </c>
      <c r="E631">
        <v>19</v>
      </c>
      <c r="F631">
        <v>0</v>
      </c>
      <c r="G631">
        <v>1</v>
      </c>
      <c r="H631">
        <v>0</v>
      </c>
      <c r="I631">
        <v>0</v>
      </c>
    </row>
    <row r="632" spans="1:9" x14ac:dyDescent="0.25">
      <c r="A632" t="s">
        <v>822</v>
      </c>
      <c r="B632" t="s">
        <v>152</v>
      </c>
      <c r="C632" t="s">
        <v>147</v>
      </c>
      <c r="D632" t="s">
        <v>21</v>
      </c>
      <c r="E632">
        <v>19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t="s">
        <v>823</v>
      </c>
      <c r="B633" t="s">
        <v>226</v>
      </c>
      <c r="C633" t="s">
        <v>147</v>
      </c>
      <c r="D633" t="s">
        <v>17</v>
      </c>
      <c r="E633">
        <v>30</v>
      </c>
      <c r="F633">
        <v>2</v>
      </c>
      <c r="G633">
        <v>2</v>
      </c>
      <c r="H633">
        <v>0</v>
      </c>
      <c r="I633">
        <v>0</v>
      </c>
    </row>
    <row r="634" spans="1:9" x14ac:dyDescent="0.25">
      <c r="A634" t="s">
        <v>824</v>
      </c>
      <c r="B634" t="s">
        <v>152</v>
      </c>
      <c r="C634" t="s">
        <v>141</v>
      </c>
      <c r="D634" t="s">
        <v>15</v>
      </c>
      <c r="E634">
        <v>25</v>
      </c>
      <c r="F634">
        <v>6</v>
      </c>
      <c r="G634">
        <v>2</v>
      </c>
      <c r="H634">
        <v>2</v>
      </c>
      <c r="I634">
        <v>0</v>
      </c>
    </row>
    <row r="635" spans="1:9" x14ac:dyDescent="0.25">
      <c r="A635" t="s">
        <v>825</v>
      </c>
      <c r="B635" t="s">
        <v>226</v>
      </c>
      <c r="C635" t="s">
        <v>147</v>
      </c>
      <c r="D635" t="s">
        <v>8</v>
      </c>
      <c r="E635">
        <v>26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t="s">
        <v>826</v>
      </c>
      <c r="B636" t="s">
        <v>496</v>
      </c>
      <c r="C636" t="s">
        <v>150</v>
      </c>
      <c r="D636" t="s">
        <v>12</v>
      </c>
      <c r="E636">
        <v>34</v>
      </c>
      <c r="F636">
        <v>4</v>
      </c>
      <c r="G636">
        <v>1</v>
      </c>
      <c r="H636">
        <v>3</v>
      </c>
      <c r="I636">
        <v>0</v>
      </c>
    </row>
    <row r="637" spans="1:9" x14ac:dyDescent="0.25">
      <c r="A637" t="s">
        <v>826</v>
      </c>
      <c r="B637" t="s">
        <v>496</v>
      </c>
      <c r="C637" t="s">
        <v>150</v>
      </c>
      <c r="D637" t="s">
        <v>19</v>
      </c>
      <c r="E637">
        <v>34</v>
      </c>
      <c r="F637">
        <v>1</v>
      </c>
      <c r="G637">
        <v>0</v>
      </c>
      <c r="H637">
        <v>1</v>
      </c>
      <c r="I637"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XL-Test</vt:lpstr>
      <vt:lpstr>About</vt:lpstr>
      <vt:lpstr>LS</vt:lpstr>
      <vt:lpstr>SA</vt:lpstr>
      <vt:lpstr>PS</vt:lpstr>
      <vt:lpstr>DF!budi</vt:lpstr>
      <vt:lpstr>DF!eko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2025-10-27T05:59:09Z</dcterms:created>
  <dcterms:modified xsi:type="dcterms:W3CDTF">2026-06-12T19:58:29Z</dcterms:modified>
</cp:coreProperties>
</file>