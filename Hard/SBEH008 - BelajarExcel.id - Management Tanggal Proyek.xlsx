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596" documentId="8_{5BB244B9-0670-434A-BA49-A0AB0198F40A}" xr6:coauthVersionLast="47" xr6:coauthVersionMax="47" xr10:uidLastSave="{F332AA55-236D-4C57-8F23-DC442EAE22EC}"/>
  <workbookProtection workbookAlgorithmName="SHA-512" workbookHashValue="otNn2OQlNDf+D2eVmOloTy0HFs8KoeSoz34uvQ5QeGtRPtZe1sT+die1T1FQ6Z57SF4Mu4IeexoT5dGIaxe0TQ==" workbookSaltValue="ARondxrx3wj4+szBZVPwbw==" workbookSpinCount="100000" lockStructure="1"/>
  <bookViews>
    <workbookView xWindow="28692" yWindow="-108" windowWidth="29016" windowHeight="15696" xr2:uid="{E168B714-CCCE-4DF0-BA10-7EA2B77A61A7}"/>
  </bookViews>
  <sheets>
    <sheet name="XL-Test" sheetId="1" r:id="rId1"/>
    <sheet name="About" sheetId="3" r:id="rId2"/>
    <sheet name="DF" sheetId="2" state="veryHidden" r:id="rId3"/>
  </sheets>
  <definedNames>
    <definedName name="kode_jawaban">DF!$C$38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 a="1"/>
  <c r="P10" i="1"/>
  <c r="P11" i="1" a="1"/>
  <c r="P11" i="1"/>
  <c r="P12" i="1" a="1"/>
  <c r="P12" i="1"/>
  <c r="P13" i="1" a="1"/>
  <c r="P13" i="1"/>
  <c r="P14" i="1" a="1"/>
  <c r="P14" i="1"/>
  <c r="P15" i="1" a="1"/>
  <c r="P15" i="1"/>
  <c r="P16" i="1" a="1"/>
  <c r="P16" i="1"/>
  <c r="P17" i="1" a="1"/>
  <c r="P17" i="1"/>
  <c r="P18" i="1" a="1"/>
  <c r="P18" i="1"/>
  <c r="P19" i="1" a="1"/>
  <c r="P19" i="1"/>
  <c r="P20" i="1" a="1"/>
  <c r="P20" i="1"/>
  <c r="P21" i="1" a="1"/>
  <c r="P21" i="1"/>
  <c r="P22" i="1" a="1"/>
  <c r="P22" i="1"/>
  <c r="P23" i="1" a="1"/>
  <c r="P23" i="1"/>
  <c r="P24" i="1" a="1"/>
  <c r="P24" i="1"/>
  <c r="P25" i="1" a="1"/>
  <c r="P25" i="1"/>
  <c r="P26" i="1" a="1"/>
  <c r="P26" i="1"/>
  <c r="P27" i="1" a="1"/>
  <c r="P27" i="1"/>
  <c r="P28" i="1" a="1"/>
  <c r="P28" i="1"/>
  <c r="P9" i="1" a="1"/>
  <c r="P9" i="1"/>
  <c r="G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9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C43" i="2"/>
  <c r="D43" i="2"/>
  <c r="E43" i="2"/>
  <c r="F43" i="2"/>
  <c r="G43" i="2"/>
  <c r="H43" i="2"/>
  <c r="I43" i="2"/>
  <c r="J43" i="2"/>
  <c r="K43" i="2"/>
  <c r="L43" i="2"/>
  <c r="C44" i="2"/>
  <c r="D44" i="2"/>
  <c r="E44" i="2"/>
  <c r="F44" i="2"/>
  <c r="G44" i="2"/>
  <c r="H44" i="2"/>
  <c r="I44" i="2"/>
  <c r="J44" i="2"/>
  <c r="K44" i="2"/>
  <c r="L44" i="2"/>
  <c r="C45" i="2"/>
  <c r="D45" i="2"/>
  <c r="E45" i="2"/>
  <c r="F45" i="2"/>
  <c r="G45" i="2"/>
  <c r="H45" i="2"/>
  <c r="I45" i="2"/>
  <c r="J45" i="2"/>
  <c r="K45" i="2"/>
  <c r="L45" i="2"/>
  <c r="C46" i="2"/>
  <c r="D46" i="2"/>
  <c r="E46" i="2"/>
  <c r="F46" i="2"/>
  <c r="G46" i="2"/>
  <c r="H46" i="2"/>
  <c r="I46" i="2"/>
  <c r="J46" i="2"/>
  <c r="K46" i="2"/>
  <c r="L46" i="2"/>
  <c r="C47" i="2"/>
  <c r="D47" i="2"/>
  <c r="E47" i="2"/>
  <c r="F47" i="2"/>
  <c r="G47" i="2"/>
  <c r="H47" i="2"/>
  <c r="I47" i="2"/>
  <c r="J47" i="2"/>
  <c r="K47" i="2"/>
  <c r="L47" i="2"/>
  <c r="C48" i="2"/>
  <c r="D48" i="2"/>
  <c r="E48" i="2"/>
  <c r="F48" i="2"/>
  <c r="G48" i="2"/>
  <c r="H48" i="2"/>
  <c r="I48" i="2"/>
  <c r="J48" i="2"/>
  <c r="K48" i="2"/>
  <c r="L48" i="2"/>
  <c r="C49" i="2"/>
  <c r="D49" i="2"/>
  <c r="E49" i="2"/>
  <c r="F49" i="2"/>
  <c r="G49" i="2"/>
  <c r="H49" i="2"/>
  <c r="I49" i="2"/>
  <c r="J49" i="2"/>
  <c r="K49" i="2"/>
  <c r="L49" i="2"/>
  <c r="C50" i="2"/>
  <c r="D50" i="2"/>
  <c r="E50" i="2"/>
  <c r="F50" i="2"/>
  <c r="G50" i="2"/>
  <c r="H50" i="2"/>
  <c r="I50" i="2"/>
  <c r="J50" i="2"/>
  <c r="K50" i="2"/>
  <c r="L50" i="2"/>
  <c r="C51" i="2"/>
  <c r="D51" i="2"/>
  <c r="E51" i="2"/>
  <c r="F51" i="2"/>
  <c r="G51" i="2"/>
  <c r="H51" i="2"/>
  <c r="I51" i="2"/>
  <c r="J51" i="2"/>
  <c r="K51" i="2"/>
  <c r="L51" i="2"/>
  <c r="C52" i="2"/>
  <c r="D52" i="2"/>
  <c r="E52" i="2"/>
  <c r="F52" i="2"/>
  <c r="G52" i="2"/>
  <c r="H52" i="2"/>
  <c r="I52" i="2"/>
  <c r="J52" i="2"/>
  <c r="K52" i="2"/>
  <c r="L52" i="2"/>
  <c r="C53" i="2"/>
  <c r="D53" i="2"/>
  <c r="E53" i="2"/>
  <c r="F53" i="2"/>
  <c r="G53" i="2"/>
  <c r="H53" i="2"/>
  <c r="I53" i="2"/>
  <c r="J53" i="2"/>
  <c r="K53" i="2"/>
  <c r="L53" i="2"/>
  <c r="C54" i="2"/>
  <c r="D54" i="2"/>
  <c r="E54" i="2"/>
  <c r="F54" i="2"/>
  <c r="G54" i="2"/>
  <c r="H54" i="2"/>
  <c r="I54" i="2"/>
  <c r="J54" i="2"/>
  <c r="K54" i="2"/>
  <c r="L54" i="2"/>
  <c r="C55" i="2"/>
  <c r="D55" i="2"/>
  <c r="E55" i="2"/>
  <c r="F55" i="2"/>
  <c r="G55" i="2"/>
  <c r="H55" i="2"/>
  <c r="I55" i="2"/>
  <c r="J55" i="2"/>
  <c r="K55" i="2"/>
  <c r="L55" i="2"/>
  <c r="C56" i="2"/>
  <c r="D56" i="2"/>
  <c r="E56" i="2"/>
  <c r="F56" i="2"/>
  <c r="G56" i="2"/>
  <c r="H56" i="2"/>
  <c r="I56" i="2"/>
  <c r="J56" i="2"/>
  <c r="K56" i="2"/>
  <c r="L56" i="2"/>
  <c r="C57" i="2"/>
  <c r="D57" i="2"/>
  <c r="E57" i="2"/>
  <c r="F57" i="2"/>
  <c r="G57" i="2"/>
  <c r="H57" i="2"/>
  <c r="I57" i="2"/>
  <c r="J57" i="2"/>
  <c r="K57" i="2"/>
  <c r="L57" i="2"/>
  <c r="C58" i="2"/>
  <c r="D58" i="2"/>
  <c r="E58" i="2"/>
  <c r="F58" i="2"/>
  <c r="G58" i="2"/>
  <c r="H58" i="2"/>
  <c r="I58" i="2"/>
  <c r="J58" i="2"/>
  <c r="K58" i="2"/>
  <c r="L58" i="2"/>
  <c r="C59" i="2"/>
  <c r="D59" i="2"/>
  <c r="E59" i="2"/>
  <c r="F59" i="2"/>
  <c r="G59" i="2"/>
  <c r="H59" i="2"/>
  <c r="I59" i="2"/>
  <c r="J59" i="2"/>
  <c r="K59" i="2"/>
  <c r="L59" i="2"/>
  <c r="C60" i="2"/>
  <c r="D60" i="2"/>
  <c r="E60" i="2"/>
  <c r="F60" i="2"/>
  <c r="G60" i="2"/>
  <c r="H60" i="2"/>
  <c r="I60" i="2"/>
  <c r="J60" i="2"/>
  <c r="K60" i="2"/>
  <c r="L60" i="2"/>
  <c r="C61" i="2"/>
  <c r="D61" i="2"/>
  <c r="E61" i="2"/>
  <c r="F61" i="2"/>
  <c r="G61" i="2"/>
  <c r="H61" i="2"/>
  <c r="I61" i="2"/>
  <c r="J61" i="2"/>
  <c r="K61" i="2"/>
  <c r="L61" i="2"/>
  <c r="D42" i="2"/>
  <c r="E42" i="2"/>
  <c r="F42" i="2"/>
  <c r="G42" i="2"/>
  <c r="H42" i="2"/>
  <c r="I42" i="2"/>
  <c r="J42" i="2"/>
  <c r="K42" i="2"/>
  <c r="L42" i="2"/>
  <c r="C42" i="2"/>
  <c r="AC2" i="2"/>
  <c r="U2" i="2"/>
  <c r="V2" i="2"/>
  <c r="W2" i="2"/>
  <c r="X2" i="2"/>
  <c r="Y2" i="2"/>
  <c r="Z2" i="2"/>
  <c r="AA2" i="2"/>
  <c r="AB2" i="2"/>
  <c r="T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H2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C3" i="2"/>
  <c r="I3" i="2" l="1"/>
  <c r="E3" i="2"/>
  <c r="G3" i="2"/>
  <c r="C4" i="2"/>
  <c r="I4" i="2"/>
  <c r="E4" i="2"/>
  <c r="G4" i="2"/>
  <c r="C5" i="2"/>
  <c r="I5" i="2"/>
  <c r="E5" i="2"/>
  <c r="G5" i="2"/>
  <c r="C6" i="2"/>
  <c r="I6" i="2"/>
  <c r="E6" i="2"/>
  <c r="G6" i="2"/>
  <c r="C7" i="2"/>
  <c r="C66" i="2" s="1"/>
  <c r="I7" i="2"/>
  <c r="I66" i="2" s="1"/>
  <c r="E7" i="2"/>
  <c r="E66" i="2" s="1"/>
  <c r="G7" i="2"/>
  <c r="G66" i="2" s="1"/>
  <c r="C8" i="2"/>
  <c r="I8" i="2"/>
  <c r="E8" i="2"/>
  <c r="G8" i="2"/>
  <c r="C9" i="2"/>
  <c r="I9" i="2"/>
  <c r="E9" i="2"/>
  <c r="G9" i="2"/>
  <c r="C10" i="2"/>
  <c r="I10" i="2"/>
  <c r="E10" i="2"/>
  <c r="G10" i="2"/>
  <c r="C11" i="2"/>
  <c r="I11" i="2"/>
  <c r="E11" i="2"/>
  <c r="G11" i="2"/>
  <c r="C12" i="2"/>
  <c r="I12" i="2"/>
  <c r="G12" i="2"/>
  <c r="E12" i="2"/>
  <c r="C13" i="2"/>
  <c r="G13" i="2"/>
  <c r="I13" i="2"/>
  <c r="E13" i="2"/>
  <c r="C14" i="2"/>
  <c r="I14" i="2"/>
  <c r="G14" i="2"/>
  <c r="E14" i="2"/>
  <c r="C15" i="2"/>
  <c r="I15" i="2"/>
  <c r="G15" i="2"/>
  <c r="E15" i="2"/>
  <c r="C16" i="2"/>
  <c r="G16" i="2"/>
  <c r="I16" i="2"/>
  <c r="E16" i="2"/>
  <c r="C17" i="2"/>
  <c r="G17" i="2"/>
  <c r="I17" i="2"/>
  <c r="E17" i="2"/>
  <c r="C18" i="2"/>
  <c r="G18" i="2"/>
  <c r="I18" i="2"/>
  <c r="E18" i="2"/>
  <c r="C19" i="2"/>
  <c r="G19" i="2"/>
  <c r="I19" i="2"/>
  <c r="E19" i="2"/>
  <c r="C20" i="2"/>
  <c r="G20" i="2"/>
  <c r="I20" i="2"/>
  <c r="E20" i="2"/>
  <c r="C21" i="2"/>
  <c r="G21" i="2"/>
  <c r="I21" i="2"/>
  <c r="E21" i="2"/>
  <c r="G2" i="2"/>
  <c r="I2" i="2"/>
  <c r="E2" i="2"/>
  <c r="D25" i="2"/>
  <c r="L71" i="2"/>
  <c r="L74" i="2" s="1"/>
  <c r="D71" i="2"/>
  <c r="D74" i="2" s="1"/>
  <c r="E71" i="2"/>
  <c r="E74" i="2" s="1"/>
  <c r="F71" i="2"/>
  <c r="F74" i="2" s="1"/>
  <c r="G71" i="2"/>
  <c r="G74" i="2" s="1"/>
  <c r="H71" i="2"/>
  <c r="H74" i="2" s="1"/>
  <c r="I71" i="2"/>
  <c r="I74" i="2" s="1"/>
  <c r="J71" i="2"/>
  <c r="J74" i="2" s="1"/>
  <c r="K71" i="2"/>
  <c r="K74" i="2" s="1"/>
  <c r="C71" i="2"/>
  <c r="C74" i="2" s="1"/>
  <c r="D63" i="2"/>
  <c r="D64" i="2" s="1"/>
  <c r="D66" i="2"/>
  <c r="E63" i="2"/>
  <c r="E64" i="2" s="1"/>
  <c r="F63" i="2"/>
  <c r="F64" i="2" s="1"/>
  <c r="F66" i="2"/>
  <c r="G63" i="2"/>
  <c r="G64" i="2" s="1"/>
  <c r="H63" i="2"/>
  <c r="H64" i="2" s="1"/>
  <c r="H66" i="2"/>
  <c r="I63" i="2"/>
  <c r="I64" i="2" s="1"/>
  <c r="J63" i="2"/>
  <c r="J64" i="2" s="1"/>
  <c r="J66" i="2"/>
  <c r="K63" i="2"/>
  <c r="K64" i="2" s="1"/>
  <c r="K66" i="2"/>
  <c r="L63" i="2"/>
  <c r="L64" i="2" s="1"/>
  <c r="L66" i="2"/>
  <c r="C63" i="2"/>
  <c r="C64" i="2" s="1"/>
  <c r="J29" i="2"/>
  <c r="K29" i="2"/>
  <c r="T10" i="2"/>
  <c r="K34" i="2"/>
  <c r="T9" i="2"/>
  <c r="J34" i="2"/>
  <c r="L25" i="2"/>
  <c r="K25" i="2"/>
  <c r="J25" i="2"/>
  <c r="H25" i="2"/>
  <c r="F25" i="2"/>
  <c r="D29" i="2"/>
  <c r="C2" i="2"/>
  <c r="C29" i="2"/>
  <c r="I25" i="2" l="1"/>
  <c r="G25" i="2"/>
  <c r="C68" i="2"/>
  <c r="C25" i="2"/>
  <c r="E25" i="2"/>
  <c r="G68" i="2"/>
  <c r="F68" i="2"/>
  <c r="C76" i="2"/>
  <c r="E68" i="2"/>
  <c r="J75" i="2"/>
  <c r="K75" i="2"/>
  <c r="D68" i="2"/>
  <c r="D76" i="2" s="1"/>
  <c r="D30" i="2" s="1"/>
  <c r="D33" i="2" s="1"/>
  <c r="H68" i="2"/>
  <c r="J68" i="2"/>
  <c r="J76" i="2" s="1"/>
  <c r="J30" i="2" s="1"/>
  <c r="J33" i="2" s="1"/>
  <c r="K68" i="2"/>
  <c r="K76" i="2" s="1"/>
  <c r="K30" i="2" s="1"/>
  <c r="K33" i="2" s="1"/>
  <c r="I68" i="2"/>
  <c r="L68" i="2"/>
  <c r="D34" i="2"/>
  <c r="D75" i="2" s="1"/>
  <c r="T3" i="2"/>
  <c r="E34" i="2"/>
  <c r="E75" i="2" s="1"/>
  <c r="T4" i="2"/>
  <c r="E29" i="2"/>
  <c r="F34" i="2"/>
  <c r="F75" i="2" s="1"/>
  <c r="T5" i="2"/>
  <c r="F29" i="2"/>
  <c r="T6" i="2"/>
  <c r="G29" i="2"/>
  <c r="G76" i="2" s="1"/>
  <c r="G30" i="2" s="1"/>
  <c r="G33" i="2" s="1"/>
  <c r="G34" i="2"/>
  <c r="G75" i="2" s="1"/>
  <c r="H34" i="2"/>
  <c r="H75" i="2" s="1"/>
  <c r="T7" i="2"/>
  <c r="H29" i="2"/>
  <c r="T8" i="2"/>
  <c r="I29" i="2"/>
  <c r="I34" i="2"/>
  <c r="I75" i="2" s="1"/>
  <c r="L34" i="2"/>
  <c r="L75" i="2" s="1"/>
  <c r="T11" i="2"/>
  <c r="L29" i="2"/>
  <c r="C34" i="2"/>
  <c r="C75" i="2" s="1"/>
  <c r="C30" i="2" l="1"/>
  <c r="C33" i="2" s="1"/>
  <c r="C32" i="2"/>
  <c r="C79" i="2" s="1"/>
  <c r="D78" i="2"/>
  <c r="D32" i="2"/>
  <c r="D79" i="2" s="1"/>
  <c r="J78" i="2"/>
  <c r="J32" i="2"/>
  <c r="J79" i="2" s="1"/>
  <c r="K78" i="2"/>
  <c r="K32" i="2"/>
  <c r="K79" i="2" s="1"/>
  <c r="G78" i="2"/>
  <c r="G32" i="2"/>
  <c r="C78" i="2"/>
  <c r="F76" i="2"/>
  <c r="F30" i="2" s="1"/>
  <c r="F33" i="2" s="1"/>
  <c r="L76" i="2"/>
  <c r="L30" i="2" s="1"/>
  <c r="L33" i="2" s="1"/>
  <c r="E76" i="2"/>
  <c r="E30" i="2" s="1"/>
  <c r="E33" i="2" s="1"/>
  <c r="H76" i="2"/>
  <c r="H30" i="2" s="1"/>
  <c r="H33" i="2" s="1"/>
  <c r="I76" i="2"/>
  <c r="I30" i="2" s="1"/>
  <c r="I33" i="2" s="1"/>
  <c r="D81" i="2" l="1"/>
  <c r="K81" i="2"/>
  <c r="J81" i="2"/>
  <c r="F32" i="2"/>
  <c r="C81" i="2"/>
  <c r="L32" i="2"/>
  <c r="L79" i="2" s="1"/>
  <c r="E78" i="2"/>
  <c r="E32" i="2"/>
  <c r="E79" i="2" s="1"/>
  <c r="E81" i="2" s="1"/>
  <c r="H78" i="2"/>
  <c r="H32" i="2"/>
  <c r="H79" i="2" s="1"/>
  <c r="H81" i="2" s="1"/>
  <c r="I78" i="2"/>
  <c r="I32" i="2"/>
  <c r="I79" i="2" s="1"/>
  <c r="I81" i="2" s="1"/>
  <c r="F78" i="2"/>
  <c r="L78" i="2"/>
  <c r="G79" i="2"/>
  <c r="G81" i="2" s="1"/>
  <c r="L81" i="2" l="1"/>
  <c r="F79" i="2"/>
  <c r="F81" i="2" s="1"/>
  <c r="C83" i="2" s="1"/>
  <c r="C38" i="2" s="1"/>
  <c r="G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<sst xmlns="http://schemas.openxmlformats.org/spreadsheetml/2006/main" count="115" uniqueCount="112">
  <si>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</si>
  <si>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KODE SOAL</t>
  </si>
  <si>
    <t>SBEH008</t>
  </si>
  <si>
    <t>KODE JAWABAN</t>
  </si>
  <si>
    <t xml:space="preserve">            Rekapitulasi Data  dan Tanggal Proyek</t>
  </si>
  <si>
    <t>NO</t>
  </si>
  <si>
    <t>ID
PROYEK</t>
  </si>
  <si>
    <t>NAMA PROYEK</t>
  </si>
  <si>
    <t>TANGGAL MULAI
PROYEK</t>
  </si>
  <si>
    <r>
      <t xml:space="preserve">DURASI PROYEK
</t>
    </r>
    <r>
      <rPr>
        <i/>
        <sz val="11"/>
        <color theme="0"/>
        <rFont val="Aptos Narrow"/>
        <family val="2"/>
        <scheme val="minor"/>
      </rPr>
      <t>(Hari Kerja)</t>
    </r>
  </si>
  <si>
    <t>TANGGAL SELESAI
PROYEK</t>
  </si>
  <si>
    <r>
      <t xml:space="preserve">JUMLAH GAJI 
</t>
    </r>
    <r>
      <rPr>
        <i/>
        <sz val="11"/>
        <color theme="0"/>
        <rFont val="Aptos Narrow"/>
        <family val="2"/>
        <scheme val="minor"/>
      </rPr>
      <t>(Gaji Setiap Tanggal 1)</t>
    </r>
  </si>
  <si>
    <t>JML Ibadah Jum'at</t>
  </si>
  <si>
    <t>Tanggal Gaji Pertama</t>
  </si>
  <si>
    <t>Tanggal Gaji Terkahir</t>
  </si>
  <si>
    <t>Tanggal Ibadah Jum'at Pertama</t>
  </si>
  <si>
    <t>Tanggal Ibadah Jum'at Terakhir</t>
  </si>
  <si>
    <r>
      <t xml:space="preserve">TANGGAL REVIEW PROYEK
</t>
    </r>
    <r>
      <rPr>
        <i/>
        <sz val="11"/>
        <color theme="0"/>
        <rFont val="Aptos Narrow"/>
        <family val="2"/>
        <scheme val="minor"/>
      </rPr>
      <t>(3 Bulan Setelah Mulai)</t>
    </r>
  </si>
  <si>
    <r>
      <t xml:space="preserve">TANGGAL REVIEW PROYEK 2
</t>
    </r>
    <r>
      <rPr>
        <i/>
        <sz val="11"/>
        <color theme="0"/>
        <rFont val="Aptos Narrow"/>
        <family val="2"/>
        <scheme val="minor"/>
      </rPr>
      <t>(6 Bulan di akhir bulan)</t>
    </r>
  </si>
  <si>
    <r>
      <t xml:space="preserve">JML KUNJUNGAN BOS
</t>
    </r>
    <r>
      <rPr>
        <i/>
        <sz val="11"/>
        <color theme="0"/>
        <rFont val="Aptos Narrow"/>
        <family val="2"/>
        <scheme val="minor"/>
      </rPr>
      <t>(Tanggal Genap)</t>
    </r>
  </si>
  <si>
    <t>ID-PM-001</t>
  </si>
  <si>
    <t>Proyek Peningkatan Infrastruktur Nasional</t>
  </si>
  <si>
    <t>ID-CE-002</t>
  </si>
  <si>
    <t>Proyek Digitalisasi Layanan Publik</t>
  </si>
  <si>
    <t>ID-QS-003</t>
  </si>
  <si>
    <t>Proyek Energi Bersih Berkelanjutan</t>
  </si>
  <si>
    <t>ID-CE-004</t>
  </si>
  <si>
    <t>Proyek Reformasi Birokrasi Terpadu</t>
  </si>
  <si>
    <t>ID-CE-005</t>
  </si>
  <si>
    <t>Proyek Penguatan Ekonomi Daerah</t>
  </si>
  <si>
    <t>ID-QS-006</t>
  </si>
  <si>
    <t>Proyek Modernisasi Transportasi Umum</t>
  </si>
  <si>
    <t>ID-PM-007</t>
  </si>
  <si>
    <t>Proyek Ketahanan Pangan Nasional</t>
  </si>
  <si>
    <t>ID-QS-008</t>
  </si>
  <si>
    <t>Proyek Pembangunan Kawasan Terpadu</t>
  </si>
  <si>
    <t>ID-PM-009</t>
  </si>
  <si>
    <t>Proyek Revitalisasi Pendidikan Dasar</t>
  </si>
  <si>
    <t>ID-PM-010</t>
  </si>
  <si>
    <t>Proyek Akselerasi Kesehatan Masyarakat</t>
  </si>
  <si>
    <t>ID-CE-011</t>
  </si>
  <si>
    <t>Proyek Pengelolaan Sumber Daya Alam Lestari</t>
  </si>
  <si>
    <t>ID-PM-012</t>
  </si>
  <si>
    <t>Proyek Sistem Informasi Terintegrasi</t>
  </si>
  <si>
    <t>ID-QS-013</t>
  </si>
  <si>
    <t>Proyek Pengendalian Banjir Perkotaan</t>
  </si>
  <si>
    <t>ID-QS-014</t>
  </si>
  <si>
    <t>Proyek Peningkatan Konektivitas Digital</t>
  </si>
  <si>
    <t>ID-QS-015</t>
  </si>
  <si>
    <t>Proyek Perlindungan Sosial Inklusif</t>
  </si>
  <si>
    <t>ID-PM-016</t>
  </si>
  <si>
    <t>Proyek Pembangunan Energi Terbarukan</t>
  </si>
  <si>
    <t>ID-CE-017</t>
  </si>
  <si>
    <t>Proyek Revitalisasi Pasar Tradisional</t>
  </si>
  <si>
    <t>ID-CE-018</t>
  </si>
  <si>
    <t>Proyek Mitigasi Perubahan Iklim</t>
  </si>
  <si>
    <t>ID-PM-019</t>
  </si>
  <si>
    <t>Proyek Optimalisasi Pelayanan Kesehatan</t>
  </si>
  <si>
    <t>ID-CE-020</t>
  </si>
  <si>
    <t>Proyek Peningkatan Kapasitas SDM Nasional</t>
  </si>
  <si>
    <r>
      <t xml:space="preserve">Kirimkan Kode Jawaban diatas ke alamat :  </t>
    </r>
    <r>
      <rPr>
        <b/>
        <sz val="11"/>
        <color rgb="FF0070C0"/>
        <rFont val="Aptos Narrow"/>
        <family val="2"/>
        <scheme val="minor"/>
      </rPr>
      <t>https://belajarexcel.id/xl-test/</t>
    </r>
    <r>
      <rPr>
        <sz val="11"/>
        <color theme="1"/>
        <rFont val="Aptos Narrow"/>
        <family val="2"/>
        <scheme val="minor"/>
      </rPr>
      <t xml:space="preserve">  untuk mengecek hasil jawaban</t>
    </r>
  </si>
  <si>
    <t>Soal</t>
  </si>
  <si>
    <r>
      <t xml:space="preserve">Isi Kolom </t>
    </r>
    <r>
      <rPr>
        <b/>
        <sz val="11"/>
        <color theme="1"/>
        <rFont val="Aptos Narrow"/>
        <family val="2"/>
        <scheme val="minor"/>
      </rPr>
      <t>TANGGAL SELESAI PROYEK</t>
    </r>
    <r>
      <rPr>
        <sz val="11"/>
        <color theme="1"/>
        <rFont val="Aptos Narrow"/>
        <family val="2"/>
        <scheme val="minor"/>
      </rPr>
      <t xml:space="preserve"> mengacu data dari kolom TANGGAL MULAI PROYEK dijumlahkan dengan kolom </t>
    </r>
    <r>
      <rPr>
        <b/>
        <sz val="11"/>
        <color theme="1"/>
        <rFont val="Aptos Narrow"/>
        <family val="2"/>
        <scheme val="minor"/>
      </rPr>
      <t>ESTIMASI DURASI PROYEK (Hari Kerja)</t>
    </r>
  </si>
  <si>
    <r>
      <rPr>
        <b/>
        <sz val="11"/>
        <color theme="1"/>
        <rFont val="Aptos Narrow"/>
        <family val="2"/>
        <scheme val="minor"/>
      </rPr>
      <t>Hari kerja</t>
    </r>
    <r>
      <rPr>
        <sz val="11"/>
        <color theme="1"/>
        <rFont val="Aptos Narrow"/>
        <family val="2"/>
        <scheme val="minor"/>
      </rPr>
      <t xml:space="preserve"> Minggu-Kamis, Hari Jum'at dan Sabtu Libur</t>
    </r>
  </si>
  <si>
    <r>
      <t xml:space="preserve">Copyright </t>
    </r>
    <r>
      <rPr>
        <sz val="9"/>
        <color theme="1"/>
        <rFont val="Calibri"/>
        <family val="2"/>
      </rPr>
      <t>© 2025 | BelajarExcel.id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</si>
  <si>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JML Gaji</t>
    </r>
    <r>
      <rPr>
        <sz val="11"/>
        <color theme="1"/>
        <rFont val="Aptos Narrow"/>
        <family val="2"/>
        <scheme val="minor"/>
      </rPr>
      <t xml:space="preserve"> dengan ketentuan : Gaji diberikan disetiap </t>
    </r>
    <r>
      <rPr>
        <b/>
        <sz val="11"/>
        <color theme="1"/>
        <rFont val="Aptos Narrow"/>
        <family val="2"/>
        <scheme val="minor"/>
      </rPr>
      <t>tanggal 1</t>
    </r>
    <r>
      <rPr>
        <sz val="11"/>
        <color theme="1"/>
        <rFont val="Aptos Narrow"/>
        <family val="2"/>
        <scheme val="minor"/>
      </rPr>
      <t xml:space="preserve"> setiap bulannya, Berapakali Gaji yang terima selama Proyek tersebut berlangsung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</si>
  <si>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 xml:space="preserve">JML Ibadah Jum'at </t>
    </r>
    <r>
      <rPr>
        <sz val="11"/>
        <color theme="1"/>
        <rFont val="Aptos Narrow"/>
        <family val="2"/>
        <scheme val="minor"/>
      </rPr>
      <t>dengan ketentuan : Berapakali Ibadah sholat jum'at selama Proyek tersebut berlangsung</t>
    </r>
  </si>
  <si>
    <r>
      <t xml:space="preserve">Kapan </t>
    </r>
    <r>
      <rPr>
        <b/>
        <sz val="11"/>
        <color theme="1"/>
        <rFont val="Aptos Narrow"/>
        <family val="2"/>
        <scheme val="minor"/>
      </rPr>
      <t>Tanggal Gaji pertama</t>
    </r>
    <r>
      <rPr>
        <sz val="11"/>
        <color theme="1"/>
        <rFont val="Aptos Narrow"/>
        <family val="2"/>
        <scheme val="minor"/>
      </rPr>
      <t xml:space="preserve"> diterima pada proyek tersebut</t>
    </r>
  </si>
  <si>
    <r>
      <t xml:space="preserve">Kapan </t>
    </r>
    <r>
      <rPr>
        <b/>
        <sz val="11"/>
        <color theme="1"/>
        <rFont val="Aptos Narrow"/>
        <family val="2"/>
        <scheme val="minor"/>
      </rPr>
      <t>Tanggal Gaji terakhir</t>
    </r>
    <r>
      <rPr>
        <sz val="11"/>
        <color theme="1"/>
        <rFont val="Aptos Narrow"/>
        <family val="2"/>
        <scheme val="minor"/>
      </rPr>
      <t xml:space="preserve"> diterima pada proyek tersebut</t>
    </r>
  </si>
  <si>
    <r>
      <t xml:space="preserve">Kapan </t>
    </r>
    <r>
      <rPr>
        <b/>
        <sz val="11"/>
        <color theme="1"/>
        <rFont val="Aptos Narrow"/>
        <family val="2"/>
        <scheme val="minor"/>
      </rPr>
      <t>Tanggal ibadah jum'at pertama</t>
    </r>
    <r>
      <rPr>
        <sz val="11"/>
        <color theme="1"/>
        <rFont val="Aptos Narrow"/>
        <family val="2"/>
        <scheme val="minor"/>
      </rPr>
      <t xml:space="preserve"> dilaksanakan pada proyek tersebut</t>
    </r>
  </si>
  <si>
    <r>
      <t xml:space="preserve">Kapan </t>
    </r>
    <r>
      <rPr>
        <b/>
        <sz val="11"/>
        <color theme="1"/>
        <rFont val="Aptos Narrow"/>
        <family val="2"/>
        <scheme val="minor"/>
      </rPr>
      <t>Tanggal ibadah jum'at terkahir</t>
    </r>
    <r>
      <rPr>
        <sz val="11"/>
        <color theme="1"/>
        <rFont val="Aptos Narrow"/>
        <family val="2"/>
        <scheme val="minor"/>
      </rPr>
      <t xml:space="preserve"> dilaksanakan pada proyek tersebut</t>
    </r>
  </si>
  <si>
    <r>
      <rPr>
        <b/>
        <sz val="11"/>
        <color theme="1"/>
        <rFont val="Aptos Narrow"/>
        <family val="2"/>
        <scheme val="minor"/>
      </rPr>
      <t>TANGGAL REVIEW PROYEK</t>
    </r>
    <r>
      <rPr>
        <sz val="11"/>
        <color theme="1"/>
        <rFont val="Aptos Narrow"/>
        <family val="2"/>
        <scheme val="minor"/>
      </rPr>
      <t xml:space="preserve"> dilaksanakan tepat 3 bulan setelah TANGGAL MULAI PROYEK</t>
    </r>
  </si>
  <si>
    <t>Contoh : Tanggal Mulai Proyek 12 Juli 2025 maka Review Proyek di tanggal 12 Oktober 2025</t>
  </si>
  <si>
    <r>
      <rPr>
        <b/>
        <sz val="11"/>
        <color theme="1"/>
        <rFont val="Aptos Narrow"/>
        <family val="2"/>
        <scheme val="minor"/>
      </rPr>
      <t>TANGGAL REVIEW PROYEK 2</t>
    </r>
    <r>
      <rPr>
        <sz val="11"/>
        <color theme="1"/>
        <rFont val="Aptos Narrow"/>
        <family val="2"/>
        <scheme val="minor"/>
      </rPr>
      <t xml:space="preserve"> dilaksanakan pada bulan ke 6 di akhir bulan setelah TANGGAL MULAI PROYEK</t>
    </r>
  </si>
  <si>
    <t>Contoh : Tanggal Mulai Proyek 12 Juli 2025 maka Review Proyek di tanggal 31 Januari 2026</t>
  </si>
  <si>
    <t xml:space="preserve">Bos memiliki Plat Nomor mobil genap, jadi Bos akan mengunjungi Proyek setiap tanggal genap pada hari kerja, </t>
  </si>
  <si>
    <r>
      <t xml:space="preserve">Isi Kolom </t>
    </r>
    <r>
      <rPr>
        <b/>
        <sz val="11"/>
        <color theme="1"/>
        <rFont val="Aptos Narrow"/>
        <family val="2"/>
        <scheme val="minor"/>
      </rPr>
      <t>JML KUNJUNGAN BOS</t>
    </r>
    <r>
      <rPr>
        <sz val="11"/>
        <color theme="1"/>
        <rFont val="Aptos Narrow"/>
        <family val="2"/>
        <scheme val="minor"/>
      </rPr>
      <t xml:space="preserve"> dengan berapa kali tanggal genap selama proyek berlangsung</t>
    </r>
  </si>
  <si>
    <t>* Selesaikan Pertanyaan diatas dengan menggunakan Formula/Rumus Excel</t>
  </si>
  <si>
    <t>Selsaikan tanpa menambahkan atau menggunakan kolom bantuan atau Table bantu.</t>
  </si>
  <si>
    <t>Sudah selesai mengerjakan?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</si>
  <si>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</si>
  <si>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</si>
  <si>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</si>
  <si>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</si>
  <si>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</si>
  <si>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</si>
  <si>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</si>
  <si>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</si>
  <si>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</si>
  <si>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</si>
  <si>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</si>
  <si>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</si>
  <si>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</si>
  <si>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</si>
  <si>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</si>
  <si>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</si>
  <si>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DEF</t>
  </si>
  <si>
    <t>HH1</t>
  </si>
  <si>
    <t>SUM</t>
  </si>
  <si>
    <t>random</t>
  </si>
  <si>
    <t>Cek Manual</t>
  </si>
  <si>
    <t>**</t>
  </si>
  <si>
    <t>Value</t>
  </si>
  <si>
    <t>Cek Rumus</t>
  </si>
  <si>
    <t>AVG</t>
  </si>
  <si>
    <t>Cek</t>
  </si>
  <si>
    <t>Array</t>
  </si>
  <si>
    <t>Gabung</t>
  </si>
  <si>
    <t>JML Fungsi</t>
  </si>
  <si>
    <t>Rumus **</t>
  </si>
  <si>
    <t>Value **</t>
  </si>
  <si>
    <t>Rumus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</si>
</sst>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70C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i/>
      <sz val="9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1" fillId="0" borderId="0"/>
    <xf numFmtId="0" fontId="19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3" fillId="0" borderId="0" xfId="0" applyFont="1" applyAlignment="1">
      <alignment horizontal="left" vertical="center"/>
    </xf>
    <xf numFmtId="0" fontId="7" fillId="2" borderId="0" xfId="0" applyFont="1" applyFill="1"/>
    <xf numFmtId="0" fontId="0" fillId="3" borderId="0" xfId="0" applyFill="1" applyAlignment="1">
      <alignment horizontal="left" indent="1"/>
    </xf>
    <xf numFmtId="0" fontId="0" fillId="0" borderId="0" xfId="0" applyAlignment="1">
      <alignment horizontal="left" indent="1"/>
    </xf>
    <xf numFmtId="0" fontId="8" fillId="0" borderId="0" xfId="0" applyFont="1"/>
    <xf numFmtId="0" fontId="10" fillId="0" borderId="0" xfId="0" applyFont="1"/>
    <xf numFmtId="0" fontId="3" fillId="0" borderId="0" xfId="0" applyFont="1" applyAlignment="1">
      <alignment vertical="center"/>
    </xf>
    <xf numFmtId="14" fontId="0" fillId="0" borderId="0" xfId="0" applyNumberFormat="1"/>
    <xf numFmtId="21" fontId="0" fillId="0" borderId="0" xfId="0" applyNumberFormat="1"/>
    <xf numFmtId="0" fontId="12" fillId="5" borderId="0" xfId="0" applyFont="1" applyFill="1" applyProtection="1">
      <protection locked="0"/>
    </xf>
    <xf numFmtId="0" fontId="0" fillId="0" borderId="0" xfId="0" applyNumberFormat="1"/>
    <xf numFmtId="0" fontId="0" fillId="6" borderId="0" xfId="0" applyFill="1"/>
    <xf numFmtId="0" fontId="14" fillId="7" borderId="0" xfId="0" applyFont="1" applyFill="1" applyProtection="1">
      <protection locked="0"/>
    </xf>
    <xf numFmtId="0" fontId="0" fillId="7" borderId="0" xfId="0" applyFill="1"/>
    <xf numFmtId="0" fontId="15" fillId="0" borderId="0" xfId="0" applyFont="1" applyAlignment="1" applyProtection="1">
      <alignment horizontal="left" vertical="center" indent="1"/>
      <protection locked="0"/>
    </xf>
    <xf numFmtId="0" fontId="15" fillId="0" borderId="0" xfId="0" applyFont="1" applyAlignment="1" applyProtection="1">
      <alignment horizontal="left" indent="2"/>
      <protection locked="0"/>
    </xf>
    <xf numFmtId="0" fontId="16" fillId="0" borderId="0" xfId="0" applyFont="1" applyProtection="1">
      <protection locked="0"/>
    </xf>
    <xf numFmtId="0" fontId="11" fillId="0" borderId="1" xfId="1" applyBorder="1"/>
    <xf numFmtId="0" fontId="11" fillId="0" borderId="0" xfId="1"/>
    <xf numFmtId="0" fontId="8" fillId="0" borderId="1" xfId="1" applyFont="1" applyBorder="1" applyAlignment="1">
      <alignment horizontal="left"/>
    </xf>
    <xf numFmtId="0" fontId="8" fillId="0" borderId="1" xfId="1" applyFont="1" applyBorder="1"/>
    <xf numFmtId="0" fontId="19" fillId="0" borderId="1" xfId="2" applyBorder="1"/>
    <xf numFmtId="0" fontId="21" fillId="0" borderId="1" xfId="1" applyFont="1" applyBorder="1" applyAlignment="1">
      <alignment horizontal="left"/>
    </xf>
    <xf numFmtId="14" fontId="0" fillId="4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7" fillId="2" borderId="0" xfId="0" applyFont="1" applyFill="1" applyAlignment="1">
      <alignment horizontal="center"/>
    </xf>
    <xf numFmtId="0" fontId="20" fillId="0" borderId="1" xfId="1" applyFont="1" applyBorder="1" applyAlignment="1">
      <alignment horizontal="left"/>
    </xf>
    <xf numFmtId="0" fontId="21" fillId="0" borderId="1" xfId="1" applyFont="1" applyBorder="1" applyAlignment="1">
      <alignment horizontal="left"/>
    </xf>
  </cellXfs>
  <cellStyles count="3">
    <cellStyle name="Hyperlink 2" xfId="2" xr:uid="{6E4CFDA1-B304-429F-BF86-A934DC34F520}"/>
    <cellStyle name="Normal" xfId="0" builtinId="0"/>
    <cellStyle name="Normal 2" xfId="1" xr:uid="{0867B8E7-D2EA-4585-8E72-6B43DFA7D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belajarexcel.id/" TargetMode="External"/><Relationship Id="rId1" Type="http://schemas.openxmlformats.org/officeDocument/2006/relationships/hyperlink" Target="https://belajarexcel.id/xl-test/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861060</xdr:colOff>
      <xdr:row>28</xdr:row>
      <xdr:rowOff>160020</xdr:rowOff>
    </xdr:from>
    <xdr:to>
      <xdr:col>7</xdr:col>
      <xdr:colOff>91440</xdr:colOff>
      <xdr:row>30</xdr:row>
      <xdr:rowOff>60960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92CFC-0A66-4A69-B98D-E98FEFD883F4}"/>
            </a:ext>
          </a:extLst>
        </xdr:cNvPr>
        <xdr:cNvSpPr/>
      </xdr:nvSpPr>
      <xdr:spPr>
        <a:xfrm flipH="1">
          <a:off x="6416040" y="6819900"/>
          <a:ext cx="1356360" cy="2667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Kirim Jawaban</a:t>
          </a:r>
        </a:p>
      </xdr:txBody>
    </xdr:sp>
    <xdr:clientData/>
  </xdr:twoCellAnchor>
  <xdr:twoCellAnchor editAs="oneCell">
    <xdr:from>
      <xdr:col>10</xdr:col>
      <xdr:colOff>670560</xdr:colOff>
      <xdr:row>29</xdr:row>
      <xdr:rowOff>91441</xdr:rowOff>
    </xdr:from>
    <xdr:to>
      <xdr:col>12</xdr:col>
      <xdr:colOff>393464</xdr:colOff>
      <xdr:row>33</xdr:row>
      <xdr:rowOff>99061</xdr:rowOff>
    </xdr:to>
    <xdr:pic>
      <xdr:nvPicPr>
        <xdr:cNvPr id="3" name="Picture 2" descr="A black background with white text&#10;&#10;AI-generated content may be incorrect.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A12995-A850-4914-9885-410721A8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7315201"/>
          <a:ext cx="2085104" cy="739140"/>
        </a:xfrm>
        <a:prstGeom prst="rect">
          <a:avLst/>
        </a:prstGeom>
      </xdr:spPr>
    </xdr:pic>
    <xdr:clientData/>
  </xdr:twoCellAnchor>
  <xdr:twoCellAnchor editAs="oneCell">
    <xdr:from>
      <xdr:col>4</xdr:col>
      <xdr:colOff>975360</xdr:colOff>
      <xdr:row>3</xdr:row>
      <xdr:rowOff>137161</xdr:rowOff>
    </xdr:from>
    <xdr:to>
      <xdr:col>5</xdr:col>
      <xdr:colOff>1013460</xdr:colOff>
      <xdr:row>5</xdr:row>
      <xdr:rowOff>31798</xdr:rowOff>
    </xdr:to>
    <xdr:pic>
      <xdr:nvPicPr>
        <xdr:cNvPr id="4" name="Picture 3" descr="A black background with white text&#10;&#10;AI-generated content may be incorrect.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62672E-3529-FD5F-0793-AC2138138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420" y="800101"/>
          <a:ext cx="1143000" cy="405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C7BF92-8E29-48E1-8E03-914C062E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6209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78C5-C98F-4898-9B35-DE6959A6B633}">
  <sheetPr codeName="Sheet1"/>
  <dimension ref="B1:P57"/>
  <sheetViews>
    <sheetView tabSelected="1" workbookViewId="0">
      <pane xSplit="6" ySplit="8" topLeftCell="G26" activePane="bottomRight" state="frozen"/>
      <selection pane="bottomRight" activeCell="G2" sqref="G2"/>
      <selection pane="bottomLeft" activeCell="A8" sqref="A8"/>
      <selection pane="topRight" activeCell="H1" sqref="H1"/>
    </sheetView>
  </sheetViews>
  <sheetFormatPr defaultRowHeight="14.45"/>
  <cols>
    <col min="1" max="1" width="6" customWidth="1"/>
    <col min="2" max="2" width="6.85546875" customWidth="1"/>
    <col min="3" max="3" width="16" customWidth="1"/>
    <col min="4" max="4" width="39.28515625" bestFit="1" customWidth="1"/>
    <col min="5" max="5" width="16.140625" customWidth="1"/>
    <col min="6" max="6" width="16" customWidth="1"/>
    <col min="7" max="7" width="18.7109375" customWidth="1"/>
    <col min="8" max="8" width="20.42578125" customWidth="1"/>
    <col min="9" max="9" width="14.42578125" customWidth="1"/>
    <col min="10" max="10" width="17.140625" customWidth="1"/>
    <col min="11" max="11" width="15.7109375" customWidth="1"/>
    <col min="12" max="12" width="18.7109375" customWidth="1"/>
    <col min="13" max="13" width="21.7109375" customWidth="1"/>
    <col min="14" max="15" width="21.42578125" customWidth="1"/>
    <col min="16" max="16" width="21.5703125" customWidth="1"/>
    <col min="17" max="17" width="13.28515625" customWidth="1"/>
    <col min="18" max="18" width="15.28515625" customWidth="1"/>
    <col min="19" max="19" width="17" customWidth="1"/>
    <col min="20" max="20" width="16.5703125" customWidth="1"/>
    <col min="21" max="21" width="15.28515625" customWidth="1"/>
    <col min="22" max="22" width="15.140625" customWidth="1"/>
    <col min="23" max="23" width="25.140625" customWidth="1"/>
    <col min="24" max="24" width="26.28515625" customWidth="1"/>
    <col min="25" max="25" width="24.85546875" customWidth="1"/>
  </cols>
  <sheetData>
    <row r="1" spans="2:16" ht="14.45" customHeight="1">
      <c r="C1" s="19" t="s">
        <v>0</v>
      </c>
    </row>
    <row r="2" spans="2:16" ht="21">
      <c r="C2" s="11" t="s">
        <v>1</v>
      </c>
      <c r="D2" s="22" t="s">
        <v>2</v>
      </c>
      <c r="E2" s="35" t="s">
        <v>3</v>
      </c>
      <c r="F2" s="35"/>
      <c r="G2" s="22" t="str">
        <f ca="1">kode_jawaban</f>
        <v>HH1|54-13BC47;D5-6AC8;F9-28EC;12-13A605;98-13BA8B;C9-13A4BC;E4-13BBD7;97-13AE8A;3B-13BA2E;5A-D04D</v>
      </c>
      <c r="H2" s="23"/>
      <c r="I2" s="23"/>
      <c r="J2" s="23"/>
      <c r="K2" s="23"/>
      <c r="L2" s="23"/>
      <c r="M2" s="23"/>
      <c r="N2" s="23"/>
    </row>
    <row r="3" spans="2:16" ht="14.45" customHeight="1">
      <c r="C3" s="1"/>
      <c r="D3" s="1"/>
    </row>
    <row r="4" spans="2:16" ht="14.45" customHeight="1">
      <c r="B4" s="1"/>
      <c r="C4" s="1"/>
      <c r="D4" s="1"/>
    </row>
    <row r="5" spans="2:16" ht="25.9" customHeight="1">
      <c r="B5" s="16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0"/>
    </row>
    <row r="7" spans="2:16" ht="14.45" customHeight="1">
      <c r="B7" s="1"/>
      <c r="C7" s="1"/>
      <c r="D7" s="1"/>
      <c r="G7" s="15">
        <v>1</v>
      </c>
      <c r="H7" s="15">
        <v>2</v>
      </c>
      <c r="I7" s="15">
        <v>3</v>
      </c>
      <c r="J7" s="15">
        <v>4</v>
      </c>
      <c r="K7" s="15">
        <v>5</v>
      </c>
      <c r="L7" s="15">
        <v>6</v>
      </c>
      <c r="M7" s="15">
        <v>7</v>
      </c>
      <c r="N7" s="15">
        <v>8</v>
      </c>
      <c r="O7" s="15">
        <v>9</v>
      </c>
      <c r="P7" s="15">
        <v>10</v>
      </c>
    </row>
    <row r="8" spans="2:16" ht="43.15">
      <c r="B8" s="2" t="s">
        <v>5</v>
      </c>
      <c r="C8" s="3" t="s">
        <v>6</v>
      </c>
      <c r="D8" s="2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  <c r="P8" s="3" t="s">
        <v>19</v>
      </c>
    </row>
    <row r="9" spans="2:16" ht="18" customHeight="1">
      <c r="B9" s="4">
        <v>1</v>
      </c>
      <c r="C9" s="5" t="s">
        <v>20</v>
      </c>
      <c r="D9" s="6" t="s">
        <v>21</v>
      </c>
      <c r="E9" s="7">
        <v>45664</v>
      </c>
      <c r="F9" s="5">
        <v>153</v>
      </c>
      <c r="G9" s="9">
        <f>WORKDAY.INTL(E9,F9,7)</f>
        <v>45879</v>
      </c>
      <c r="H9" s="8" cm="1">
        <f t="array" aca="1" ref="H9" ca="1">SUMPRODUCT(--(DAY(ROW(INDIRECT(E9&amp;":"&amp;G9)))=1))</f>
        <v>7</v>
      </c>
      <c r="I9" s="8">
        <f>NETWORKDAYS.INTL(E9,G9,"1111011")</f>
        <v>31</v>
      </c>
      <c r="J9" s="33">
        <f>EOMONTH(E9,IF(DAY(E9)=1,-1,0))+1</f>
        <v>45689</v>
      </c>
      <c r="K9" s="9">
        <f>EOMONTH(G9,-1)+1</f>
        <v>45870</v>
      </c>
      <c r="L9" s="9">
        <f>WORKDAY.INTL(E9 -1,1,"1111011")</f>
        <v>45667</v>
      </c>
      <c r="M9" s="9">
        <f>WORKDAY.INTL(G9+1,-1,"1111011")</f>
        <v>45877</v>
      </c>
      <c r="N9" s="9">
        <f>EDATE(E9,3)</f>
        <v>45754</v>
      </c>
      <c r="O9" s="9">
        <f>EOMONTH(E9,6)</f>
        <v>45869</v>
      </c>
      <c r="P9" s="34" cm="1">
        <f t="array" ref="P9">SUM(--(ISEVEN(DAY(E9+_xlfn.SEQUENCE(G9-E9+1,1,0)))*(WEEKDAY(E9+_xlfn.SEQUENCE(G9-E9+1,1,0))&lt;6)))</f>
        <v>76</v>
      </c>
    </row>
    <row r="10" spans="2:16" ht="18" customHeight="1">
      <c r="B10" s="4">
        <v>2</v>
      </c>
      <c r="C10" s="5" t="s">
        <v>22</v>
      </c>
      <c r="D10" s="6" t="s">
        <v>23</v>
      </c>
      <c r="E10" s="7">
        <v>45870</v>
      </c>
      <c r="F10" s="5">
        <v>102</v>
      </c>
      <c r="G10" s="9">
        <f t="shared" ref="G10:G28" si="0">WORKDAY.INTL(E10,F10,7)</f>
        <v>46013</v>
      </c>
      <c r="H10" s="8" cm="1">
        <f t="array" aca="1" ref="H10" ca="1">SUMPRODUCT(--(DAY(ROW(INDIRECT(E10&amp;":"&amp;G10)))=1))</f>
        <v>5</v>
      </c>
      <c r="I10" s="8">
        <f t="shared" ref="I10:I28" si="1">NETWORKDAYS.INTL(E10,G10,"1111011")</f>
        <v>21</v>
      </c>
      <c r="J10" s="33">
        <f t="shared" ref="J10:J28" si="2">EOMONTH(E10,IF(DAY(E10)=1,-1,0))+1</f>
        <v>45870</v>
      </c>
      <c r="K10" s="9">
        <f t="shared" ref="K10:K28" si="3">EOMONTH(G10,-1)+1</f>
        <v>45992</v>
      </c>
      <c r="L10" s="9">
        <f t="shared" ref="L10:L28" si="4">WORKDAY.INTL(E10 -1,1,"1111011")</f>
        <v>45870</v>
      </c>
      <c r="M10" s="9">
        <f t="shared" ref="M10:M28" si="5">WORKDAY.INTL(G10+1,-1,"1111011")</f>
        <v>46010</v>
      </c>
      <c r="N10" s="9">
        <f t="shared" ref="N10:N28" si="6">EDATE(E10,3)</f>
        <v>45962</v>
      </c>
      <c r="O10" s="9">
        <f t="shared" ref="O10:O28" si="7">EOMONTH(E10,6)</f>
        <v>46081</v>
      </c>
      <c r="P10" s="34" cm="1">
        <f t="array" ref="P10">SUM(--(ISEVEN(DAY(E10+_xlfn.SEQUENCE(G10-E10+1,1,0)))*(WEEKDAY(E10+_xlfn.SEQUENCE(G10-E10+1,1,0))&lt;6)))</f>
        <v>51</v>
      </c>
    </row>
    <row r="11" spans="2:16" ht="18" customHeight="1">
      <c r="B11" s="4">
        <v>3</v>
      </c>
      <c r="C11" s="5" t="s">
        <v>24</v>
      </c>
      <c r="D11" s="6" t="s">
        <v>25</v>
      </c>
      <c r="E11" s="7">
        <v>46365</v>
      </c>
      <c r="F11" s="5">
        <v>222</v>
      </c>
      <c r="G11" s="9">
        <f t="shared" si="0"/>
        <v>46677</v>
      </c>
      <c r="H11" s="8" cm="1">
        <f t="array" aca="1" ref="H11" ca="1">SUMPRODUCT(--(DAY(ROW(INDIRECT(E11&amp;":"&amp;G11)))=1))</f>
        <v>10</v>
      </c>
      <c r="I11" s="8">
        <f t="shared" si="1"/>
        <v>45</v>
      </c>
      <c r="J11" s="33">
        <f t="shared" si="2"/>
        <v>46388</v>
      </c>
      <c r="K11" s="9">
        <f t="shared" si="3"/>
        <v>46661</v>
      </c>
      <c r="L11" s="9">
        <f t="shared" si="4"/>
        <v>46367</v>
      </c>
      <c r="M11" s="9">
        <f t="shared" si="5"/>
        <v>46675</v>
      </c>
      <c r="N11" s="9">
        <f t="shared" si="6"/>
        <v>46455</v>
      </c>
      <c r="O11" s="9">
        <f t="shared" si="7"/>
        <v>46568</v>
      </c>
      <c r="P11" s="34" cm="1">
        <f t="array" ref="P11">SUM(--(ISEVEN(DAY(E11+_xlfn.SEQUENCE(G11-E11+1,1,0)))*(WEEKDAY(E11+_xlfn.SEQUENCE(G11-E11+1,1,0))&lt;6)))</f>
        <v>108</v>
      </c>
    </row>
    <row r="12" spans="2:16" ht="18" customHeight="1">
      <c r="B12" s="4">
        <v>4</v>
      </c>
      <c r="C12" s="5" t="s">
        <v>26</v>
      </c>
      <c r="D12" s="6" t="s">
        <v>27</v>
      </c>
      <c r="E12" s="7">
        <v>45709</v>
      </c>
      <c r="F12" s="5">
        <v>111</v>
      </c>
      <c r="G12" s="9">
        <f t="shared" si="0"/>
        <v>45865</v>
      </c>
      <c r="H12" s="8" cm="1">
        <f t="array" aca="1" ref="H12" ca="1">SUMPRODUCT(--(DAY(ROW(INDIRECT(E12&amp;":"&amp;G12)))=1))</f>
        <v>5</v>
      </c>
      <c r="I12" s="8">
        <f t="shared" si="1"/>
        <v>23</v>
      </c>
      <c r="J12" s="33">
        <f t="shared" si="2"/>
        <v>45717</v>
      </c>
      <c r="K12" s="9">
        <f t="shared" si="3"/>
        <v>45839</v>
      </c>
      <c r="L12" s="9">
        <f t="shared" si="4"/>
        <v>45709</v>
      </c>
      <c r="M12" s="9">
        <f t="shared" si="5"/>
        <v>45863</v>
      </c>
      <c r="N12" s="9">
        <f t="shared" si="6"/>
        <v>45798</v>
      </c>
      <c r="O12" s="9">
        <f t="shared" si="7"/>
        <v>45900</v>
      </c>
      <c r="P12" s="34" cm="1">
        <f t="array" ref="P12">SUM(--(ISEVEN(DAY(E12+_xlfn.SEQUENCE(G12-E12+1,1,0)))*(WEEKDAY(E12+_xlfn.SEQUENCE(G12-E12+1,1,0))&lt;6)))</f>
        <v>54</v>
      </c>
    </row>
    <row r="13" spans="2:16" ht="18" customHeight="1">
      <c r="B13" s="4">
        <v>5</v>
      </c>
      <c r="C13" s="5" t="s">
        <v>28</v>
      </c>
      <c r="D13" s="6" t="s">
        <v>29</v>
      </c>
      <c r="E13" s="7">
        <v>46013</v>
      </c>
      <c r="F13" s="5">
        <v>202</v>
      </c>
      <c r="G13" s="9">
        <f t="shared" si="0"/>
        <v>46295</v>
      </c>
      <c r="H13" s="8" cm="1">
        <f t="array" aca="1" ref="H13" ca="1">SUMPRODUCT(--(DAY(ROW(INDIRECT(E13&amp;":"&amp;G13)))=1))</f>
        <v>9</v>
      </c>
      <c r="I13" s="8">
        <f t="shared" si="1"/>
        <v>40</v>
      </c>
      <c r="J13" s="33">
        <f t="shared" si="2"/>
        <v>46023</v>
      </c>
      <c r="K13" s="9">
        <f t="shared" si="3"/>
        <v>46266</v>
      </c>
      <c r="L13" s="9">
        <f t="shared" si="4"/>
        <v>46017</v>
      </c>
      <c r="M13" s="9">
        <f t="shared" si="5"/>
        <v>46290</v>
      </c>
      <c r="N13" s="9">
        <f t="shared" si="6"/>
        <v>46103</v>
      </c>
      <c r="O13" s="9">
        <f t="shared" si="7"/>
        <v>46203</v>
      </c>
      <c r="P13" s="34" cm="1">
        <f t="array" ref="P13">SUM(--(ISEVEN(DAY(E13+_xlfn.SEQUENCE(G13-E13+1,1,0)))*(WEEKDAY(E13+_xlfn.SEQUENCE(G13-E13+1,1,0))&lt;6)))</f>
        <v>100</v>
      </c>
    </row>
    <row r="14" spans="2:16" ht="18" customHeight="1">
      <c r="B14" s="4">
        <v>6</v>
      </c>
      <c r="C14" s="5" t="s">
        <v>30</v>
      </c>
      <c r="D14" s="6" t="s">
        <v>31</v>
      </c>
      <c r="E14" s="7">
        <v>45863</v>
      </c>
      <c r="F14" s="5">
        <v>85</v>
      </c>
      <c r="G14" s="9">
        <f t="shared" si="0"/>
        <v>45981</v>
      </c>
      <c r="H14" s="8" cm="1">
        <f t="array" aca="1" ref="H14" ca="1">SUMPRODUCT(--(DAY(ROW(INDIRECT(E14&amp;":"&amp;G14)))=1))</f>
        <v>4</v>
      </c>
      <c r="I14" s="8">
        <f t="shared" si="1"/>
        <v>17</v>
      </c>
      <c r="J14" s="33">
        <f t="shared" si="2"/>
        <v>45870</v>
      </c>
      <c r="K14" s="9">
        <f t="shared" si="3"/>
        <v>45962</v>
      </c>
      <c r="L14" s="9">
        <f t="shared" si="4"/>
        <v>45863</v>
      </c>
      <c r="M14" s="9">
        <f t="shared" si="5"/>
        <v>45975</v>
      </c>
      <c r="N14" s="9">
        <f t="shared" si="6"/>
        <v>45955</v>
      </c>
      <c r="O14" s="9">
        <f t="shared" si="7"/>
        <v>46053</v>
      </c>
      <c r="P14" s="34" cm="1">
        <f t="array" ref="P14">SUM(--(ISEVEN(DAY(E14+_xlfn.SEQUENCE(G14-E14+1,1,0)))*(WEEKDAY(E14+_xlfn.SEQUENCE(G14-E14+1,1,0))&lt;6)))</f>
        <v>42</v>
      </c>
    </row>
    <row r="15" spans="2:16" ht="18" customHeight="1">
      <c r="B15" s="4">
        <v>7</v>
      </c>
      <c r="C15" s="5" t="s">
        <v>32</v>
      </c>
      <c r="D15" s="6" t="s">
        <v>33</v>
      </c>
      <c r="E15" s="7">
        <v>46080</v>
      </c>
      <c r="F15" s="5">
        <v>153</v>
      </c>
      <c r="G15" s="9">
        <f t="shared" si="0"/>
        <v>46294</v>
      </c>
      <c r="H15" s="8" cm="1">
        <f t="array" aca="1" ref="H15" ca="1">SUMPRODUCT(--(DAY(ROW(INDIRECT(E15&amp;":"&amp;G15)))=1))</f>
        <v>7</v>
      </c>
      <c r="I15" s="8">
        <f t="shared" si="1"/>
        <v>31</v>
      </c>
      <c r="J15" s="33">
        <f t="shared" si="2"/>
        <v>46082</v>
      </c>
      <c r="K15" s="9">
        <f t="shared" si="3"/>
        <v>46266</v>
      </c>
      <c r="L15" s="9">
        <f t="shared" si="4"/>
        <v>46080</v>
      </c>
      <c r="M15" s="9">
        <f t="shared" si="5"/>
        <v>46290</v>
      </c>
      <c r="N15" s="9">
        <f t="shared" si="6"/>
        <v>46169</v>
      </c>
      <c r="O15" s="9">
        <f t="shared" si="7"/>
        <v>46265</v>
      </c>
      <c r="P15" s="34" cm="1">
        <f t="array" ref="P15">SUM(--(ISEVEN(DAY(E15+_xlfn.SEQUENCE(G15-E15+1,1,0)))*(WEEKDAY(E15+_xlfn.SEQUENCE(G15-E15+1,1,0))&lt;6)))</f>
        <v>75</v>
      </c>
    </row>
    <row r="16" spans="2:16" ht="18" customHeight="1">
      <c r="B16" s="4">
        <v>8</v>
      </c>
      <c r="C16" s="5" t="s">
        <v>34</v>
      </c>
      <c r="D16" s="6" t="s">
        <v>35</v>
      </c>
      <c r="E16" s="7">
        <v>46097</v>
      </c>
      <c r="F16" s="5">
        <v>212</v>
      </c>
      <c r="G16" s="9">
        <f t="shared" si="0"/>
        <v>46393</v>
      </c>
      <c r="H16" s="8" cm="1">
        <f t="array" aca="1" ref="H16" ca="1">SUMPRODUCT(--(DAY(ROW(INDIRECT(E16&amp;":"&amp;G16)))=1))</f>
        <v>10</v>
      </c>
      <c r="I16" s="8">
        <f t="shared" si="1"/>
        <v>42</v>
      </c>
      <c r="J16" s="33">
        <f t="shared" si="2"/>
        <v>46113</v>
      </c>
      <c r="K16" s="9">
        <f t="shared" si="3"/>
        <v>46388</v>
      </c>
      <c r="L16" s="9">
        <f t="shared" si="4"/>
        <v>46101</v>
      </c>
      <c r="M16" s="9">
        <f t="shared" si="5"/>
        <v>46388</v>
      </c>
      <c r="N16" s="9">
        <f t="shared" si="6"/>
        <v>46189</v>
      </c>
      <c r="O16" s="9">
        <f t="shared" si="7"/>
        <v>46295</v>
      </c>
      <c r="P16" s="34" cm="1">
        <f t="array" ref="P16">SUM(--(ISEVEN(DAY(E16+_xlfn.SEQUENCE(G16-E16+1,1,0)))*(WEEKDAY(E16+_xlfn.SEQUENCE(G16-E16+1,1,0))&lt;6)))</f>
        <v>105</v>
      </c>
    </row>
    <row r="17" spans="2:16" ht="18" customHeight="1">
      <c r="B17" s="4">
        <v>9</v>
      </c>
      <c r="C17" s="5" t="s">
        <v>36</v>
      </c>
      <c r="D17" s="6" t="s">
        <v>37</v>
      </c>
      <c r="E17" s="7">
        <v>45805</v>
      </c>
      <c r="F17" s="5">
        <v>119</v>
      </c>
      <c r="G17" s="9">
        <f t="shared" si="0"/>
        <v>45972</v>
      </c>
      <c r="H17" s="8" cm="1">
        <f t="array" aca="1" ref="H17" ca="1">SUMPRODUCT(--(DAY(ROW(INDIRECT(E17&amp;":"&amp;G17)))=1))</f>
        <v>6</v>
      </c>
      <c r="I17" s="8">
        <f t="shared" si="1"/>
        <v>24</v>
      </c>
      <c r="J17" s="33">
        <f t="shared" si="2"/>
        <v>45809</v>
      </c>
      <c r="K17" s="9">
        <f t="shared" si="3"/>
        <v>45962</v>
      </c>
      <c r="L17" s="9">
        <f t="shared" si="4"/>
        <v>45807</v>
      </c>
      <c r="M17" s="9">
        <f t="shared" si="5"/>
        <v>45968</v>
      </c>
      <c r="N17" s="9">
        <f t="shared" si="6"/>
        <v>45897</v>
      </c>
      <c r="O17" s="9">
        <f t="shared" si="7"/>
        <v>45991</v>
      </c>
      <c r="P17" s="34" cm="1">
        <f t="array" ref="P17">SUM(--(ISEVEN(DAY(E17+_xlfn.SEQUENCE(G17-E17+1,1,0)))*(WEEKDAY(E17+_xlfn.SEQUENCE(G17-E17+1,1,0))&lt;6)))</f>
        <v>59</v>
      </c>
    </row>
    <row r="18" spans="2:16" ht="18" customHeight="1">
      <c r="B18" s="4">
        <v>10</v>
      </c>
      <c r="C18" s="5" t="s">
        <v>38</v>
      </c>
      <c r="D18" s="6" t="s">
        <v>39</v>
      </c>
      <c r="E18" s="7">
        <v>46296</v>
      </c>
      <c r="F18" s="5">
        <v>256</v>
      </c>
      <c r="G18" s="9">
        <f t="shared" si="0"/>
        <v>46656</v>
      </c>
      <c r="H18" s="8" cm="1">
        <f t="array" aca="1" ref="H18" ca="1">SUMPRODUCT(--(DAY(ROW(INDIRECT(E18&amp;":"&amp;G18)))=1))</f>
        <v>12</v>
      </c>
      <c r="I18" s="8">
        <f t="shared" si="1"/>
        <v>52</v>
      </c>
      <c r="J18" s="33">
        <f t="shared" si="2"/>
        <v>46296</v>
      </c>
      <c r="K18" s="9">
        <f t="shared" si="3"/>
        <v>46631</v>
      </c>
      <c r="L18" s="9">
        <f t="shared" si="4"/>
        <v>46297</v>
      </c>
      <c r="M18" s="9">
        <f t="shared" si="5"/>
        <v>46654</v>
      </c>
      <c r="N18" s="9">
        <f t="shared" si="6"/>
        <v>46388</v>
      </c>
      <c r="O18" s="9">
        <f t="shared" si="7"/>
        <v>46507</v>
      </c>
      <c r="P18" s="34" cm="1">
        <f t="array" ref="P18">SUM(--(ISEVEN(DAY(E18+_xlfn.SEQUENCE(G18-E18+1,1,0)))*(WEEKDAY(E18+_xlfn.SEQUENCE(G18-E18+1,1,0))&lt;6)))</f>
        <v>125</v>
      </c>
    </row>
    <row r="19" spans="2:16" ht="18" customHeight="1">
      <c r="B19" s="4">
        <v>11</v>
      </c>
      <c r="C19" s="5" t="s">
        <v>40</v>
      </c>
      <c r="D19" s="6" t="s">
        <v>41</v>
      </c>
      <c r="E19" s="7">
        <v>45876</v>
      </c>
      <c r="F19" s="5">
        <v>155</v>
      </c>
      <c r="G19" s="9">
        <f t="shared" si="0"/>
        <v>46093</v>
      </c>
      <c r="H19" s="8" cm="1">
        <f t="array" aca="1" ref="H19" ca="1">SUMPRODUCT(--(DAY(ROW(INDIRECT(E19&amp;":"&amp;G19)))=1))</f>
        <v>7</v>
      </c>
      <c r="I19" s="8">
        <f t="shared" si="1"/>
        <v>31</v>
      </c>
      <c r="J19" s="33">
        <f t="shared" si="2"/>
        <v>45901</v>
      </c>
      <c r="K19" s="9">
        <f t="shared" si="3"/>
        <v>46082</v>
      </c>
      <c r="L19" s="9">
        <f t="shared" si="4"/>
        <v>45877</v>
      </c>
      <c r="M19" s="9">
        <f t="shared" si="5"/>
        <v>46087</v>
      </c>
      <c r="N19" s="9">
        <f t="shared" si="6"/>
        <v>45968</v>
      </c>
      <c r="O19" s="9">
        <f t="shared" si="7"/>
        <v>46081</v>
      </c>
      <c r="P19" s="34" cm="1">
        <f t="array" ref="P19">SUM(--(ISEVEN(DAY(E19+_xlfn.SEQUENCE(G19-E19+1,1,0)))*(WEEKDAY(E19+_xlfn.SEQUENCE(G19-E19+1,1,0))&lt;6)))</f>
        <v>77</v>
      </c>
    </row>
    <row r="20" spans="2:16" ht="18" customHeight="1">
      <c r="B20" s="4">
        <v>12</v>
      </c>
      <c r="C20" s="5" t="s">
        <v>42</v>
      </c>
      <c r="D20" s="6" t="s">
        <v>43</v>
      </c>
      <c r="E20" s="7">
        <v>46371</v>
      </c>
      <c r="F20" s="5">
        <v>246</v>
      </c>
      <c r="G20" s="9">
        <f t="shared" si="0"/>
        <v>46715</v>
      </c>
      <c r="H20" s="8" cm="1">
        <f t="array" aca="1" ref="H20" ca="1">SUMPRODUCT(--(DAY(ROW(INDIRECT(E20&amp;":"&amp;G20)))=1))</f>
        <v>11</v>
      </c>
      <c r="I20" s="8">
        <f t="shared" si="1"/>
        <v>49</v>
      </c>
      <c r="J20" s="33">
        <f t="shared" si="2"/>
        <v>46388</v>
      </c>
      <c r="K20" s="9">
        <f t="shared" si="3"/>
        <v>46692</v>
      </c>
      <c r="L20" s="9">
        <f t="shared" si="4"/>
        <v>46374</v>
      </c>
      <c r="M20" s="9">
        <f t="shared" si="5"/>
        <v>46710</v>
      </c>
      <c r="N20" s="9">
        <f t="shared" si="6"/>
        <v>46461</v>
      </c>
      <c r="O20" s="9">
        <f t="shared" si="7"/>
        <v>46568</v>
      </c>
      <c r="P20" s="34" cm="1">
        <f t="array" ref="P20">SUM(--(ISEVEN(DAY(E20+_xlfn.SEQUENCE(G20-E20+1,1,0)))*(WEEKDAY(E20+_xlfn.SEQUENCE(G20-E20+1,1,0))&lt;6)))</f>
        <v>120</v>
      </c>
    </row>
    <row r="21" spans="2:16" ht="18" customHeight="1">
      <c r="B21" s="4">
        <v>13</v>
      </c>
      <c r="C21" s="5" t="s">
        <v>44</v>
      </c>
      <c r="D21" s="6" t="s">
        <v>45</v>
      </c>
      <c r="E21" s="7">
        <v>46024</v>
      </c>
      <c r="F21" s="5">
        <v>202</v>
      </c>
      <c r="G21" s="9">
        <f t="shared" si="0"/>
        <v>46307</v>
      </c>
      <c r="H21" s="8" cm="1">
        <f t="array" aca="1" ref="H21" ca="1">SUMPRODUCT(--(DAY(ROW(INDIRECT(E21&amp;":"&amp;G21)))=1))</f>
        <v>9</v>
      </c>
      <c r="I21" s="8">
        <f t="shared" si="1"/>
        <v>41</v>
      </c>
      <c r="J21" s="33">
        <f t="shared" si="2"/>
        <v>46054</v>
      </c>
      <c r="K21" s="9">
        <f t="shared" si="3"/>
        <v>46296</v>
      </c>
      <c r="L21" s="9">
        <f t="shared" si="4"/>
        <v>46024</v>
      </c>
      <c r="M21" s="9">
        <f t="shared" si="5"/>
        <v>46304</v>
      </c>
      <c r="N21" s="9">
        <f t="shared" si="6"/>
        <v>46114</v>
      </c>
      <c r="O21" s="9">
        <f t="shared" si="7"/>
        <v>46234</v>
      </c>
      <c r="P21" s="34" cm="1">
        <f t="array" ref="P21">SUM(--(ISEVEN(DAY(E21+_xlfn.SEQUENCE(G21-E21+1,1,0)))*(WEEKDAY(E21+_xlfn.SEQUENCE(G21-E21+1,1,0))&lt;6)))</f>
        <v>100</v>
      </c>
    </row>
    <row r="22" spans="2:16" ht="18" customHeight="1">
      <c r="B22" s="4">
        <v>14</v>
      </c>
      <c r="C22" s="5" t="s">
        <v>46</v>
      </c>
      <c r="D22" s="6" t="s">
        <v>47</v>
      </c>
      <c r="E22" s="7">
        <v>45775</v>
      </c>
      <c r="F22" s="5">
        <v>151</v>
      </c>
      <c r="G22" s="9">
        <f t="shared" si="0"/>
        <v>45986</v>
      </c>
      <c r="H22" s="8" cm="1">
        <f t="array" aca="1" ref="H22" ca="1">SUMPRODUCT(--(DAY(ROW(INDIRECT(E22&amp;":"&amp;G22)))=1))</f>
        <v>7</v>
      </c>
      <c r="I22" s="8">
        <f t="shared" si="1"/>
        <v>30</v>
      </c>
      <c r="J22" s="33">
        <f t="shared" si="2"/>
        <v>45778</v>
      </c>
      <c r="K22" s="9">
        <f t="shared" si="3"/>
        <v>45962</v>
      </c>
      <c r="L22" s="9">
        <f t="shared" si="4"/>
        <v>45779</v>
      </c>
      <c r="M22" s="9">
        <f t="shared" si="5"/>
        <v>45982</v>
      </c>
      <c r="N22" s="9">
        <f t="shared" si="6"/>
        <v>45866</v>
      </c>
      <c r="O22" s="9">
        <f t="shared" si="7"/>
        <v>45961</v>
      </c>
      <c r="P22" s="34" cm="1">
        <f t="array" ref="P22">SUM(--(ISEVEN(DAY(E22+_xlfn.SEQUENCE(G22-E22+1,1,0)))*(WEEKDAY(E22+_xlfn.SEQUENCE(G22-E22+1,1,0))&lt;6)))</f>
        <v>75</v>
      </c>
    </row>
    <row r="23" spans="2:16" ht="18" customHeight="1">
      <c r="B23" s="4">
        <v>15</v>
      </c>
      <c r="C23" s="5" t="s">
        <v>48</v>
      </c>
      <c r="D23" s="6" t="s">
        <v>49</v>
      </c>
      <c r="E23" s="7">
        <v>46296</v>
      </c>
      <c r="F23" s="5">
        <v>107</v>
      </c>
      <c r="G23" s="9">
        <f t="shared" si="0"/>
        <v>46447</v>
      </c>
      <c r="H23" s="8" cm="1">
        <f t="array" aca="1" ref="H23" ca="1">SUMPRODUCT(--(DAY(ROW(INDIRECT(E23&amp;":"&amp;G23)))=1))</f>
        <v>6</v>
      </c>
      <c r="I23" s="8">
        <f t="shared" si="1"/>
        <v>22</v>
      </c>
      <c r="J23" s="33">
        <f t="shared" si="2"/>
        <v>46296</v>
      </c>
      <c r="K23" s="9">
        <f t="shared" si="3"/>
        <v>46447</v>
      </c>
      <c r="L23" s="9">
        <f t="shared" si="4"/>
        <v>46297</v>
      </c>
      <c r="M23" s="9">
        <f t="shared" si="5"/>
        <v>46444</v>
      </c>
      <c r="N23" s="9">
        <f t="shared" si="6"/>
        <v>46388</v>
      </c>
      <c r="O23" s="9">
        <f t="shared" si="7"/>
        <v>46507</v>
      </c>
      <c r="P23" s="34" cm="1">
        <f t="array" ref="P23">SUM(--(ISEVEN(DAY(E23+_xlfn.SEQUENCE(G23-E23+1,1,0)))*(WEEKDAY(E23+_xlfn.SEQUENCE(G23-E23+1,1,0))&lt;6)))</f>
        <v>52</v>
      </c>
    </row>
    <row r="24" spans="2:16" ht="18" customHeight="1">
      <c r="B24" s="4">
        <v>16</v>
      </c>
      <c r="C24" s="5" t="s">
        <v>50</v>
      </c>
      <c r="D24" s="6" t="s">
        <v>51</v>
      </c>
      <c r="E24" s="7">
        <v>46303</v>
      </c>
      <c r="F24" s="5">
        <v>178</v>
      </c>
      <c r="G24" s="9">
        <f t="shared" si="0"/>
        <v>46553</v>
      </c>
      <c r="H24" s="8" cm="1">
        <f t="array" aca="1" ref="H24" ca="1">SUMPRODUCT(--(DAY(ROW(INDIRECT(E24&amp;":"&amp;G24)))=1))</f>
        <v>8</v>
      </c>
      <c r="I24" s="8">
        <f t="shared" si="1"/>
        <v>36</v>
      </c>
      <c r="J24" s="33">
        <f t="shared" si="2"/>
        <v>46327</v>
      </c>
      <c r="K24" s="9">
        <f t="shared" si="3"/>
        <v>46539</v>
      </c>
      <c r="L24" s="9">
        <f t="shared" si="4"/>
        <v>46304</v>
      </c>
      <c r="M24" s="9">
        <f t="shared" si="5"/>
        <v>46549</v>
      </c>
      <c r="N24" s="9">
        <f t="shared" si="6"/>
        <v>46395</v>
      </c>
      <c r="O24" s="9">
        <f t="shared" si="7"/>
        <v>46507</v>
      </c>
      <c r="P24" s="34" cm="1">
        <f t="array" ref="P24">SUM(--(ISEVEN(DAY(E24+_xlfn.SEQUENCE(G24-E24+1,1,0)))*(WEEKDAY(E24+_xlfn.SEQUENCE(G24-E24+1,1,0))&lt;6)))</f>
        <v>87</v>
      </c>
    </row>
    <row r="25" spans="2:16" ht="18" customHeight="1">
      <c r="B25" s="4">
        <v>17</v>
      </c>
      <c r="C25" s="5" t="s">
        <v>52</v>
      </c>
      <c r="D25" s="6" t="s">
        <v>53</v>
      </c>
      <c r="E25" s="7">
        <v>46262</v>
      </c>
      <c r="F25" s="5">
        <v>140</v>
      </c>
      <c r="G25" s="9">
        <f t="shared" si="0"/>
        <v>46457</v>
      </c>
      <c r="H25" s="8" cm="1">
        <f t="array" aca="1" ref="H25" ca="1">SUMPRODUCT(--(DAY(ROW(INDIRECT(E25&amp;":"&amp;G25)))=1))</f>
        <v>7</v>
      </c>
      <c r="I25" s="8">
        <f t="shared" si="1"/>
        <v>28</v>
      </c>
      <c r="J25" s="33">
        <f t="shared" si="2"/>
        <v>46266</v>
      </c>
      <c r="K25" s="9">
        <f t="shared" si="3"/>
        <v>46447</v>
      </c>
      <c r="L25" s="9">
        <f t="shared" si="4"/>
        <v>46262</v>
      </c>
      <c r="M25" s="9">
        <f t="shared" si="5"/>
        <v>46451</v>
      </c>
      <c r="N25" s="9">
        <f t="shared" si="6"/>
        <v>46354</v>
      </c>
      <c r="O25" s="9">
        <f t="shared" si="7"/>
        <v>46446</v>
      </c>
      <c r="P25" s="34" cm="1">
        <f t="array" ref="P25">SUM(--(ISEVEN(DAY(E25+_xlfn.SEQUENCE(G25-E25+1,1,0)))*(WEEKDAY(E25+_xlfn.SEQUENCE(G25-E25+1,1,0))&lt;6)))</f>
        <v>68</v>
      </c>
    </row>
    <row r="26" spans="2:16" ht="18" customHeight="1">
      <c r="B26" s="4">
        <v>18</v>
      </c>
      <c r="C26" s="5" t="s">
        <v>54</v>
      </c>
      <c r="D26" s="6" t="s">
        <v>55</v>
      </c>
      <c r="E26" s="7">
        <v>46307</v>
      </c>
      <c r="F26" s="5">
        <v>179</v>
      </c>
      <c r="G26" s="9">
        <f t="shared" si="0"/>
        <v>46558</v>
      </c>
      <c r="H26" s="8" cm="1">
        <f t="array" aca="1" ref="H26" ca="1">SUMPRODUCT(--(DAY(ROW(INDIRECT(E26&amp;":"&amp;G26)))=1))</f>
        <v>8</v>
      </c>
      <c r="I26" s="8">
        <f t="shared" si="1"/>
        <v>36</v>
      </c>
      <c r="J26" s="33">
        <f t="shared" si="2"/>
        <v>46327</v>
      </c>
      <c r="K26" s="9">
        <f t="shared" si="3"/>
        <v>46539</v>
      </c>
      <c r="L26" s="9">
        <f t="shared" si="4"/>
        <v>46311</v>
      </c>
      <c r="M26" s="9">
        <f t="shared" si="5"/>
        <v>46556</v>
      </c>
      <c r="N26" s="9">
        <f t="shared" si="6"/>
        <v>46399</v>
      </c>
      <c r="O26" s="9">
        <f t="shared" si="7"/>
        <v>46507</v>
      </c>
      <c r="P26" s="34" cm="1">
        <f t="array" ref="P26">SUM(--(ISEVEN(DAY(E26+_xlfn.SEQUENCE(G26-E26+1,1,0)))*(WEEKDAY(E26+_xlfn.SEQUENCE(G26-E26+1,1,0))&lt;6)))</f>
        <v>88</v>
      </c>
    </row>
    <row r="27" spans="2:16" ht="18" customHeight="1">
      <c r="B27" s="4">
        <v>19</v>
      </c>
      <c r="C27" s="5" t="s">
        <v>56</v>
      </c>
      <c r="D27" s="6" t="s">
        <v>57</v>
      </c>
      <c r="E27" s="7">
        <v>45663</v>
      </c>
      <c r="F27" s="5">
        <v>227</v>
      </c>
      <c r="G27" s="9">
        <f t="shared" si="0"/>
        <v>45980</v>
      </c>
      <c r="H27" s="8" cm="1">
        <f t="array" aca="1" ref="H27" ca="1">SUMPRODUCT(--(DAY(ROW(INDIRECT(E27&amp;":"&amp;G27)))=1))</f>
        <v>10</v>
      </c>
      <c r="I27" s="8">
        <f t="shared" si="1"/>
        <v>45</v>
      </c>
      <c r="J27" s="33">
        <f t="shared" si="2"/>
        <v>45689</v>
      </c>
      <c r="K27" s="9">
        <f t="shared" si="3"/>
        <v>45962</v>
      </c>
      <c r="L27" s="9">
        <f t="shared" si="4"/>
        <v>45667</v>
      </c>
      <c r="M27" s="9">
        <f t="shared" si="5"/>
        <v>45975</v>
      </c>
      <c r="N27" s="9">
        <f t="shared" si="6"/>
        <v>45753</v>
      </c>
      <c r="O27" s="9">
        <f t="shared" si="7"/>
        <v>45869</v>
      </c>
      <c r="P27" s="34" cm="1">
        <f t="array" ref="P27">SUM(--(ISEVEN(DAY(E27+_xlfn.SEQUENCE(G27-E27+1,1,0)))*(WEEKDAY(E27+_xlfn.SEQUENCE(G27-E27+1,1,0))&lt;6)))</f>
        <v>113</v>
      </c>
    </row>
    <row r="28" spans="2:16" ht="18" customHeight="1">
      <c r="B28" s="4">
        <v>20</v>
      </c>
      <c r="C28" s="5" t="s">
        <v>58</v>
      </c>
      <c r="D28" s="6" t="s">
        <v>59</v>
      </c>
      <c r="E28" s="7">
        <v>45737</v>
      </c>
      <c r="F28" s="5">
        <v>84</v>
      </c>
      <c r="G28" s="9">
        <f t="shared" si="0"/>
        <v>45854</v>
      </c>
      <c r="H28" s="8" cm="1">
        <f t="array" aca="1" ref="H28" ca="1">SUMPRODUCT(--(DAY(ROW(INDIRECT(E28&amp;":"&amp;G28)))=1))</f>
        <v>4</v>
      </c>
      <c r="I28" s="8">
        <f t="shared" si="1"/>
        <v>17</v>
      </c>
      <c r="J28" s="33">
        <f t="shared" si="2"/>
        <v>45748</v>
      </c>
      <c r="K28" s="9">
        <f t="shared" si="3"/>
        <v>45839</v>
      </c>
      <c r="L28" s="9">
        <f t="shared" si="4"/>
        <v>45737</v>
      </c>
      <c r="M28" s="9">
        <f t="shared" si="5"/>
        <v>45849</v>
      </c>
      <c r="N28" s="9">
        <f t="shared" si="6"/>
        <v>45829</v>
      </c>
      <c r="O28" s="9">
        <f t="shared" si="7"/>
        <v>45930</v>
      </c>
      <c r="P28" s="34" cm="1">
        <f t="array" ref="P28">SUM(--(ISEVEN(DAY(E28+_xlfn.SEQUENCE(G28-E28+1,1,0)))*(WEEKDAY(E28+_xlfn.SEQUENCE(G28-E28+1,1,0))&lt;6)))</f>
        <v>41</v>
      </c>
    </row>
    <row r="30" spans="2:16">
      <c r="B30" t="s">
        <v>60</v>
      </c>
    </row>
    <row r="31" spans="2:16">
      <c r="N31" s="17"/>
    </row>
    <row r="32" spans="2:16">
      <c r="C32" s="12" t="s">
        <v>61</v>
      </c>
    </row>
    <row r="33" spans="2:12">
      <c r="B33">
        <v>1</v>
      </c>
      <c r="C33" s="13" t="s">
        <v>62</v>
      </c>
    </row>
    <row r="34" spans="2:12">
      <c r="C34" s="13" t="s">
        <v>63</v>
      </c>
      <c r="L34" s="14" t="s">
        <v>64</v>
      </c>
    </row>
    <row r="35" spans="2:12">
      <c r="B35">
        <v>2</v>
      </c>
      <c r="C35" s="13" t="s">
        <v>65</v>
      </c>
    </row>
    <row r="36" spans="2:12">
      <c r="B36">
        <v>3</v>
      </c>
      <c r="C36" s="13" t="s">
        <v>66</v>
      </c>
    </row>
    <row r="37" spans="2:12">
      <c r="B37">
        <v>4</v>
      </c>
      <c r="C37" s="13" t="s">
        <v>67</v>
      </c>
    </row>
    <row r="38" spans="2:12">
      <c r="B38">
        <v>5</v>
      </c>
      <c r="C38" s="13" t="s">
        <v>68</v>
      </c>
    </row>
    <row r="39" spans="2:12">
      <c r="B39">
        <v>6</v>
      </c>
      <c r="C39" s="13" t="s">
        <v>69</v>
      </c>
    </row>
    <row r="40" spans="2:12">
      <c r="B40">
        <v>7</v>
      </c>
      <c r="C40" s="13" t="s">
        <v>70</v>
      </c>
    </row>
    <row r="41" spans="2:12">
      <c r="B41">
        <v>8</v>
      </c>
      <c r="C41" s="13" t="s">
        <v>71</v>
      </c>
    </row>
    <row r="42" spans="2:12">
      <c r="C42" s="13" t="s">
        <v>72</v>
      </c>
    </row>
    <row r="43" spans="2:12">
      <c r="B43">
        <v>9</v>
      </c>
      <c r="C43" s="13" t="s">
        <v>73</v>
      </c>
    </row>
    <row r="44" spans="2:12">
      <c r="C44" s="13" t="s">
        <v>74</v>
      </c>
    </row>
    <row r="45" spans="2:12">
      <c r="B45">
        <v>10</v>
      </c>
      <c r="C45" s="13" t="s">
        <v>75</v>
      </c>
    </row>
    <row r="46" spans="2:12">
      <c r="C46" s="13" t="s">
        <v>76</v>
      </c>
    </row>
    <row r="47" spans="2:12">
      <c r="C47" s="13"/>
    </row>
    <row r="48" spans="2:12">
      <c r="C48" s="24" t="s">
        <v>77</v>
      </c>
    </row>
    <row r="49" spans="3:9">
      <c r="C49" s="25" t="s">
        <v>78</v>
      </c>
    </row>
    <row r="50" spans="3:9">
      <c r="C50" s="13"/>
    </row>
    <row r="51" spans="3:9">
      <c r="C51" s="26" t="s">
        <v>79</v>
      </c>
    </row>
    <row r="52" spans="3:9">
      <c r="C52" s="26" t="s">
        <v>80</v>
      </c>
    </row>
    <row r="53" spans="3:9">
      <c r="C53" s="13"/>
    </row>
    <row r="54" spans="3:9">
      <c r="C54" s="13"/>
    </row>
    <row r="55" spans="3:9">
      <c r="C55" s="13"/>
      <c r="H55" s="17"/>
      <c r="I55" s="17"/>
    </row>
    <row r="56" spans="3:9">
      <c r="C56" s="13"/>
    </row>
    <row r="57" spans="3:9">
      <c r="C57" s="13"/>
    </row>
  </sheetData>
  <mergeCells count="1">
    <mergeCell ref="E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8E15-4185-4232-AEF8-A3759B584960}">
  <sheetPr codeName="Sheet4"/>
  <dimension ref="A1:J25"/>
  <sheetViews>
    <sheetView showGridLines="0" workbookViewId="0">
      <selection activeCell="F26" sqref="F26"/>
    </sheetView>
  </sheetViews>
  <sheetFormatPr defaultColWidth="8.85546875" defaultRowHeight="14.45"/>
  <cols>
    <col min="1" max="3" width="8.85546875" style="28"/>
    <col min="4" max="4" width="10.5703125" style="28" customWidth="1"/>
    <col min="5" max="5" width="9.28515625" style="28" customWidth="1"/>
    <col min="6" max="7" width="8.85546875" style="28"/>
    <col min="8" max="8" width="26.42578125" style="28" customWidth="1"/>
    <col min="9" max="16384" width="8.85546875" style="28"/>
  </cols>
  <sheetData>
    <row r="1" spans="1:10">
      <c r="A1" s="27"/>
      <c r="B1" s="27"/>
      <c r="C1" s="27"/>
      <c r="D1" s="27"/>
      <c r="E1" s="27"/>
      <c r="F1" s="27"/>
      <c r="G1" s="27"/>
      <c r="H1" s="27"/>
      <c r="I1" s="27"/>
      <c r="J1" s="27"/>
    </row>
    <row r="2" spans="1:10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0">
      <c r="A6" s="27"/>
      <c r="B6" s="27"/>
      <c r="C6" s="27" t="s">
        <v>81</v>
      </c>
      <c r="D6" s="27"/>
      <c r="E6" s="27"/>
      <c r="F6" s="27"/>
      <c r="G6" s="27"/>
      <c r="H6" s="27"/>
      <c r="I6" s="27"/>
      <c r="J6" s="27"/>
    </row>
    <row r="7" spans="1:10">
      <c r="A7" s="27"/>
      <c r="B7" s="27"/>
      <c r="C7" s="27" t="s">
        <v>82</v>
      </c>
      <c r="D7" s="27"/>
      <c r="E7" s="27"/>
      <c r="F7" s="27"/>
      <c r="G7" s="27"/>
      <c r="H7" s="27"/>
      <c r="I7" s="27"/>
      <c r="J7" s="27"/>
    </row>
    <row r="8" spans="1:10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0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0">
      <c r="A10" s="27"/>
      <c r="B10" s="27"/>
      <c r="C10" s="27" t="s">
        <v>83</v>
      </c>
      <c r="D10" s="27"/>
      <c r="E10" s="27"/>
      <c r="F10" s="27"/>
      <c r="G10" s="27"/>
      <c r="H10" s="27"/>
      <c r="I10" s="27"/>
      <c r="J10" s="27"/>
    </row>
    <row r="11" spans="1:10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>
      <c r="A12" s="27"/>
      <c r="B12" s="27"/>
      <c r="C12" s="27"/>
      <c r="D12" s="36" t="s">
        <v>84</v>
      </c>
      <c r="E12" s="36"/>
      <c r="F12" s="37" t="s">
        <v>85</v>
      </c>
      <c r="G12" s="37"/>
      <c r="H12" s="27"/>
      <c r="I12" s="27"/>
      <c r="J12" s="27"/>
    </row>
    <row r="13" spans="1:10">
      <c r="A13" s="27"/>
      <c r="B13" s="27"/>
      <c r="C13" s="27"/>
      <c r="D13" s="36" t="s">
        <v>86</v>
      </c>
      <c r="E13" s="36"/>
      <c r="F13" s="32" t="s">
        <v>87</v>
      </c>
      <c r="G13" s="29"/>
      <c r="H13" s="27"/>
      <c r="I13" s="27"/>
      <c r="J13" s="27"/>
    </row>
    <row r="14" spans="1:10">
      <c r="A14" s="27"/>
      <c r="B14" s="27"/>
      <c r="C14" s="27"/>
      <c r="D14" s="36" t="s">
        <v>88</v>
      </c>
      <c r="E14" s="36"/>
      <c r="F14" s="32" t="s">
        <v>89</v>
      </c>
      <c r="G14" s="30"/>
      <c r="H14" s="27"/>
      <c r="I14" s="27"/>
      <c r="J14" s="27"/>
    </row>
    <row r="15" spans="1:10">
      <c r="A15" s="27"/>
      <c r="B15" s="27"/>
      <c r="C15" s="27"/>
      <c r="D15" s="36" t="s">
        <v>90</v>
      </c>
      <c r="E15" s="36"/>
      <c r="F15" s="32" t="s">
        <v>91</v>
      </c>
      <c r="G15" s="30"/>
      <c r="H15" s="27"/>
      <c r="I15" s="27"/>
      <c r="J15" s="27"/>
    </row>
    <row r="16" spans="1:10">
      <c r="A16" s="27"/>
      <c r="B16" s="27"/>
      <c r="C16" s="27"/>
      <c r="D16" s="36" t="s">
        <v>92</v>
      </c>
      <c r="E16" s="36"/>
      <c r="F16" s="32" t="s">
        <v>93</v>
      </c>
      <c r="G16" s="30"/>
      <c r="H16" s="27"/>
      <c r="I16" s="27"/>
      <c r="J16" s="27"/>
    </row>
    <row r="17" spans="1:10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>
      <c r="A19" s="27"/>
      <c r="B19" s="27"/>
      <c r="C19" s="27" t="s">
        <v>94</v>
      </c>
      <c r="D19" s="27"/>
      <c r="E19" s="27"/>
      <c r="F19" s="27"/>
      <c r="G19" s="27"/>
      <c r="H19" s="27"/>
      <c r="I19" s="27"/>
      <c r="J19" s="27"/>
    </row>
    <row r="20" spans="1:10">
      <c r="A20" s="27"/>
      <c r="B20" s="27"/>
      <c r="C20" s="31" t="s">
        <v>95</v>
      </c>
      <c r="D20" s="27"/>
      <c r="E20" s="27"/>
      <c r="F20" s="27"/>
      <c r="G20" s="27"/>
      <c r="H20" s="27"/>
      <c r="I20" s="27"/>
      <c r="J20" s="27"/>
    </row>
    <row r="21" spans="1:10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>
      <c r="A25" s="27"/>
      <c r="B25" s="27"/>
      <c r="C25" s="27"/>
      <c r="D25" s="27"/>
      <c r="E25" s="27"/>
      <c r="F25" s="27"/>
      <c r="G25" s="27"/>
      <c r="H25" s="27"/>
      <c r="I25" s="27"/>
      <c r="J25" s="27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AD6DB892-F5FE-4067-9B9A-F369B541594E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C469-C965-4BB2-AB4C-9626976F4291}">
  <sheetPr codeName="Sheet2"/>
  <dimension ref="A1:AC83"/>
  <sheetViews>
    <sheetView topLeftCell="A25" workbookViewId="0">
      <selection activeCell="O42" sqref="O42"/>
    </sheetView>
  </sheetViews>
  <sheetFormatPr defaultRowHeight="14.45"/>
  <cols>
    <col min="2" max="2" width="10.140625" customWidth="1"/>
    <col min="3" max="3" width="10.42578125" customWidth="1"/>
    <col min="4" max="4" width="9.7109375" customWidth="1"/>
    <col min="5" max="5" width="9.5703125" customWidth="1"/>
    <col min="6" max="7" width="10.42578125" customWidth="1"/>
    <col min="8" max="8" width="11.42578125" customWidth="1"/>
    <col min="9" max="9" width="11.7109375" customWidth="1"/>
    <col min="10" max="10" width="10.7109375" customWidth="1"/>
    <col min="11" max="11" width="11.5703125" customWidth="1"/>
    <col min="12" max="12" width="11.28515625" customWidth="1"/>
    <col min="20" max="20" width="61.85546875" customWidth="1"/>
  </cols>
  <sheetData>
    <row r="1" spans="1:29">
      <c r="A1" t="s">
        <v>96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29">
      <c r="A2" t="s">
        <v>97</v>
      </c>
      <c r="B2">
        <v>1</v>
      </c>
      <c r="C2">
        <f>'XL-Test'!G9</f>
        <v>45879</v>
      </c>
      <c r="D2">
        <f ca="1">'XL-Test'!H9</f>
        <v>7</v>
      </c>
      <c r="E2">
        <f>'XL-Test'!I9</f>
        <v>31</v>
      </c>
      <c r="F2">
        <f>'XL-Test'!J9</f>
        <v>45689</v>
      </c>
      <c r="G2">
        <f>'XL-Test'!K9</f>
        <v>45870</v>
      </c>
      <c r="H2">
        <f>'XL-Test'!L9</f>
        <v>45667</v>
      </c>
      <c r="I2">
        <f>'XL-Test'!M9</f>
        <v>45877</v>
      </c>
      <c r="J2">
        <f>'XL-Test'!N9</f>
        <v>45754</v>
      </c>
      <c r="K2">
        <f>'XL-Test'!O9</f>
        <v>45869</v>
      </c>
      <c r="L2">
        <f>'XL-Test'!P9</f>
        <v>76</v>
      </c>
      <c r="N2" s="18"/>
      <c r="S2">
        <v>1</v>
      </c>
      <c r="T2" t="str">
        <f ca="1">SUBSTITUTE(_xlfn.FORMULATEXT('XL-Test'!G11),"$","")</f>
        <v>=WORKDAY.INTL(E11;F11;7)</v>
      </c>
      <c r="U2" t="str">
        <f ca="1">SUBSTITUTE(_xlfn.FORMULATEXT('XL-Test'!H11),"$","")</f>
        <v>=SUMPRODUCT(--(DAY(ROW(INDIRECT(E11&amp;":"&amp;G11)))=1))</v>
      </c>
      <c r="V2" t="str">
        <f ca="1">SUBSTITUTE(_xlfn.FORMULATEXT('XL-Test'!I11),"$","")</f>
        <v>=NETWORKDAYS.INTL(E11;G11;"1111011")</v>
      </c>
      <c r="W2" t="str">
        <f ca="1">SUBSTITUTE(_xlfn.FORMULATEXT('XL-Test'!J11),"$","")</f>
        <v>=EOMONTH(E11;IF(DAY(E11)=1;-1;0))+1</v>
      </c>
      <c r="X2" t="str">
        <f ca="1">SUBSTITUTE(_xlfn.FORMULATEXT('XL-Test'!K11),"$","")</f>
        <v>=EOMONTH(G11;-1)+1</v>
      </c>
      <c r="Y2" t="str">
        <f ca="1">SUBSTITUTE(_xlfn.FORMULATEXT('XL-Test'!L11),"$","")</f>
        <v>=WORKDAY.INTL(E11 -1;1;"1111011")</v>
      </c>
      <c r="Z2" t="str">
        <f ca="1">SUBSTITUTE(_xlfn.FORMULATEXT('XL-Test'!M11),"$","")</f>
        <v>=WORKDAY.INTL(G11+1;-1;"1111011")</v>
      </c>
      <c r="AA2" t="str">
        <f ca="1">SUBSTITUTE(_xlfn.FORMULATEXT('XL-Test'!N11),"$","")</f>
        <v>=EDATE(E11;3)</v>
      </c>
      <c r="AB2" t="str">
        <f ca="1">SUBSTITUTE(_xlfn.FORMULATEXT('XL-Test'!O11),"$","")</f>
        <v>=EOMONTH(E11;6)</v>
      </c>
      <c r="AC2" t="str">
        <f ca="1">SUBSTITUTE(_xlfn.FORMULATEXT('XL-Test'!P11),"$","")</f>
        <v>=SUM(--(ISEVEN(DAY(E11+SEQUENCE(G11-E11+1;1;0)))*(WEEKDAY(E11+SEQUENCE(G11-E11+1;1;0))&lt;6)))</v>
      </c>
    </row>
    <row r="3" spans="1:29">
      <c r="B3">
        <v>2</v>
      </c>
      <c r="C3">
        <f>'XL-Test'!G10</f>
        <v>46013</v>
      </c>
      <c r="D3">
        <f ca="1">'XL-Test'!H10</f>
        <v>5</v>
      </c>
      <c r="E3">
        <f>'XL-Test'!I10</f>
        <v>21</v>
      </c>
      <c r="F3">
        <f>'XL-Test'!J10</f>
        <v>45870</v>
      </c>
      <c r="G3">
        <f>'XL-Test'!K10</f>
        <v>45992</v>
      </c>
      <c r="H3">
        <f>'XL-Test'!L10</f>
        <v>45870</v>
      </c>
      <c r="I3">
        <f>'XL-Test'!M10</f>
        <v>46010</v>
      </c>
      <c r="J3">
        <f>'XL-Test'!N10</f>
        <v>45962</v>
      </c>
      <c r="K3">
        <f>'XL-Test'!O10</f>
        <v>46081</v>
      </c>
      <c r="L3">
        <f>'XL-Test'!P10</f>
        <v>51</v>
      </c>
      <c r="N3" s="18"/>
      <c r="S3">
        <v>2</v>
      </c>
      <c r="T3" t="str">
        <f ca="1">U2</f>
        <v>=SUMPRODUCT(--(DAY(ROW(INDIRECT(E11&amp;":"&amp;G11)))=1))</v>
      </c>
    </row>
    <row r="4" spans="1:29">
      <c r="B4">
        <v>3</v>
      </c>
      <c r="C4">
        <f>'XL-Test'!G11</f>
        <v>46677</v>
      </c>
      <c r="D4">
        <f ca="1">'XL-Test'!H11</f>
        <v>10</v>
      </c>
      <c r="E4">
        <f>'XL-Test'!I11</f>
        <v>45</v>
      </c>
      <c r="F4">
        <f>'XL-Test'!J11</f>
        <v>46388</v>
      </c>
      <c r="G4">
        <f>'XL-Test'!K11</f>
        <v>46661</v>
      </c>
      <c r="H4">
        <f>'XL-Test'!L11</f>
        <v>46367</v>
      </c>
      <c r="I4">
        <f>'XL-Test'!M11</f>
        <v>46675</v>
      </c>
      <c r="J4">
        <f>'XL-Test'!N11</f>
        <v>46455</v>
      </c>
      <c r="K4">
        <f>'XL-Test'!O11</f>
        <v>46568</v>
      </c>
      <c r="L4">
        <f>'XL-Test'!P11</f>
        <v>108</v>
      </c>
      <c r="N4" s="18"/>
      <c r="S4">
        <v>3</v>
      </c>
      <c r="T4" t="str">
        <f ca="1">V2</f>
        <v>=NETWORKDAYS.INTL(E11;G11;"1111011")</v>
      </c>
    </row>
    <row r="5" spans="1:29">
      <c r="B5">
        <v>4</v>
      </c>
      <c r="C5">
        <f>'XL-Test'!G12</f>
        <v>45865</v>
      </c>
      <c r="D5">
        <f ca="1">'XL-Test'!H12</f>
        <v>5</v>
      </c>
      <c r="E5">
        <f>'XL-Test'!I12</f>
        <v>23</v>
      </c>
      <c r="F5">
        <f>'XL-Test'!J12</f>
        <v>45717</v>
      </c>
      <c r="G5">
        <f>'XL-Test'!K12</f>
        <v>45839</v>
      </c>
      <c r="H5">
        <f>'XL-Test'!L12</f>
        <v>45709</v>
      </c>
      <c r="I5">
        <f>'XL-Test'!M12</f>
        <v>45863</v>
      </c>
      <c r="J5">
        <f>'XL-Test'!N12</f>
        <v>45798</v>
      </c>
      <c r="K5">
        <f>'XL-Test'!O12</f>
        <v>45900</v>
      </c>
      <c r="L5">
        <f>'XL-Test'!P12</f>
        <v>54</v>
      </c>
      <c r="N5" s="18"/>
      <c r="S5">
        <v>4</v>
      </c>
      <c r="T5" t="str">
        <f ca="1">W2</f>
        <v>=EOMONTH(E11;IF(DAY(E11)=1;-1;0))+1</v>
      </c>
    </row>
    <row r="6" spans="1:29">
      <c r="B6">
        <v>5</v>
      </c>
      <c r="C6">
        <f>'XL-Test'!G13</f>
        <v>46295</v>
      </c>
      <c r="D6">
        <f ca="1">'XL-Test'!H13</f>
        <v>9</v>
      </c>
      <c r="E6">
        <f>'XL-Test'!I13</f>
        <v>40</v>
      </c>
      <c r="F6">
        <f>'XL-Test'!J13</f>
        <v>46023</v>
      </c>
      <c r="G6">
        <f>'XL-Test'!K13</f>
        <v>46266</v>
      </c>
      <c r="H6">
        <f>'XL-Test'!L13</f>
        <v>46017</v>
      </c>
      <c r="I6">
        <f>'XL-Test'!M13</f>
        <v>46290</v>
      </c>
      <c r="J6">
        <f>'XL-Test'!N13</f>
        <v>46103</v>
      </c>
      <c r="K6">
        <f>'XL-Test'!O13</f>
        <v>46203</v>
      </c>
      <c r="L6">
        <f>'XL-Test'!P13</f>
        <v>100</v>
      </c>
      <c r="N6" s="18"/>
      <c r="S6">
        <v>5</v>
      </c>
      <c r="T6" t="str">
        <f ca="1">X2</f>
        <v>=EOMONTH(G11;-1)+1</v>
      </c>
    </row>
    <row r="7" spans="1:29">
      <c r="B7">
        <v>6</v>
      </c>
      <c r="C7">
        <f>'XL-Test'!G14</f>
        <v>45981</v>
      </c>
      <c r="D7">
        <f ca="1">'XL-Test'!H14</f>
        <v>4</v>
      </c>
      <c r="E7">
        <f>'XL-Test'!I14</f>
        <v>17</v>
      </c>
      <c r="F7">
        <f>'XL-Test'!J14</f>
        <v>45870</v>
      </c>
      <c r="G7">
        <f>'XL-Test'!K14</f>
        <v>45962</v>
      </c>
      <c r="H7">
        <f>'XL-Test'!L14</f>
        <v>45863</v>
      </c>
      <c r="I7">
        <f>'XL-Test'!M14</f>
        <v>45975</v>
      </c>
      <c r="J7">
        <f>'XL-Test'!N14</f>
        <v>45955</v>
      </c>
      <c r="K7">
        <f>'XL-Test'!O14</f>
        <v>46053</v>
      </c>
      <c r="L7">
        <f>'XL-Test'!P14</f>
        <v>42</v>
      </c>
      <c r="N7" s="18"/>
      <c r="S7">
        <v>6</v>
      </c>
      <c r="T7" t="str">
        <f ca="1">Y2</f>
        <v>=WORKDAY.INTL(E11 -1;1;"1111011")</v>
      </c>
    </row>
    <row r="8" spans="1:29">
      <c r="B8">
        <v>7</v>
      </c>
      <c r="C8">
        <f>'XL-Test'!G15</f>
        <v>46294</v>
      </c>
      <c r="D8">
        <f ca="1">'XL-Test'!H15</f>
        <v>7</v>
      </c>
      <c r="E8">
        <f>'XL-Test'!I15</f>
        <v>31</v>
      </c>
      <c r="F8">
        <f>'XL-Test'!J15</f>
        <v>46082</v>
      </c>
      <c r="G8">
        <f>'XL-Test'!K15</f>
        <v>46266</v>
      </c>
      <c r="H8">
        <f>'XL-Test'!L15</f>
        <v>46080</v>
      </c>
      <c r="I8">
        <f>'XL-Test'!M15</f>
        <v>46290</v>
      </c>
      <c r="J8">
        <f>'XL-Test'!N15</f>
        <v>46169</v>
      </c>
      <c r="K8">
        <f>'XL-Test'!O15</f>
        <v>46265</v>
      </c>
      <c r="L8">
        <f>'XL-Test'!P15</f>
        <v>75</v>
      </c>
      <c r="N8" s="18"/>
      <c r="S8">
        <v>7</v>
      </c>
      <c r="T8" t="str">
        <f ca="1">Z2</f>
        <v>=WORKDAY.INTL(G11+1;-1;"1111011")</v>
      </c>
    </row>
    <row r="9" spans="1:29">
      <c r="B9">
        <v>8</v>
      </c>
      <c r="C9">
        <f>'XL-Test'!G16</f>
        <v>46393</v>
      </c>
      <c r="D9">
        <f ca="1">'XL-Test'!H16</f>
        <v>10</v>
      </c>
      <c r="E9">
        <f>'XL-Test'!I16</f>
        <v>42</v>
      </c>
      <c r="F9">
        <f>'XL-Test'!J16</f>
        <v>46113</v>
      </c>
      <c r="G9">
        <f>'XL-Test'!K16</f>
        <v>46388</v>
      </c>
      <c r="H9">
        <f>'XL-Test'!L16</f>
        <v>46101</v>
      </c>
      <c r="I9">
        <f>'XL-Test'!M16</f>
        <v>46388</v>
      </c>
      <c r="J9">
        <f>'XL-Test'!N16</f>
        <v>46189</v>
      </c>
      <c r="K9">
        <f>'XL-Test'!O16</f>
        <v>46295</v>
      </c>
      <c r="L9">
        <f>'XL-Test'!P16</f>
        <v>105</v>
      </c>
      <c r="N9" s="18"/>
      <c r="S9">
        <v>8</v>
      </c>
      <c r="T9" t="str">
        <f ca="1">AA2</f>
        <v>=EDATE(E11;3)</v>
      </c>
    </row>
    <row r="10" spans="1:29">
      <c r="B10">
        <v>9</v>
      </c>
      <c r="C10">
        <f>'XL-Test'!G17</f>
        <v>45972</v>
      </c>
      <c r="D10">
        <f ca="1">'XL-Test'!H17</f>
        <v>6</v>
      </c>
      <c r="E10">
        <f>'XL-Test'!I17</f>
        <v>24</v>
      </c>
      <c r="F10">
        <f>'XL-Test'!J17</f>
        <v>45809</v>
      </c>
      <c r="G10">
        <f>'XL-Test'!K17</f>
        <v>45962</v>
      </c>
      <c r="H10">
        <f>'XL-Test'!L17</f>
        <v>45807</v>
      </c>
      <c r="I10">
        <f>'XL-Test'!M17</f>
        <v>45968</v>
      </c>
      <c r="J10">
        <f>'XL-Test'!N17</f>
        <v>45897</v>
      </c>
      <c r="K10">
        <f>'XL-Test'!O17</f>
        <v>45991</v>
      </c>
      <c r="L10">
        <f>'XL-Test'!P17</f>
        <v>59</v>
      </c>
      <c r="N10" s="18"/>
      <c r="S10">
        <v>9</v>
      </c>
      <c r="T10" t="str">
        <f ca="1">AB2</f>
        <v>=EOMONTH(E11;6)</v>
      </c>
    </row>
    <row r="11" spans="1:29">
      <c r="B11">
        <v>10</v>
      </c>
      <c r="C11">
        <f>'XL-Test'!G18</f>
        <v>46656</v>
      </c>
      <c r="D11">
        <f ca="1">'XL-Test'!H18</f>
        <v>12</v>
      </c>
      <c r="E11">
        <f>'XL-Test'!I18</f>
        <v>52</v>
      </c>
      <c r="F11">
        <f>'XL-Test'!J18</f>
        <v>46296</v>
      </c>
      <c r="G11">
        <f>'XL-Test'!K18</f>
        <v>46631</v>
      </c>
      <c r="H11">
        <f>'XL-Test'!L18</f>
        <v>46297</v>
      </c>
      <c r="I11">
        <f>'XL-Test'!M18</f>
        <v>46654</v>
      </c>
      <c r="J11">
        <f>'XL-Test'!N18</f>
        <v>46388</v>
      </c>
      <c r="K11">
        <f>'XL-Test'!O18</f>
        <v>46507</v>
      </c>
      <c r="L11">
        <f>'XL-Test'!P18</f>
        <v>125</v>
      </c>
      <c r="N11" s="18"/>
      <c r="S11">
        <v>10</v>
      </c>
      <c r="T11" t="str">
        <f ca="1">AC2</f>
        <v>=SUM(--(ISEVEN(DAY(E11+SEQUENCE(G11-E11+1;1;0)))*(WEEKDAY(E11+SEQUENCE(G11-E11+1;1;0))&lt;6)))</v>
      </c>
    </row>
    <row r="12" spans="1:29">
      <c r="B12">
        <v>11</v>
      </c>
      <c r="C12">
        <f>'XL-Test'!G19</f>
        <v>46093</v>
      </c>
      <c r="D12">
        <f ca="1">'XL-Test'!H19</f>
        <v>7</v>
      </c>
      <c r="E12">
        <f>'XL-Test'!I19</f>
        <v>31</v>
      </c>
      <c r="F12">
        <f>'XL-Test'!J19</f>
        <v>45901</v>
      </c>
      <c r="G12">
        <f>'XL-Test'!K19</f>
        <v>46082</v>
      </c>
      <c r="H12">
        <f>'XL-Test'!L19</f>
        <v>45877</v>
      </c>
      <c r="I12">
        <f>'XL-Test'!M19</f>
        <v>46087</v>
      </c>
      <c r="J12">
        <f>'XL-Test'!N19</f>
        <v>45968</v>
      </c>
      <c r="K12">
        <f>'XL-Test'!O19</f>
        <v>46081</v>
      </c>
      <c r="L12">
        <f>'XL-Test'!P19</f>
        <v>77</v>
      </c>
      <c r="N12" s="18"/>
    </row>
    <row r="13" spans="1:29">
      <c r="B13">
        <v>12</v>
      </c>
      <c r="C13">
        <f>'XL-Test'!G20</f>
        <v>46715</v>
      </c>
      <c r="D13">
        <f ca="1">'XL-Test'!H20</f>
        <v>11</v>
      </c>
      <c r="E13">
        <f>'XL-Test'!I20</f>
        <v>49</v>
      </c>
      <c r="F13">
        <f>'XL-Test'!J20</f>
        <v>46388</v>
      </c>
      <c r="G13">
        <f>'XL-Test'!K20</f>
        <v>46692</v>
      </c>
      <c r="H13">
        <f>'XL-Test'!L20</f>
        <v>46374</v>
      </c>
      <c r="I13">
        <f>'XL-Test'!M20</f>
        <v>46710</v>
      </c>
      <c r="J13">
        <f>'XL-Test'!N20</f>
        <v>46461</v>
      </c>
      <c r="K13">
        <f>'XL-Test'!O20</f>
        <v>46568</v>
      </c>
      <c r="L13">
        <f>'XL-Test'!P20</f>
        <v>120</v>
      </c>
      <c r="N13" s="18"/>
    </row>
    <row r="14" spans="1:29">
      <c r="B14">
        <v>13</v>
      </c>
      <c r="C14">
        <f>'XL-Test'!G21</f>
        <v>46307</v>
      </c>
      <c r="D14">
        <f ca="1">'XL-Test'!H21</f>
        <v>9</v>
      </c>
      <c r="E14">
        <f>'XL-Test'!I21</f>
        <v>41</v>
      </c>
      <c r="F14">
        <f>'XL-Test'!J21</f>
        <v>46054</v>
      </c>
      <c r="G14">
        <f>'XL-Test'!K21</f>
        <v>46296</v>
      </c>
      <c r="H14">
        <f>'XL-Test'!L21</f>
        <v>46024</v>
      </c>
      <c r="I14">
        <f>'XL-Test'!M21</f>
        <v>46304</v>
      </c>
      <c r="J14">
        <f>'XL-Test'!N21</f>
        <v>46114</v>
      </c>
      <c r="K14">
        <f>'XL-Test'!O21</f>
        <v>46234</v>
      </c>
      <c r="L14">
        <f>'XL-Test'!P21</f>
        <v>100</v>
      </c>
      <c r="N14" s="18"/>
    </row>
    <row r="15" spans="1:29">
      <c r="B15">
        <v>14</v>
      </c>
      <c r="C15">
        <f>'XL-Test'!G22</f>
        <v>45986</v>
      </c>
      <c r="D15">
        <f ca="1">'XL-Test'!H22</f>
        <v>7</v>
      </c>
      <c r="E15">
        <f>'XL-Test'!I22</f>
        <v>30</v>
      </c>
      <c r="F15">
        <f>'XL-Test'!J22</f>
        <v>45778</v>
      </c>
      <c r="G15">
        <f>'XL-Test'!K22</f>
        <v>45962</v>
      </c>
      <c r="H15">
        <f>'XL-Test'!L22</f>
        <v>45779</v>
      </c>
      <c r="I15">
        <f>'XL-Test'!M22</f>
        <v>45982</v>
      </c>
      <c r="J15">
        <f>'XL-Test'!N22</f>
        <v>45866</v>
      </c>
      <c r="K15">
        <f>'XL-Test'!O22</f>
        <v>45961</v>
      </c>
      <c r="L15">
        <f>'XL-Test'!P22</f>
        <v>75</v>
      </c>
      <c r="N15" s="18"/>
    </row>
    <row r="16" spans="1:29">
      <c r="B16">
        <v>15</v>
      </c>
      <c r="C16">
        <f>'XL-Test'!G23</f>
        <v>46447</v>
      </c>
      <c r="D16">
        <f ca="1">'XL-Test'!H23</f>
        <v>6</v>
      </c>
      <c r="E16">
        <f>'XL-Test'!I23</f>
        <v>22</v>
      </c>
      <c r="F16">
        <f>'XL-Test'!J23</f>
        <v>46296</v>
      </c>
      <c r="G16">
        <f>'XL-Test'!K23</f>
        <v>46447</v>
      </c>
      <c r="H16">
        <f>'XL-Test'!L23</f>
        <v>46297</v>
      </c>
      <c r="I16">
        <f>'XL-Test'!M23</f>
        <v>46444</v>
      </c>
      <c r="J16">
        <f>'XL-Test'!N23</f>
        <v>46388</v>
      </c>
      <c r="K16">
        <f>'XL-Test'!O23</f>
        <v>46507</v>
      </c>
      <c r="L16">
        <f>'XL-Test'!P23</f>
        <v>52</v>
      </c>
      <c r="N16" s="18"/>
    </row>
    <row r="17" spans="1:14">
      <c r="B17">
        <v>16</v>
      </c>
      <c r="C17">
        <f>'XL-Test'!G24</f>
        <v>46553</v>
      </c>
      <c r="D17">
        <f ca="1">'XL-Test'!H24</f>
        <v>8</v>
      </c>
      <c r="E17">
        <f>'XL-Test'!I24</f>
        <v>36</v>
      </c>
      <c r="F17">
        <f>'XL-Test'!J24</f>
        <v>46327</v>
      </c>
      <c r="G17">
        <f>'XL-Test'!K24</f>
        <v>46539</v>
      </c>
      <c r="H17">
        <f>'XL-Test'!L24</f>
        <v>46304</v>
      </c>
      <c r="I17">
        <f>'XL-Test'!M24</f>
        <v>46549</v>
      </c>
      <c r="J17">
        <f>'XL-Test'!N24</f>
        <v>46395</v>
      </c>
      <c r="K17">
        <f>'XL-Test'!O24</f>
        <v>46507</v>
      </c>
      <c r="L17">
        <f>'XL-Test'!P24</f>
        <v>87</v>
      </c>
      <c r="N17" s="18"/>
    </row>
    <row r="18" spans="1:14">
      <c r="B18">
        <v>17</v>
      </c>
      <c r="C18">
        <f>'XL-Test'!G25</f>
        <v>46457</v>
      </c>
      <c r="D18">
        <f ca="1">'XL-Test'!H25</f>
        <v>7</v>
      </c>
      <c r="E18">
        <f>'XL-Test'!I25</f>
        <v>28</v>
      </c>
      <c r="F18">
        <f>'XL-Test'!J25</f>
        <v>46266</v>
      </c>
      <c r="G18">
        <f>'XL-Test'!K25</f>
        <v>46447</v>
      </c>
      <c r="H18">
        <f>'XL-Test'!L25</f>
        <v>46262</v>
      </c>
      <c r="I18">
        <f>'XL-Test'!M25</f>
        <v>46451</v>
      </c>
      <c r="J18">
        <f>'XL-Test'!N25</f>
        <v>46354</v>
      </c>
      <c r="K18">
        <f>'XL-Test'!O25</f>
        <v>46446</v>
      </c>
      <c r="L18">
        <f>'XL-Test'!P25</f>
        <v>68</v>
      </c>
      <c r="N18" s="18"/>
    </row>
    <row r="19" spans="1:14">
      <c r="B19">
        <v>18</v>
      </c>
      <c r="C19">
        <f>'XL-Test'!G26</f>
        <v>46558</v>
      </c>
      <c r="D19">
        <f ca="1">'XL-Test'!H26</f>
        <v>8</v>
      </c>
      <c r="E19">
        <f>'XL-Test'!I26</f>
        <v>36</v>
      </c>
      <c r="F19">
        <f>'XL-Test'!J26</f>
        <v>46327</v>
      </c>
      <c r="G19">
        <f>'XL-Test'!K26</f>
        <v>46539</v>
      </c>
      <c r="H19">
        <f>'XL-Test'!L26</f>
        <v>46311</v>
      </c>
      <c r="I19">
        <f>'XL-Test'!M26</f>
        <v>46556</v>
      </c>
      <c r="J19">
        <f>'XL-Test'!N26</f>
        <v>46399</v>
      </c>
      <c r="K19">
        <f>'XL-Test'!O26</f>
        <v>46507</v>
      </c>
      <c r="L19">
        <f>'XL-Test'!P26</f>
        <v>88</v>
      </c>
      <c r="N19" s="18"/>
    </row>
    <row r="20" spans="1:14">
      <c r="B20">
        <v>19</v>
      </c>
      <c r="C20">
        <f>'XL-Test'!G27</f>
        <v>45980</v>
      </c>
      <c r="D20">
        <f ca="1">'XL-Test'!H27</f>
        <v>10</v>
      </c>
      <c r="E20">
        <f>'XL-Test'!I27</f>
        <v>45</v>
      </c>
      <c r="F20">
        <f>'XL-Test'!J27</f>
        <v>45689</v>
      </c>
      <c r="G20">
        <f>'XL-Test'!K27</f>
        <v>45962</v>
      </c>
      <c r="H20">
        <f>'XL-Test'!L27</f>
        <v>45667</v>
      </c>
      <c r="I20">
        <f>'XL-Test'!M27</f>
        <v>45975</v>
      </c>
      <c r="J20">
        <f>'XL-Test'!N27</f>
        <v>45753</v>
      </c>
      <c r="K20">
        <f>'XL-Test'!O27</f>
        <v>45869</v>
      </c>
      <c r="L20">
        <f>'XL-Test'!P27</f>
        <v>113</v>
      </c>
      <c r="N20" s="18"/>
    </row>
    <row r="21" spans="1:14">
      <c r="B21">
        <v>20</v>
      </c>
      <c r="C21">
        <f>'XL-Test'!G28</f>
        <v>45854</v>
      </c>
      <c r="D21">
        <f ca="1">'XL-Test'!H28</f>
        <v>4</v>
      </c>
      <c r="E21">
        <f>'XL-Test'!I28</f>
        <v>17</v>
      </c>
      <c r="F21">
        <f>'XL-Test'!J28</f>
        <v>45748</v>
      </c>
      <c r="G21">
        <f>'XL-Test'!K28</f>
        <v>45839</v>
      </c>
      <c r="H21">
        <f>'XL-Test'!L28</f>
        <v>45737</v>
      </c>
      <c r="I21">
        <f>'XL-Test'!M28</f>
        <v>45849</v>
      </c>
      <c r="J21">
        <f>'XL-Test'!N28</f>
        <v>45829</v>
      </c>
      <c r="K21">
        <f>'XL-Test'!O28</f>
        <v>45930</v>
      </c>
      <c r="L21">
        <f>'XL-Test'!P28</f>
        <v>41</v>
      </c>
      <c r="N21" s="18"/>
    </row>
    <row r="22" spans="1:14">
      <c r="N22" s="18"/>
    </row>
    <row r="23" spans="1:14">
      <c r="N23" s="18"/>
    </row>
    <row r="24" spans="1:14">
      <c r="N24" s="18"/>
    </row>
    <row r="25" spans="1:14">
      <c r="B25" t="s">
        <v>98</v>
      </c>
      <c r="C25" s="20">
        <f>SUM(C2:C21)+SUM(C2,C5,C10,C14,C18,C12,C7,C21)</f>
        <v>1293383</v>
      </c>
      <c r="D25" s="20">
        <f ca="1">(SUM(D2:D21)+SUM(D2,D5,D10,D14,D18,D12,D7,D21))*136</f>
        <v>27336</v>
      </c>
      <c r="E25" s="20">
        <f>(SUM(E2:E21)+SUM(E2,E5,E10,E14,E18,E12,E7,E21))*12</f>
        <v>10476</v>
      </c>
      <c r="F25" s="20">
        <f t="shared" ref="D25:L25" si="0">SUM(F2:F21)+SUM(F2,F5,F10,F14,F18,F12,F7,F21)</f>
        <v>1287685</v>
      </c>
      <c r="G25" s="20">
        <f t="shared" si="0"/>
        <v>1292939</v>
      </c>
      <c r="H25" s="20">
        <f t="shared" si="0"/>
        <v>1287356</v>
      </c>
      <c r="I25" s="20">
        <f t="shared" si="0"/>
        <v>1293271</v>
      </c>
      <c r="J25" s="20">
        <f t="shared" si="0"/>
        <v>1289866</v>
      </c>
      <c r="K25" s="20">
        <f t="shared" si="0"/>
        <v>1292846</v>
      </c>
      <c r="L25" s="20">
        <f>(SUM(L2:L21)+SUM(L2,L5,L10,L14,L18,L12,L7,L21))*25</f>
        <v>53325</v>
      </c>
    </row>
    <row r="26" spans="1:14">
      <c r="B26" t="s">
        <v>99</v>
      </c>
      <c r="C26">
        <v>51754</v>
      </c>
      <c r="D26">
        <v>41698</v>
      </c>
      <c r="E26">
        <v>13905</v>
      </c>
      <c r="F26">
        <v>67796</v>
      </c>
      <c r="G26">
        <v>37450</v>
      </c>
      <c r="H26">
        <v>45215</v>
      </c>
      <c r="I26">
        <v>62825</v>
      </c>
      <c r="J26">
        <v>14767</v>
      </c>
      <c r="K26">
        <v>87361</v>
      </c>
      <c r="L26">
        <v>11883</v>
      </c>
    </row>
    <row r="29" spans="1:14">
      <c r="B29" t="s">
        <v>100</v>
      </c>
      <c r="C29" t="b">
        <f ca="1">AND(ISNUMBER(FIND("(",T2)),ISNUMBER(FIND("=",T2)))</f>
        <v>1</v>
      </c>
      <c r="D29" t="b">
        <f ca="1">AND(ISNUMBER(FIND("(",U2)),ISNUMBER(FIND("=",U2)))</f>
        <v>1</v>
      </c>
      <c r="E29" t="b">
        <f ca="1">AND(ISNUMBER(FIND("(",V2)),ISNUMBER(FIND("=",V2)))</f>
        <v>1</v>
      </c>
      <c r="F29" t="b">
        <f ca="1">AND(ISNUMBER(FIND("(",W2)),ISNUMBER(FIND("=",W2)))</f>
        <v>1</v>
      </c>
      <c r="G29" t="b">
        <f ca="1">AND(ISNUMBER(FIND("(",X2)),ISNUMBER(FIND("=",X2)))</f>
        <v>1</v>
      </c>
      <c r="H29" t="b">
        <f ca="1">AND(ISNUMBER(FIND("(",Y2)),ISNUMBER(FIND("=",Y2)))</f>
        <v>1</v>
      </c>
      <c r="I29" t="b">
        <f ca="1">AND(ISNUMBER(FIND("(",Z2)),ISNUMBER(FIND("=",Z2)))</f>
        <v>1</v>
      </c>
      <c r="J29" t="b">
        <f ca="1">AND(ISNUMBER(FIND("(",AA2)),ISNUMBER(FIND("=",AA2)))</f>
        <v>1</v>
      </c>
      <c r="K29" t="b">
        <f ca="1">AND(ISNUMBER(FIND("(",AB2)),ISNUMBER(FIND("=",AB2)))</f>
        <v>1</v>
      </c>
      <c r="L29" t="b">
        <f ca="1">AND(ISNUMBER(FIND("(",AC2)),ISNUMBER(FIND("=",AC2)))</f>
        <v>1</v>
      </c>
    </row>
    <row r="30" spans="1:14">
      <c r="A30" t="s">
        <v>101</v>
      </c>
      <c r="B30" t="s">
        <v>102</v>
      </c>
      <c r="C30" t="str">
        <f ca="1">IFERROR(DEC2HEX(IF(AND(NOT(C25=0),C76),C25,C26)),"EEE")</f>
        <v>13BC47</v>
      </c>
      <c r="D30" t="str">
        <f t="shared" ref="D30:L30" ca="1" si="1">IFERROR(DEC2HEX(IF(AND(NOT(D25=0),D76),D25,D26)),"EEE")</f>
        <v>6AC8</v>
      </c>
      <c r="E30" t="str">
        <f t="shared" ca="1" si="1"/>
        <v>28EC</v>
      </c>
      <c r="F30" t="str">
        <f t="shared" ca="1" si="1"/>
        <v>13A605</v>
      </c>
      <c r="G30" t="str">
        <f t="shared" ca="1" si="1"/>
        <v>13BA8B</v>
      </c>
      <c r="H30" t="str">
        <f t="shared" ca="1" si="1"/>
        <v>13A4BC</v>
      </c>
      <c r="I30" t="str">
        <f t="shared" ca="1" si="1"/>
        <v>13BBD7</v>
      </c>
      <c r="J30" t="str">
        <f t="shared" ca="1" si="1"/>
        <v>13AE8A</v>
      </c>
      <c r="K30" t="str">
        <f t="shared" ca="1" si="1"/>
        <v>13BA2E</v>
      </c>
      <c r="L30" t="str">
        <f t="shared" ca="1" si="1"/>
        <v>D04D</v>
      </c>
    </row>
    <row r="32" spans="1:14">
      <c r="B32" t="b">
        <v>1</v>
      </c>
      <c r="C32" t="str">
        <f ca="1">DEC2HEX(HEX2DEC(RIGHT(C30,2))+13)</f>
        <v>54</v>
      </c>
      <c r="D32" t="str">
        <f t="shared" ref="D32:L32" ca="1" si="2">DEC2HEX(HEX2DEC(RIGHT(D30,2))+13)</f>
        <v>D5</v>
      </c>
      <c r="E32" t="str">
        <f t="shared" ca="1" si="2"/>
        <v>F9</v>
      </c>
      <c r="F32" t="str">
        <f t="shared" ca="1" si="2"/>
        <v>12</v>
      </c>
      <c r="G32" t="str">
        <f t="shared" ca="1" si="2"/>
        <v>98</v>
      </c>
      <c r="H32" t="str">
        <f t="shared" ca="1" si="2"/>
        <v>C9</v>
      </c>
      <c r="I32" t="str">
        <f t="shared" ca="1" si="2"/>
        <v>E4</v>
      </c>
      <c r="J32" t="str">
        <f t="shared" ca="1" si="2"/>
        <v>97</v>
      </c>
      <c r="K32" t="str">
        <f t="shared" ca="1" si="2"/>
        <v>3B</v>
      </c>
      <c r="L32" t="str">
        <f t="shared" ca="1" si="2"/>
        <v>5A</v>
      </c>
    </row>
    <row r="33" spans="1:12">
      <c r="B33" t="b">
        <v>0</v>
      </c>
      <c r="C33" t="str">
        <f ca="1">DEC2HEX(HEX2DEC(LEFT(C30,2))+14+COLUMN())</f>
        <v>24</v>
      </c>
      <c r="D33" t="str">
        <f t="shared" ref="D33:L33" ca="1" si="3">DEC2HEX(HEX2DEC(LEFT(D30,2))+14+COLUMN())</f>
        <v>7C</v>
      </c>
      <c r="E33" t="str">
        <f t="shared" ca="1" si="3"/>
        <v>3B</v>
      </c>
      <c r="F33" t="str">
        <f t="shared" ca="1" si="3"/>
        <v>27</v>
      </c>
      <c r="G33" t="str">
        <f t="shared" ca="1" si="3"/>
        <v>28</v>
      </c>
      <c r="H33" t="str">
        <f t="shared" ca="1" si="3"/>
        <v>29</v>
      </c>
      <c r="I33" t="str">
        <f t="shared" ca="1" si="3"/>
        <v>2A</v>
      </c>
      <c r="J33" t="str">
        <f t="shared" ca="1" si="3"/>
        <v>2B</v>
      </c>
      <c r="K33" t="str">
        <f t="shared" ca="1" si="3"/>
        <v>2C</v>
      </c>
      <c r="L33" t="str">
        <f t="shared" ca="1" si="3"/>
        <v>EA</v>
      </c>
    </row>
    <row r="34" spans="1:12">
      <c r="B34" t="s">
        <v>103</v>
      </c>
      <c r="C34" t="b">
        <f ca="1">AND(ISNUMBER(FIND("DAY.INTL",T2)),OR(ISNUMBER(FIND("7",T2)),ISNUMBER(FIND("0000110",T2))))</f>
        <v>1</v>
      </c>
      <c r="D34" t="b">
        <f ca="1">AND(ISNUMBER(FIND("SUM",U2)),ISNUMBER(FIND("DAY",U2)))</f>
        <v>1</v>
      </c>
      <c r="E34" t="b">
        <f ca="1">AND(ISNUMBER(FIND("DAYS.INTL",V2)),ISNUMBER(FIND("1111011",V2)))</f>
        <v>1</v>
      </c>
      <c r="F34" t="b">
        <f ca="1">AND(ISNUMBER(FIND("EOM",W2)),ISNUMBER(FIND("IF",W2)))</f>
        <v>1</v>
      </c>
      <c r="G34" t="b">
        <f ca="1">ISNUMBER(FIND("EOM",X2))</f>
        <v>1</v>
      </c>
      <c r="H34" t="b">
        <f ca="1">AND(ISNUMBER(FIND("DAY.INTL",Y2)),ISNUMBER(FIND("1111011",Y2)))</f>
        <v>1</v>
      </c>
      <c r="I34" t="b">
        <f ca="1">AND(ISNUMBER(FIND("DAY.INTL",Z2)),ISNUMBER(FIND("1111011",Z2)))</f>
        <v>1</v>
      </c>
      <c r="J34" t="b">
        <f ca="1">ISNUMBER(FIND("EDA",AA2))</f>
        <v>1</v>
      </c>
      <c r="K34" t="b">
        <f ca="1">ISNUMBER(FIND("EOMO",AB2))</f>
        <v>1</v>
      </c>
      <c r="L34" t="b">
        <f ca="1">AND(ISNUMBER(FIND("SUM",AC2)),OR(ISNUMBER(FIND("EVEN",AC2)),ISNUMBER(FIND("ODD",AC2))))</f>
        <v>1</v>
      </c>
    </row>
    <row r="38" spans="1:12">
      <c r="C38" t="str">
        <f ca="1">C83</f>
        <v>HH1|54-13BC47;D5-6AC8;F9-28EC;12-13A605;98-13BA8B;C9-13A4BC;E4-13BBD7;97-13AE8A;3B-13BA2E;5A-D04D</v>
      </c>
    </row>
    <row r="42" spans="1:12">
      <c r="A42">
        <v>9</v>
      </c>
      <c r="B42" s="21">
        <v>1</v>
      </c>
      <c r="C42" s="21">
        <f ca="1">LEN(_xlfn.FORMULATEXT('XL-Test'!G9))</f>
        <v>22</v>
      </c>
      <c r="D42" s="21">
        <f ca="1">LEN(_xlfn.FORMULATEXT('XL-Test'!H9))</f>
        <v>48</v>
      </c>
      <c r="E42" s="21">
        <f ca="1">LEN(_xlfn.FORMULATEXT('XL-Test'!I9))</f>
        <v>34</v>
      </c>
      <c r="F42" s="21">
        <f ca="1">LEN(_xlfn.FORMULATEXT('XL-Test'!J9))</f>
        <v>33</v>
      </c>
      <c r="G42" s="21">
        <f ca="1">LEN(_xlfn.FORMULATEXT('XL-Test'!K9))</f>
        <v>17</v>
      </c>
      <c r="H42" s="21">
        <f ca="1">LEN(_xlfn.FORMULATEXT('XL-Test'!L9))</f>
        <v>32</v>
      </c>
      <c r="I42" s="21">
        <f ca="1">LEN(_xlfn.FORMULATEXT('XL-Test'!M9))</f>
        <v>32</v>
      </c>
      <c r="J42" s="21">
        <f ca="1">LEN(_xlfn.FORMULATEXT('XL-Test'!N9))</f>
        <v>12</v>
      </c>
      <c r="K42" s="21">
        <f ca="1">LEN(_xlfn.FORMULATEXT('XL-Test'!O9))</f>
        <v>14</v>
      </c>
      <c r="L42" s="21">
        <f ca="1">LEN(_xlfn.FORMULATEXT('XL-Test'!P9))</f>
        <v>85</v>
      </c>
    </row>
    <row r="43" spans="1:12">
      <c r="A43">
        <v>10</v>
      </c>
      <c r="B43">
        <v>2</v>
      </c>
      <c r="C43">
        <f ca="1">LEN(_xlfn.FORMULATEXT('XL-Test'!G10))</f>
        <v>24</v>
      </c>
      <c r="D43">
        <f ca="1">LEN(_xlfn.FORMULATEXT('XL-Test'!H10))</f>
        <v>50</v>
      </c>
      <c r="E43">
        <f ca="1">LEN(_xlfn.FORMULATEXT('XL-Test'!I10))</f>
        <v>36</v>
      </c>
      <c r="F43">
        <f ca="1">LEN(_xlfn.FORMULATEXT('XL-Test'!J10))</f>
        <v>35</v>
      </c>
      <c r="G43">
        <f ca="1">LEN(_xlfn.FORMULATEXT('XL-Test'!K10))</f>
        <v>18</v>
      </c>
      <c r="H43">
        <f ca="1">LEN(_xlfn.FORMULATEXT('XL-Test'!L10))</f>
        <v>33</v>
      </c>
      <c r="I43">
        <f ca="1">LEN(_xlfn.FORMULATEXT('XL-Test'!M10))</f>
        <v>33</v>
      </c>
      <c r="J43">
        <f ca="1">LEN(_xlfn.FORMULATEXT('XL-Test'!N10))</f>
        <v>13</v>
      </c>
      <c r="K43">
        <f ca="1">LEN(_xlfn.FORMULATEXT('XL-Test'!O10))</f>
        <v>15</v>
      </c>
      <c r="L43">
        <f ca="1">LEN(_xlfn.FORMULATEXT('XL-Test'!P10))</f>
        <v>91</v>
      </c>
    </row>
    <row r="44" spans="1:12">
      <c r="A44">
        <v>11</v>
      </c>
      <c r="B44">
        <v>3</v>
      </c>
      <c r="C44">
        <f ca="1">LEN(_xlfn.FORMULATEXT('XL-Test'!G11))</f>
        <v>24</v>
      </c>
      <c r="D44">
        <f ca="1">LEN(_xlfn.FORMULATEXT('XL-Test'!H11))</f>
        <v>50</v>
      </c>
      <c r="E44">
        <f ca="1">LEN(_xlfn.FORMULATEXT('XL-Test'!I11))</f>
        <v>36</v>
      </c>
      <c r="F44">
        <f ca="1">LEN(_xlfn.FORMULATEXT('XL-Test'!J11))</f>
        <v>35</v>
      </c>
      <c r="G44">
        <f ca="1">LEN(_xlfn.FORMULATEXT('XL-Test'!K11))</f>
        <v>18</v>
      </c>
      <c r="H44">
        <f ca="1">LEN(_xlfn.FORMULATEXT('XL-Test'!L11))</f>
        <v>33</v>
      </c>
      <c r="I44">
        <f ca="1">LEN(_xlfn.FORMULATEXT('XL-Test'!M11))</f>
        <v>33</v>
      </c>
      <c r="J44">
        <f ca="1">LEN(_xlfn.FORMULATEXT('XL-Test'!N11))</f>
        <v>13</v>
      </c>
      <c r="K44">
        <f ca="1">LEN(_xlfn.FORMULATEXT('XL-Test'!O11))</f>
        <v>15</v>
      </c>
      <c r="L44">
        <f ca="1">LEN(_xlfn.FORMULATEXT('XL-Test'!P11))</f>
        <v>91</v>
      </c>
    </row>
    <row r="45" spans="1:12">
      <c r="A45">
        <v>12</v>
      </c>
      <c r="B45">
        <v>4</v>
      </c>
      <c r="C45">
        <f ca="1">LEN(_xlfn.FORMULATEXT('XL-Test'!G12))</f>
        <v>24</v>
      </c>
      <c r="D45">
        <f ca="1">LEN(_xlfn.FORMULATEXT('XL-Test'!H12))</f>
        <v>50</v>
      </c>
      <c r="E45">
        <f ca="1">LEN(_xlfn.FORMULATEXT('XL-Test'!I12))</f>
        <v>36</v>
      </c>
      <c r="F45">
        <f ca="1">LEN(_xlfn.FORMULATEXT('XL-Test'!J12))</f>
        <v>35</v>
      </c>
      <c r="G45">
        <f ca="1">LEN(_xlfn.FORMULATEXT('XL-Test'!K12))</f>
        <v>18</v>
      </c>
      <c r="H45">
        <f ca="1">LEN(_xlfn.FORMULATEXT('XL-Test'!L12))</f>
        <v>33</v>
      </c>
      <c r="I45">
        <f ca="1">LEN(_xlfn.FORMULATEXT('XL-Test'!M12))</f>
        <v>33</v>
      </c>
      <c r="J45">
        <f ca="1">LEN(_xlfn.FORMULATEXT('XL-Test'!N12))</f>
        <v>13</v>
      </c>
      <c r="K45">
        <f ca="1">LEN(_xlfn.FORMULATEXT('XL-Test'!O12))</f>
        <v>15</v>
      </c>
      <c r="L45">
        <f ca="1">LEN(_xlfn.FORMULATEXT('XL-Test'!P12))</f>
        <v>91</v>
      </c>
    </row>
    <row r="46" spans="1:12">
      <c r="A46">
        <v>13</v>
      </c>
      <c r="B46">
        <v>5</v>
      </c>
      <c r="C46">
        <f ca="1">LEN(_xlfn.FORMULATEXT('XL-Test'!G13))</f>
        <v>24</v>
      </c>
      <c r="D46">
        <f ca="1">LEN(_xlfn.FORMULATEXT('XL-Test'!H13))</f>
        <v>50</v>
      </c>
      <c r="E46">
        <f ca="1">LEN(_xlfn.FORMULATEXT('XL-Test'!I13))</f>
        <v>36</v>
      </c>
      <c r="F46">
        <f ca="1">LEN(_xlfn.FORMULATEXT('XL-Test'!J13))</f>
        <v>35</v>
      </c>
      <c r="G46">
        <f ca="1">LEN(_xlfn.FORMULATEXT('XL-Test'!K13))</f>
        <v>18</v>
      </c>
      <c r="H46">
        <f ca="1">LEN(_xlfn.FORMULATEXT('XL-Test'!L13))</f>
        <v>33</v>
      </c>
      <c r="I46">
        <f ca="1">LEN(_xlfn.FORMULATEXT('XL-Test'!M13))</f>
        <v>33</v>
      </c>
      <c r="J46">
        <f ca="1">LEN(_xlfn.FORMULATEXT('XL-Test'!N13))</f>
        <v>13</v>
      </c>
      <c r="K46">
        <f ca="1">LEN(_xlfn.FORMULATEXT('XL-Test'!O13))</f>
        <v>15</v>
      </c>
      <c r="L46">
        <f ca="1">LEN(_xlfn.FORMULATEXT('XL-Test'!P13))</f>
        <v>91</v>
      </c>
    </row>
    <row r="47" spans="1:12">
      <c r="A47">
        <v>14</v>
      </c>
      <c r="B47">
        <v>6</v>
      </c>
      <c r="C47">
        <f ca="1">LEN(_xlfn.FORMULATEXT('XL-Test'!G14))</f>
        <v>24</v>
      </c>
      <c r="D47">
        <f ca="1">LEN(_xlfn.FORMULATEXT('XL-Test'!H14))</f>
        <v>50</v>
      </c>
      <c r="E47">
        <f ca="1">LEN(_xlfn.FORMULATEXT('XL-Test'!I14))</f>
        <v>36</v>
      </c>
      <c r="F47">
        <f ca="1">LEN(_xlfn.FORMULATEXT('XL-Test'!J14))</f>
        <v>35</v>
      </c>
      <c r="G47">
        <f ca="1">LEN(_xlfn.FORMULATEXT('XL-Test'!K14))</f>
        <v>18</v>
      </c>
      <c r="H47">
        <f ca="1">LEN(_xlfn.FORMULATEXT('XL-Test'!L14))</f>
        <v>33</v>
      </c>
      <c r="I47">
        <f ca="1">LEN(_xlfn.FORMULATEXT('XL-Test'!M14))</f>
        <v>33</v>
      </c>
      <c r="J47">
        <f ca="1">LEN(_xlfn.FORMULATEXT('XL-Test'!N14))</f>
        <v>13</v>
      </c>
      <c r="K47">
        <f ca="1">LEN(_xlfn.FORMULATEXT('XL-Test'!O14))</f>
        <v>15</v>
      </c>
      <c r="L47">
        <f ca="1">LEN(_xlfn.FORMULATEXT('XL-Test'!P14))</f>
        <v>91</v>
      </c>
    </row>
    <row r="48" spans="1:12">
      <c r="A48">
        <v>15</v>
      </c>
      <c r="B48">
        <v>7</v>
      </c>
      <c r="C48">
        <f ca="1">LEN(_xlfn.FORMULATEXT('XL-Test'!G15))</f>
        <v>24</v>
      </c>
      <c r="D48">
        <f ca="1">LEN(_xlfn.FORMULATEXT('XL-Test'!H15))</f>
        <v>50</v>
      </c>
      <c r="E48">
        <f ca="1">LEN(_xlfn.FORMULATEXT('XL-Test'!I15))</f>
        <v>36</v>
      </c>
      <c r="F48">
        <f ca="1">LEN(_xlfn.FORMULATEXT('XL-Test'!J15))</f>
        <v>35</v>
      </c>
      <c r="G48">
        <f ca="1">LEN(_xlfn.FORMULATEXT('XL-Test'!K15))</f>
        <v>18</v>
      </c>
      <c r="H48">
        <f ca="1">LEN(_xlfn.FORMULATEXT('XL-Test'!L15))</f>
        <v>33</v>
      </c>
      <c r="I48">
        <f ca="1">LEN(_xlfn.FORMULATEXT('XL-Test'!M15))</f>
        <v>33</v>
      </c>
      <c r="J48">
        <f ca="1">LEN(_xlfn.FORMULATEXT('XL-Test'!N15))</f>
        <v>13</v>
      </c>
      <c r="K48">
        <f ca="1">LEN(_xlfn.FORMULATEXT('XL-Test'!O15))</f>
        <v>15</v>
      </c>
      <c r="L48">
        <f ca="1">LEN(_xlfn.FORMULATEXT('XL-Test'!P15))</f>
        <v>91</v>
      </c>
    </row>
    <row r="49" spans="1:12">
      <c r="A49">
        <v>16</v>
      </c>
      <c r="B49">
        <v>8</v>
      </c>
      <c r="C49">
        <f ca="1">LEN(_xlfn.FORMULATEXT('XL-Test'!G16))</f>
        <v>24</v>
      </c>
      <c r="D49">
        <f ca="1">LEN(_xlfn.FORMULATEXT('XL-Test'!H16))</f>
        <v>50</v>
      </c>
      <c r="E49">
        <f ca="1">LEN(_xlfn.FORMULATEXT('XL-Test'!I16))</f>
        <v>36</v>
      </c>
      <c r="F49">
        <f ca="1">LEN(_xlfn.FORMULATEXT('XL-Test'!J16))</f>
        <v>35</v>
      </c>
      <c r="G49">
        <f ca="1">LEN(_xlfn.FORMULATEXT('XL-Test'!K16))</f>
        <v>18</v>
      </c>
      <c r="H49">
        <f ca="1">LEN(_xlfn.FORMULATEXT('XL-Test'!L16))</f>
        <v>33</v>
      </c>
      <c r="I49">
        <f ca="1">LEN(_xlfn.FORMULATEXT('XL-Test'!M16))</f>
        <v>33</v>
      </c>
      <c r="J49">
        <f ca="1">LEN(_xlfn.FORMULATEXT('XL-Test'!N16))</f>
        <v>13</v>
      </c>
      <c r="K49">
        <f ca="1">LEN(_xlfn.FORMULATEXT('XL-Test'!O16))</f>
        <v>15</v>
      </c>
      <c r="L49">
        <f ca="1">LEN(_xlfn.FORMULATEXT('XL-Test'!P16))</f>
        <v>91</v>
      </c>
    </row>
    <row r="50" spans="1:12">
      <c r="A50">
        <v>17</v>
      </c>
      <c r="B50">
        <v>9</v>
      </c>
      <c r="C50">
        <f ca="1">LEN(_xlfn.FORMULATEXT('XL-Test'!G17))</f>
        <v>24</v>
      </c>
      <c r="D50">
        <f ca="1">LEN(_xlfn.FORMULATEXT('XL-Test'!H17))</f>
        <v>50</v>
      </c>
      <c r="E50">
        <f ca="1">LEN(_xlfn.FORMULATEXT('XL-Test'!I17))</f>
        <v>36</v>
      </c>
      <c r="F50">
        <f ca="1">LEN(_xlfn.FORMULATEXT('XL-Test'!J17))</f>
        <v>35</v>
      </c>
      <c r="G50">
        <f ca="1">LEN(_xlfn.FORMULATEXT('XL-Test'!K17))</f>
        <v>18</v>
      </c>
      <c r="H50">
        <f ca="1">LEN(_xlfn.FORMULATEXT('XL-Test'!L17))</f>
        <v>33</v>
      </c>
      <c r="I50">
        <f ca="1">LEN(_xlfn.FORMULATEXT('XL-Test'!M17))</f>
        <v>33</v>
      </c>
      <c r="J50">
        <f ca="1">LEN(_xlfn.FORMULATEXT('XL-Test'!N17))</f>
        <v>13</v>
      </c>
      <c r="K50">
        <f ca="1">LEN(_xlfn.FORMULATEXT('XL-Test'!O17))</f>
        <v>15</v>
      </c>
      <c r="L50">
        <f ca="1">LEN(_xlfn.FORMULATEXT('XL-Test'!P17))</f>
        <v>91</v>
      </c>
    </row>
    <row r="51" spans="1:12">
      <c r="A51">
        <v>18</v>
      </c>
      <c r="B51">
        <v>10</v>
      </c>
      <c r="C51">
        <f ca="1">LEN(_xlfn.FORMULATEXT('XL-Test'!G18))</f>
        <v>24</v>
      </c>
      <c r="D51">
        <f ca="1">LEN(_xlfn.FORMULATEXT('XL-Test'!H18))</f>
        <v>50</v>
      </c>
      <c r="E51">
        <f ca="1">LEN(_xlfn.FORMULATEXT('XL-Test'!I18))</f>
        <v>36</v>
      </c>
      <c r="F51">
        <f ca="1">LEN(_xlfn.FORMULATEXT('XL-Test'!J18))</f>
        <v>35</v>
      </c>
      <c r="G51">
        <f ca="1">LEN(_xlfn.FORMULATEXT('XL-Test'!K18))</f>
        <v>18</v>
      </c>
      <c r="H51">
        <f ca="1">LEN(_xlfn.FORMULATEXT('XL-Test'!L18))</f>
        <v>33</v>
      </c>
      <c r="I51">
        <f ca="1">LEN(_xlfn.FORMULATEXT('XL-Test'!M18))</f>
        <v>33</v>
      </c>
      <c r="J51">
        <f ca="1">LEN(_xlfn.FORMULATEXT('XL-Test'!N18))</f>
        <v>13</v>
      </c>
      <c r="K51">
        <f ca="1">LEN(_xlfn.FORMULATEXT('XL-Test'!O18))</f>
        <v>15</v>
      </c>
      <c r="L51">
        <f ca="1">LEN(_xlfn.FORMULATEXT('XL-Test'!P18))</f>
        <v>91</v>
      </c>
    </row>
    <row r="52" spans="1:12">
      <c r="A52">
        <v>19</v>
      </c>
      <c r="B52">
        <v>11</v>
      </c>
      <c r="C52">
        <f ca="1">LEN(_xlfn.FORMULATEXT('XL-Test'!G19))</f>
        <v>24</v>
      </c>
      <c r="D52">
        <f ca="1">LEN(_xlfn.FORMULATEXT('XL-Test'!H19))</f>
        <v>50</v>
      </c>
      <c r="E52">
        <f ca="1">LEN(_xlfn.FORMULATEXT('XL-Test'!I19))</f>
        <v>36</v>
      </c>
      <c r="F52">
        <f ca="1">LEN(_xlfn.FORMULATEXT('XL-Test'!J19))</f>
        <v>35</v>
      </c>
      <c r="G52">
        <f ca="1">LEN(_xlfn.FORMULATEXT('XL-Test'!K19))</f>
        <v>18</v>
      </c>
      <c r="H52">
        <f ca="1">LEN(_xlfn.FORMULATEXT('XL-Test'!L19))</f>
        <v>33</v>
      </c>
      <c r="I52">
        <f ca="1">LEN(_xlfn.FORMULATEXT('XL-Test'!M19))</f>
        <v>33</v>
      </c>
      <c r="J52">
        <f ca="1">LEN(_xlfn.FORMULATEXT('XL-Test'!N19))</f>
        <v>13</v>
      </c>
      <c r="K52">
        <f ca="1">LEN(_xlfn.FORMULATEXT('XL-Test'!O19))</f>
        <v>15</v>
      </c>
      <c r="L52">
        <f ca="1">LEN(_xlfn.FORMULATEXT('XL-Test'!P19))</f>
        <v>91</v>
      </c>
    </row>
    <row r="53" spans="1:12">
      <c r="A53">
        <v>20</v>
      </c>
      <c r="B53">
        <v>12</v>
      </c>
      <c r="C53">
        <f ca="1">LEN(_xlfn.FORMULATEXT('XL-Test'!G20))</f>
        <v>24</v>
      </c>
      <c r="D53">
        <f ca="1">LEN(_xlfn.FORMULATEXT('XL-Test'!H20))</f>
        <v>50</v>
      </c>
      <c r="E53">
        <f ca="1">LEN(_xlfn.FORMULATEXT('XL-Test'!I20))</f>
        <v>36</v>
      </c>
      <c r="F53">
        <f ca="1">LEN(_xlfn.FORMULATEXT('XL-Test'!J20))</f>
        <v>35</v>
      </c>
      <c r="G53">
        <f ca="1">LEN(_xlfn.FORMULATEXT('XL-Test'!K20))</f>
        <v>18</v>
      </c>
      <c r="H53">
        <f ca="1">LEN(_xlfn.FORMULATEXT('XL-Test'!L20))</f>
        <v>33</v>
      </c>
      <c r="I53">
        <f ca="1">LEN(_xlfn.FORMULATEXT('XL-Test'!M20))</f>
        <v>33</v>
      </c>
      <c r="J53">
        <f ca="1">LEN(_xlfn.FORMULATEXT('XL-Test'!N20))</f>
        <v>13</v>
      </c>
      <c r="K53">
        <f ca="1">LEN(_xlfn.FORMULATEXT('XL-Test'!O20))</f>
        <v>15</v>
      </c>
      <c r="L53">
        <f ca="1">LEN(_xlfn.FORMULATEXT('XL-Test'!P20))</f>
        <v>91</v>
      </c>
    </row>
    <row r="54" spans="1:12">
      <c r="A54">
        <v>21</v>
      </c>
      <c r="B54">
        <v>13</v>
      </c>
      <c r="C54">
        <f ca="1">LEN(_xlfn.FORMULATEXT('XL-Test'!G21))</f>
        <v>24</v>
      </c>
      <c r="D54">
        <f ca="1">LEN(_xlfn.FORMULATEXT('XL-Test'!H21))</f>
        <v>50</v>
      </c>
      <c r="E54">
        <f ca="1">LEN(_xlfn.FORMULATEXT('XL-Test'!I21))</f>
        <v>36</v>
      </c>
      <c r="F54">
        <f ca="1">LEN(_xlfn.FORMULATEXT('XL-Test'!J21))</f>
        <v>35</v>
      </c>
      <c r="G54">
        <f ca="1">LEN(_xlfn.FORMULATEXT('XL-Test'!K21))</f>
        <v>18</v>
      </c>
      <c r="H54">
        <f ca="1">LEN(_xlfn.FORMULATEXT('XL-Test'!L21))</f>
        <v>33</v>
      </c>
      <c r="I54">
        <f ca="1">LEN(_xlfn.FORMULATEXT('XL-Test'!M21))</f>
        <v>33</v>
      </c>
      <c r="J54">
        <f ca="1">LEN(_xlfn.FORMULATEXT('XL-Test'!N21))</f>
        <v>13</v>
      </c>
      <c r="K54">
        <f ca="1">LEN(_xlfn.FORMULATEXT('XL-Test'!O21))</f>
        <v>15</v>
      </c>
      <c r="L54">
        <f ca="1">LEN(_xlfn.FORMULATEXT('XL-Test'!P21))</f>
        <v>91</v>
      </c>
    </row>
    <row r="55" spans="1:12">
      <c r="A55">
        <v>22</v>
      </c>
      <c r="B55">
        <v>14</v>
      </c>
      <c r="C55">
        <f ca="1">LEN(_xlfn.FORMULATEXT('XL-Test'!G22))</f>
        <v>24</v>
      </c>
      <c r="D55">
        <f ca="1">LEN(_xlfn.FORMULATEXT('XL-Test'!H22))</f>
        <v>50</v>
      </c>
      <c r="E55">
        <f ca="1">LEN(_xlfn.FORMULATEXT('XL-Test'!I22))</f>
        <v>36</v>
      </c>
      <c r="F55">
        <f ca="1">LEN(_xlfn.FORMULATEXT('XL-Test'!J22))</f>
        <v>35</v>
      </c>
      <c r="G55">
        <f ca="1">LEN(_xlfn.FORMULATEXT('XL-Test'!K22))</f>
        <v>18</v>
      </c>
      <c r="H55">
        <f ca="1">LEN(_xlfn.FORMULATEXT('XL-Test'!L22))</f>
        <v>33</v>
      </c>
      <c r="I55">
        <f ca="1">LEN(_xlfn.FORMULATEXT('XL-Test'!M22))</f>
        <v>33</v>
      </c>
      <c r="J55">
        <f ca="1">LEN(_xlfn.FORMULATEXT('XL-Test'!N22))</f>
        <v>13</v>
      </c>
      <c r="K55">
        <f ca="1">LEN(_xlfn.FORMULATEXT('XL-Test'!O22))</f>
        <v>15</v>
      </c>
      <c r="L55">
        <f ca="1">LEN(_xlfn.FORMULATEXT('XL-Test'!P22))</f>
        <v>91</v>
      </c>
    </row>
    <row r="56" spans="1:12">
      <c r="A56">
        <v>23</v>
      </c>
      <c r="B56">
        <v>15</v>
      </c>
      <c r="C56">
        <f ca="1">LEN(_xlfn.FORMULATEXT('XL-Test'!G23))</f>
        <v>24</v>
      </c>
      <c r="D56">
        <f ca="1">LEN(_xlfn.FORMULATEXT('XL-Test'!H23))</f>
        <v>50</v>
      </c>
      <c r="E56">
        <f ca="1">LEN(_xlfn.FORMULATEXT('XL-Test'!I23))</f>
        <v>36</v>
      </c>
      <c r="F56">
        <f ca="1">LEN(_xlfn.FORMULATEXT('XL-Test'!J23))</f>
        <v>35</v>
      </c>
      <c r="G56">
        <f ca="1">LEN(_xlfn.FORMULATEXT('XL-Test'!K23))</f>
        <v>18</v>
      </c>
      <c r="H56">
        <f ca="1">LEN(_xlfn.FORMULATEXT('XL-Test'!L23))</f>
        <v>33</v>
      </c>
      <c r="I56">
        <f ca="1">LEN(_xlfn.FORMULATEXT('XL-Test'!M23))</f>
        <v>33</v>
      </c>
      <c r="J56">
        <f ca="1">LEN(_xlfn.FORMULATEXT('XL-Test'!N23))</f>
        <v>13</v>
      </c>
      <c r="K56">
        <f ca="1">LEN(_xlfn.FORMULATEXT('XL-Test'!O23))</f>
        <v>15</v>
      </c>
      <c r="L56">
        <f ca="1">LEN(_xlfn.FORMULATEXT('XL-Test'!P23))</f>
        <v>91</v>
      </c>
    </row>
    <row r="57" spans="1:12">
      <c r="A57">
        <v>24</v>
      </c>
      <c r="B57">
        <v>16</v>
      </c>
      <c r="C57">
        <f ca="1">LEN(_xlfn.FORMULATEXT('XL-Test'!G24))</f>
        <v>24</v>
      </c>
      <c r="D57">
        <f ca="1">LEN(_xlfn.FORMULATEXT('XL-Test'!H24))</f>
        <v>50</v>
      </c>
      <c r="E57">
        <f ca="1">LEN(_xlfn.FORMULATEXT('XL-Test'!I24))</f>
        <v>36</v>
      </c>
      <c r="F57">
        <f ca="1">LEN(_xlfn.FORMULATEXT('XL-Test'!J24))</f>
        <v>35</v>
      </c>
      <c r="G57">
        <f ca="1">LEN(_xlfn.FORMULATEXT('XL-Test'!K24))</f>
        <v>18</v>
      </c>
      <c r="H57">
        <f ca="1">LEN(_xlfn.FORMULATEXT('XL-Test'!L24))</f>
        <v>33</v>
      </c>
      <c r="I57">
        <f ca="1">LEN(_xlfn.FORMULATEXT('XL-Test'!M24))</f>
        <v>33</v>
      </c>
      <c r="J57">
        <f ca="1">LEN(_xlfn.FORMULATEXT('XL-Test'!N24))</f>
        <v>13</v>
      </c>
      <c r="K57">
        <f ca="1">LEN(_xlfn.FORMULATEXT('XL-Test'!O24))</f>
        <v>15</v>
      </c>
      <c r="L57">
        <f ca="1">LEN(_xlfn.FORMULATEXT('XL-Test'!P24))</f>
        <v>91</v>
      </c>
    </row>
    <row r="58" spans="1:12">
      <c r="A58">
        <v>25</v>
      </c>
      <c r="B58">
        <v>17</v>
      </c>
      <c r="C58">
        <f ca="1">LEN(_xlfn.FORMULATEXT('XL-Test'!G25))</f>
        <v>24</v>
      </c>
      <c r="D58">
        <f ca="1">LEN(_xlfn.FORMULATEXT('XL-Test'!H25))</f>
        <v>50</v>
      </c>
      <c r="E58">
        <f ca="1">LEN(_xlfn.FORMULATEXT('XL-Test'!I25))</f>
        <v>36</v>
      </c>
      <c r="F58">
        <f ca="1">LEN(_xlfn.FORMULATEXT('XL-Test'!J25))</f>
        <v>35</v>
      </c>
      <c r="G58">
        <f ca="1">LEN(_xlfn.FORMULATEXT('XL-Test'!K25))</f>
        <v>18</v>
      </c>
      <c r="H58">
        <f ca="1">LEN(_xlfn.FORMULATEXT('XL-Test'!L25))</f>
        <v>33</v>
      </c>
      <c r="I58">
        <f ca="1">LEN(_xlfn.FORMULATEXT('XL-Test'!M25))</f>
        <v>33</v>
      </c>
      <c r="J58">
        <f ca="1">LEN(_xlfn.FORMULATEXT('XL-Test'!N25))</f>
        <v>13</v>
      </c>
      <c r="K58">
        <f ca="1">LEN(_xlfn.FORMULATEXT('XL-Test'!O25))</f>
        <v>15</v>
      </c>
      <c r="L58">
        <f ca="1">LEN(_xlfn.FORMULATEXT('XL-Test'!P25))</f>
        <v>91</v>
      </c>
    </row>
    <row r="59" spans="1:12">
      <c r="A59">
        <v>26</v>
      </c>
      <c r="B59">
        <v>18</v>
      </c>
      <c r="C59">
        <f ca="1">LEN(_xlfn.FORMULATEXT('XL-Test'!G26))</f>
        <v>24</v>
      </c>
      <c r="D59">
        <f ca="1">LEN(_xlfn.FORMULATEXT('XL-Test'!H26))</f>
        <v>50</v>
      </c>
      <c r="E59">
        <f ca="1">LEN(_xlfn.FORMULATEXT('XL-Test'!I26))</f>
        <v>36</v>
      </c>
      <c r="F59">
        <f ca="1">LEN(_xlfn.FORMULATEXT('XL-Test'!J26))</f>
        <v>35</v>
      </c>
      <c r="G59">
        <f ca="1">LEN(_xlfn.FORMULATEXT('XL-Test'!K26))</f>
        <v>18</v>
      </c>
      <c r="H59">
        <f ca="1">LEN(_xlfn.FORMULATEXT('XL-Test'!L26))</f>
        <v>33</v>
      </c>
      <c r="I59">
        <f ca="1">LEN(_xlfn.FORMULATEXT('XL-Test'!M26))</f>
        <v>33</v>
      </c>
      <c r="J59">
        <f ca="1">LEN(_xlfn.FORMULATEXT('XL-Test'!N26))</f>
        <v>13</v>
      </c>
      <c r="K59">
        <f ca="1">LEN(_xlfn.FORMULATEXT('XL-Test'!O26))</f>
        <v>15</v>
      </c>
      <c r="L59">
        <f ca="1">LEN(_xlfn.FORMULATEXT('XL-Test'!P26))</f>
        <v>91</v>
      </c>
    </row>
    <row r="60" spans="1:12">
      <c r="A60">
        <v>27</v>
      </c>
      <c r="B60">
        <v>19</v>
      </c>
      <c r="C60">
        <f ca="1">LEN(_xlfn.FORMULATEXT('XL-Test'!G27))</f>
        <v>24</v>
      </c>
      <c r="D60">
        <f ca="1">LEN(_xlfn.FORMULATEXT('XL-Test'!H27))</f>
        <v>50</v>
      </c>
      <c r="E60">
        <f ca="1">LEN(_xlfn.FORMULATEXT('XL-Test'!I27))</f>
        <v>36</v>
      </c>
      <c r="F60">
        <f ca="1">LEN(_xlfn.FORMULATEXT('XL-Test'!J27))</f>
        <v>35</v>
      </c>
      <c r="G60">
        <f ca="1">LEN(_xlfn.FORMULATEXT('XL-Test'!K27))</f>
        <v>18</v>
      </c>
      <c r="H60">
        <f ca="1">LEN(_xlfn.FORMULATEXT('XL-Test'!L27))</f>
        <v>33</v>
      </c>
      <c r="I60">
        <f ca="1">LEN(_xlfn.FORMULATEXT('XL-Test'!M27))</f>
        <v>33</v>
      </c>
      <c r="J60">
        <f ca="1">LEN(_xlfn.FORMULATEXT('XL-Test'!N27))</f>
        <v>13</v>
      </c>
      <c r="K60">
        <f ca="1">LEN(_xlfn.FORMULATEXT('XL-Test'!O27))</f>
        <v>15</v>
      </c>
      <c r="L60">
        <f ca="1">LEN(_xlfn.FORMULATEXT('XL-Test'!P27))</f>
        <v>91</v>
      </c>
    </row>
    <row r="61" spans="1:12">
      <c r="A61">
        <v>28</v>
      </c>
      <c r="B61">
        <v>20</v>
      </c>
      <c r="C61">
        <f ca="1">LEN(_xlfn.FORMULATEXT('XL-Test'!G28))</f>
        <v>24</v>
      </c>
      <c r="D61">
        <f ca="1">LEN(_xlfn.FORMULATEXT('XL-Test'!H28))</f>
        <v>50</v>
      </c>
      <c r="E61">
        <f ca="1">LEN(_xlfn.FORMULATEXT('XL-Test'!I28))</f>
        <v>36</v>
      </c>
      <c r="F61">
        <f ca="1">LEN(_xlfn.FORMULATEXT('XL-Test'!J28))</f>
        <v>35</v>
      </c>
      <c r="G61">
        <f ca="1">LEN(_xlfn.FORMULATEXT('XL-Test'!K28))</f>
        <v>18</v>
      </c>
      <c r="H61">
        <f ca="1">LEN(_xlfn.FORMULATEXT('XL-Test'!L28))</f>
        <v>33</v>
      </c>
      <c r="I61">
        <f ca="1">LEN(_xlfn.FORMULATEXT('XL-Test'!M28))</f>
        <v>33</v>
      </c>
      <c r="J61">
        <f ca="1">LEN(_xlfn.FORMULATEXT('XL-Test'!N28))</f>
        <v>13</v>
      </c>
      <c r="K61">
        <f ca="1">LEN(_xlfn.FORMULATEXT('XL-Test'!O28))</f>
        <v>15</v>
      </c>
      <c r="L61">
        <f ca="1">LEN(_xlfn.FORMULATEXT('XL-Test'!P28))</f>
        <v>91</v>
      </c>
    </row>
    <row r="63" spans="1:12">
      <c r="B63" t="s">
        <v>104</v>
      </c>
      <c r="C63">
        <f ca="1">AVERAGE(C43:C61)</f>
        <v>24</v>
      </c>
      <c r="D63">
        <f t="shared" ref="D63:L63" ca="1" si="4">AVERAGE(D43:D61)</f>
        <v>50</v>
      </c>
      <c r="E63">
        <f t="shared" ca="1" si="4"/>
        <v>36</v>
      </c>
      <c r="F63">
        <f t="shared" ca="1" si="4"/>
        <v>35</v>
      </c>
      <c r="G63">
        <f t="shared" ca="1" si="4"/>
        <v>18</v>
      </c>
      <c r="H63">
        <f t="shared" ca="1" si="4"/>
        <v>33</v>
      </c>
      <c r="I63">
        <f t="shared" ca="1" si="4"/>
        <v>33</v>
      </c>
      <c r="J63">
        <f t="shared" ca="1" si="4"/>
        <v>13</v>
      </c>
      <c r="K63">
        <f t="shared" ca="1" si="4"/>
        <v>15</v>
      </c>
      <c r="L63">
        <f t="shared" ca="1" si="4"/>
        <v>91</v>
      </c>
    </row>
    <row r="64" spans="1:12">
      <c r="B64" t="s">
        <v>105</v>
      </c>
      <c r="C64" t="b">
        <f ca="1">C63=C43</f>
        <v>1</v>
      </c>
      <c r="D64" t="b">
        <f t="shared" ref="D64:L64" ca="1" si="5">D63=D43</f>
        <v>1</v>
      </c>
      <c r="E64" t="b">
        <f t="shared" ca="1" si="5"/>
        <v>1</v>
      </c>
      <c r="F64" t="b">
        <f t="shared" ca="1" si="5"/>
        <v>1</v>
      </c>
      <c r="G64" t="b">
        <f t="shared" ca="1" si="5"/>
        <v>1</v>
      </c>
      <c r="H64" t="b">
        <f t="shared" ca="1" si="5"/>
        <v>1</v>
      </c>
      <c r="I64" t="b">
        <f t="shared" ca="1" si="5"/>
        <v>1</v>
      </c>
      <c r="J64" t="b">
        <f t="shared" ca="1" si="5"/>
        <v>1</v>
      </c>
      <c r="K64" t="b">
        <f t="shared" ca="1" si="5"/>
        <v>1</v>
      </c>
      <c r="L64" t="b">
        <f t="shared" ca="1" si="5"/>
        <v>1</v>
      </c>
    </row>
    <row r="66" spans="1:12">
      <c r="B66" t="s">
        <v>106</v>
      </c>
      <c r="C66" t="b">
        <f ca="1">AND(C43&gt;0,C47=0,C7&gt;0)</f>
        <v>0</v>
      </c>
      <c r="D66" t="b">
        <f t="shared" ref="D66:L66" ca="1" si="6">AND(D43&gt;0,D47=0,D7&gt;0)</f>
        <v>0</v>
      </c>
      <c r="E66" t="b">
        <f t="shared" ca="1" si="6"/>
        <v>0</v>
      </c>
      <c r="F66" t="b">
        <f t="shared" ca="1" si="6"/>
        <v>0</v>
      </c>
      <c r="G66" t="b">
        <f t="shared" ca="1" si="6"/>
        <v>0</v>
      </c>
      <c r="H66" t="b">
        <f t="shared" ca="1" si="6"/>
        <v>0</v>
      </c>
      <c r="I66" t="b">
        <f t="shared" ca="1" si="6"/>
        <v>0</v>
      </c>
      <c r="J66" t="b">
        <f t="shared" ca="1" si="6"/>
        <v>0</v>
      </c>
      <c r="K66" t="b">
        <f t="shared" ca="1" si="6"/>
        <v>0</v>
      </c>
      <c r="L66" t="b">
        <f t="shared" ca="1" si="6"/>
        <v>0</v>
      </c>
    </row>
    <row r="68" spans="1:12">
      <c r="A68" t="s">
        <v>101</v>
      </c>
      <c r="B68" t="s">
        <v>107</v>
      </c>
      <c r="C68" t="b">
        <f ca="1">IFERROR(OR(C66,C64),FALSE)</f>
        <v>1</v>
      </c>
      <c r="D68" t="b">
        <f t="shared" ref="D68:L68" ca="1" si="7">IFERROR(OR(D66,D64),FALSE)</f>
        <v>1</v>
      </c>
      <c r="E68" t="b">
        <f t="shared" ca="1" si="7"/>
        <v>1</v>
      </c>
      <c r="F68" t="b">
        <f t="shared" ca="1" si="7"/>
        <v>1</v>
      </c>
      <c r="G68" t="b">
        <f t="shared" ca="1" si="7"/>
        <v>1</v>
      </c>
      <c r="H68" t="b">
        <f t="shared" ca="1" si="7"/>
        <v>1</v>
      </c>
      <c r="I68" t="b">
        <f t="shared" ca="1" si="7"/>
        <v>1</v>
      </c>
      <c r="J68" t="b">
        <f t="shared" ca="1" si="7"/>
        <v>1</v>
      </c>
      <c r="K68" t="b">
        <f t="shared" ca="1" si="7"/>
        <v>1</v>
      </c>
      <c r="L68" t="b">
        <f t="shared" ca="1" si="7"/>
        <v>1</v>
      </c>
    </row>
    <row r="71" spans="1:12">
      <c r="B71" t="s">
        <v>108</v>
      </c>
      <c r="C71">
        <f ca="1">IFERROR(LEN(T2)-LEN(SUBSTITUTE(T2,"(","")),99)</f>
        <v>1</v>
      </c>
      <c r="D71">
        <f t="shared" ref="D71:L71" ca="1" si="8">IFERROR(LEN(U2)-LEN(SUBSTITUTE(U2,"(","")),99)</f>
        <v>5</v>
      </c>
      <c r="E71">
        <f t="shared" ca="1" si="8"/>
        <v>1</v>
      </c>
      <c r="F71">
        <f t="shared" ca="1" si="8"/>
        <v>3</v>
      </c>
      <c r="G71">
        <f t="shared" ca="1" si="8"/>
        <v>1</v>
      </c>
      <c r="H71">
        <f t="shared" ca="1" si="8"/>
        <v>1</v>
      </c>
      <c r="I71">
        <f t="shared" ca="1" si="8"/>
        <v>1</v>
      </c>
      <c r="J71">
        <f t="shared" ca="1" si="8"/>
        <v>1</v>
      </c>
      <c r="K71">
        <f t="shared" ca="1" si="8"/>
        <v>1</v>
      </c>
      <c r="L71">
        <f t="shared" ca="1" si="8"/>
        <v>8</v>
      </c>
    </row>
    <row r="72" spans="1:12">
      <c r="C72">
        <v>1</v>
      </c>
      <c r="D72">
        <v>5</v>
      </c>
      <c r="E72">
        <v>1</v>
      </c>
      <c r="F72">
        <v>3</v>
      </c>
      <c r="G72">
        <v>1</v>
      </c>
      <c r="H72">
        <v>1</v>
      </c>
      <c r="I72">
        <v>1</v>
      </c>
      <c r="J72">
        <v>1</v>
      </c>
      <c r="K72">
        <v>1</v>
      </c>
      <c r="L72">
        <v>10</v>
      </c>
    </row>
    <row r="74" spans="1:12">
      <c r="A74" t="s">
        <v>101</v>
      </c>
      <c r="C74" t="b">
        <f ca="1">C71&lt;=C72</f>
        <v>1</v>
      </c>
      <c r="D74" t="b">
        <f t="shared" ref="D74:L74" ca="1" si="9">D71&lt;=D72</f>
        <v>1</v>
      </c>
      <c r="E74" t="b">
        <f t="shared" ca="1" si="9"/>
        <v>1</v>
      </c>
      <c r="F74" t="b">
        <f t="shared" ca="1" si="9"/>
        <v>1</v>
      </c>
      <c r="G74" t="b">
        <f t="shared" ca="1" si="9"/>
        <v>1</v>
      </c>
      <c r="H74" t="b">
        <f t="shared" ca="1" si="9"/>
        <v>1</v>
      </c>
      <c r="I74" t="b">
        <f t="shared" ca="1" si="9"/>
        <v>1</v>
      </c>
      <c r="J74" t="b">
        <f t="shared" ca="1" si="9"/>
        <v>1</v>
      </c>
      <c r="K74" t="b">
        <f t="shared" ca="1" si="9"/>
        <v>1</v>
      </c>
      <c r="L74" t="b">
        <f t="shared" ca="1" si="9"/>
        <v>1</v>
      </c>
    </row>
    <row r="75" spans="1:12">
      <c r="A75" t="s">
        <v>109</v>
      </c>
      <c r="C75" t="b">
        <f ca="1">AND(C74,C34)</f>
        <v>1</v>
      </c>
      <c r="D75" t="b">
        <f t="shared" ref="D75:L75" ca="1" si="10">AND(D74,D34)</f>
        <v>1</v>
      </c>
      <c r="E75" t="b">
        <f t="shared" ca="1" si="10"/>
        <v>1</v>
      </c>
      <c r="F75" t="b">
        <f t="shared" ca="1" si="10"/>
        <v>1</v>
      </c>
      <c r="G75" t="b">
        <f t="shared" ca="1" si="10"/>
        <v>1</v>
      </c>
      <c r="H75" t="b">
        <f t="shared" ca="1" si="10"/>
        <v>1</v>
      </c>
      <c r="I75" t="b">
        <f t="shared" ca="1" si="10"/>
        <v>1</v>
      </c>
      <c r="J75" t="b">
        <f t="shared" ca="1" si="10"/>
        <v>1</v>
      </c>
      <c r="K75" t="b">
        <f t="shared" ca="1" si="10"/>
        <v>1</v>
      </c>
      <c r="L75" t="b">
        <f t="shared" ca="1" si="10"/>
        <v>1</v>
      </c>
    </row>
    <row r="76" spans="1:12">
      <c r="A76" t="s">
        <v>110</v>
      </c>
      <c r="C76" t="b">
        <f ca="1">AND(C29,C68)</f>
        <v>1</v>
      </c>
      <c r="D76" t="b">
        <f t="shared" ref="D76:L76" ca="1" si="11">AND(D29,D68)</f>
        <v>1</v>
      </c>
      <c r="E76" t="b">
        <f t="shared" ca="1" si="11"/>
        <v>1</v>
      </c>
      <c r="F76" t="b">
        <f t="shared" ca="1" si="11"/>
        <v>1</v>
      </c>
      <c r="G76" t="b">
        <f t="shared" ca="1" si="11"/>
        <v>1</v>
      </c>
      <c r="H76" t="b">
        <f t="shared" ca="1" si="11"/>
        <v>1</v>
      </c>
      <c r="I76" t="b">
        <f t="shared" ca="1" si="11"/>
        <v>1</v>
      </c>
      <c r="J76" t="b">
        <f t="shared" ca="1" si="11"/>
        <v>1</v>
      </c>
      <c r="K76" t="b">
        <f t="shared" ca="1" si="11"/>
        <v>1</v>
      </c>
      <c r="L76" t="b">
        <f t="shared" ca="1" si="11"/>
        <v>1</v>
      </c>
    </row>
    <row r="78" spans="1:12">
      <c r="A78" t="s">
        <v>102</v>
      </c>
      <c r="C78" t="str">
        <f ca="1">C30</f>
        <v>13BC47</v>
      </c>
      <c r="D78" t="str">
        <f t="shared" ref="D78:L78" ca="1" si="12">D30</f>
        <v>6AC8</v>
      </c>
      <c r="E78" t="str">
        <f t="shared" ca="1" si="12"/>
        <v>28EC</v>
      </c>
      <c r="F78" t="str">
        <f t="shared" ca="1" si="12"/>
        <v>13A605</v>
      </c>
      <c r="G78" t="str">
        <f t="shared" ca="1" si="12"/>
        <v>13BA8B</v>
      </c>
      <c r="H78" t="str">
        <f t="shared" ca="1" si="12"/>
        <v>13A4BC</v>
      </c>
      <c r="I78" t="str">
        <f t="shared" ca="1" si="12"/>
        <v>13BBD7</v>
      </c>
      <c r="J78" t="str">
        <f t="shared" ca="1" si="12"/>
        <v>13AE8A</v>
      </c>
      <c r="K78" t="str">
        <f t="shared" ca="1" si="12"/>
        <v>13BA2E</v>
      </c>
      <c r="L78" t="str">
        <f t="shared" ca="1" si="12"/>
        <v>D04D</v>
      </c>
    </row>
    <row r="79" spans="1:12">
      <c r="A79" t="s">
        <v>111</v>
      </c>
      <c r="C79" t="str">
        <f ca="1">IF(C75,C32,C33)</f>
        <v>54</v>
      </c>
      <c r="D79" t="str">
        <f t="shared" ref="D79:L79" ca="1" si="13">IF(D75,D32,D33)</f>
        <v>D5</v>
      </c>
      <c r="E79" t="str">
        <f t="shared" ca="1" si="13"/>
        <v>F9</v>
      </c>
      <c r="F79" t="str">
        <f t="shared" ca="1" si="13"/>
        <v>12</v>
      </c>
      <c r="G79" t="str">
        <f t="shared" ca="1" si="13"/>
        <v>98</v>
      </c>
      <c r="H79" t="str">
        <f t="shared" ca="1" si="13"/>
        <v>C9</v>
      </c>
      <c r="I79" t="str">
        <f t="shared" ca="1" si="13"/>
        <v>E4</v>
      </c>
      <c r="J79" t="str">
        <f t="shared" ca="1" si="13"/>
        <v>97</v>
      </c>
      <c r="K79" t="str">
        <f t="shared" ca="1" si="13"/>
        <v>3B</v>
      </c>
      <c r="L79" t="str">
        <f t="shared" ca="1" si="13"/>
        <v>5A</v>
      </c>
    </row>
    <row r="81" spans="3:12">
      <c r="C81" t="str">
        <f ca="1">C79&amp;"-"&amp;C78&amp;";"</f>
        <v>54-13BC47;</v>
      </c>
      <c r="D81" t="str">
        <f t="shared" ref="D81:L81" ca="1" si="14">D79&amp;"-"&amp;D78&amp;";"</f>
        <v>D5-6AC8;</v>
      </c>
      <c r="E81" t="str">
        <f t="shared" ca="1" si="14"/>
        <v>F9-28EC;</v>
      </c>
      <c r="F81" t="str">
        <f t="shared" ca="1" si="14"/>
        <v>12-13A605;</v>
      </c>
      <c r="G81" t="str">
        <f t="shared" ca="1" si="14"/>
        <v>98-13BA8B;</v>
      </c>
      <c r="H81" t="str">
        <f t="shared" ca="1" si="14"/>
        <v>C9-13A4BC;</v>
      </c>
      <c r="I81" t="str">
        <f t="shared" ca="1" si="14"/>
        <v>E4-13BBD7;</v>
      </c>
      <c r="J81" t="str">
        <f t="shared" ca="1" si="14"/>
        <v>97-13AE8A;</v>
      </c>
      <c r="K81" t="str">
        <f t="shared" ca="1" si="14"/>
        <v>3B-13BA2E;</v>
      </c>
      <c r="L81" t="str">
        <f ca="1">L79&amp;"-"&amp;L78</f>
        <v>5A-D04D</v>
      </c>
    </row>
    <row r="83" spans="3:12">
      <c r="C83" t="str">
        <f ca="1">A2&amp;"|"&amp;C81&amp;D81&amp;E81&amp;F81&amp;G81&amp;H81&amp;I81&amp;J81&amp;K81&amp;L81</f>
        <v>HH1|54-13BC47;D5-6AC8;F9-28EC;12-13A605;98-13BA8B;C9-13A4BC;E4-13BBD7;97-13AE8A;3B-13BA2E;5A-D04D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2025-08-16T16:45:59Z</dcterms:created>
  <dcterms:modified xsi:type="dcterms:W3CDTF">2026-06-12T19:17:48Z</dcterms:modified>
  <cp:category/>
  <cp:contentStatus/>
</cp:coreProperties>
</file>