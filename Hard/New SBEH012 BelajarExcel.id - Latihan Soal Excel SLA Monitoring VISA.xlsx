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Portofolio Project\Excel\Easy\"/>
    </mc:Choice>
  </mc:AlternateContent>
  <xr:revisionPtr revIDLastSave="0" documentId="13_ncr:1_{E70D7224-9AA3-455A-9BEE-5796D99E2044}" xr6:coauthVersionLast="47" xr6:coauthVersionMax="47" xr10:uidLastSave="{00000000-0000-0000-0000-000000000000}"/>
  <workbookProtection workbookAlgorithmName="SHA-512" workbookHashValue="ZAYavrUCNWrTxzITK5OtM7OvHGzE7k7mREnQFP1pt+HgO/YgVcLfiYx4w1IfuciKh59MDHE1OVNx+ilN6eUsnw==" workbookSaltValue="N53Hep7fzYI8MkebaK9x7g==" workbookSpinCount="100000" lockStructure="1"/>
  <bookViews>
    <workbookView xWindow="-120" yWindow="-120" windowWidth="20730" windowHeight="11760" xr2:uid="{AA5DEDF4-0583-4C2A-9433-BFDB5C1C0570}"/>
  </bookViews>
  <sheets>
    <sheet name="Soal" sheetId="1" r:id="rId1"/>
    <sheet name="About" sheetId="6" r:id="rId2"/>
    <sheet name="DF" sheetId="4" state="veryHidden" r:id="rId3"/>
  </sheets>
  <definedNames>
    <definedName name="Holiday">Soal!$K$26:$K$31</definedName>
    <definedName name="kamujuga" localSheetId="2">DF!$C$48</definedName>
    <definedName name="kode_jawaban">DF!$C$52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2" i="1" l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51" i="1"/>
  <c r="K50" i="1"/>
  <c r="I52" i="1" a="1"/>
  <c r="I53" i="1" a="1"/>
  <c r="I54" i="1" a="1"/>
  <c r="I55" i="1" a="1"/>
  <c r="I56" i="1" a="1"/>
  <c r="I57" i="1" a="1"/>
  <c r="I58" i="1" a="1"/>
  <c r="I59" i="1" a="1"/>
  <c r="I60" i="1" a="1"/>
  <c r="I61" i="1" a="1"/>
  <c r="I62" i="1" a="1"/>
  <c r="I63" i="1" a="1"/>
  <c r="I64" i="1" a="1"/>
  <c r="I65" i="1" a="1"/>
  <c r="I66" i="1" a="1"/>
  <c r="I51" i="1" a="1"/>
  <c r="H52" i="1" a="1"/>
  <c r="H53" i="1" a="1"/>
  <c r="H54" i="1" a="1"/>
  <c r="H55" i="1" a="1"/>
  <c r="H56" i="1" a="1"/>
  <c r="H57" i="1" a="1"/>
  <c r="H58" i="1" a="1"/>
  <c r="H59" i="1" a="1"/>
  <c r="H60" i="1" a="1"/>
  <c r="H61" i="1" a="1"/>
  <c r="H62" i="1" a="1"/>
  <c r="H63" i="1" a="1"/>
  <c r="H64" i="1" a="1"/>
  <c r="H65" i="1" a="1"/>
  <c r="H66" i="1" a="1"/>
  <c r="H51" i="1" a="1"/>
  <c r="F52" i="1" a="1"/>
  <c r="G52" i="1" a="1"/>
  <c r="F53" i="1" a="1"/>
  <c r="G53" i="1" a="1"/>
  <c r="F54" i="1" a="1"/>
  <c r="G54" i="1" a="1"/>
  <c r="F55" i="1" a="1"/>
  <c r="G55" i="1" a="1"/>
  <c r="F56" i="1" a="1"/>
  <c r="G56" i="1" a="1"/>
  <c r="F57" i="1" a="1"/>
  <c r="G57" i="1" a="1"/>
  <c r="F58" i="1" a="1"/>
  <c r="G58" i="1" a="1"/>
  <c r="F59" i="1" a="1"/>
  <c r="G59" i="1" a="1"/>
  <c r="F60" i="1" a="1"/>
  <c r="G60" i="1" a="1"/>
  <c r="J60" i="1" a="1"/>
  <c r="F61" i="1" a="1"/>
  <c r="G61" i="1" a="1"/>
  <c r="F62" i="1" a="1"/>
  <c r="G62" i="1" a="1"/>
  <c r="F63" i="1" a="1"/>
  <c r="G63" i="1" a="1"/>
  <c r="F64" i="1" a="1"/>
  <c r="G64" i="1" a="1"/>
  <c r="F65" i="1" a="1"/>
  <c r="G65" i="1" a="1"/>
  <c r="F66" i="1" a="1"/>
  <c r="G66" i="1" a="1"/>
  <c r="G51" i="1" a="1"/>
  <c r="F51" i="1" a="1"/>
  <c r="J27" i="4"/>
  <c r="J26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2" i="4"/>
  <c r="N2" i="4"/>
  <c r="O2" i="4"/>
  <c r="P2" i="4"/>
  <c r="Q2" i="4"/>
  <c r="R2" i="4"/>
  <c r="N3" i="4"/>
  <c r="O3" i="4"/>
  <c r="P3" i="4"/>
  <c r="Q3" i="4"/>
  <c r="R3" i="4"/>
  <c r="N4" i="4"/>
  <c r="O4" i="4"/>
  <c r="P4" i="4"/>
  <c r="Q4" i="4"/>
  <c r="R4" i="4"/>
  <c r="N5" i="4"/>
  <c r="O5" i="4"/>
  <c r="P5" i="4"/>
  <c r="Q5" i="4"/>
  <c r="R5" i="4"/>
  <c r="N6" i="4"/>
  <c r="O6" i="4"/>
  <c r="P6" i="4"/>
  <c r="Q6" i="4"/>
  <c r="R6" i="4"/>
  <c r="N7" i="4"/>
  <c r="O7" i="4"/>
  <c r="P7" i="4"/>
  <c r="Q7" i="4"/>
  <c r="R7" i="4"/>
  <c r="N8" i="4"/>
  <c r="O8" i="4"/>
  <c r="P8" i="4"/>
  <c r="Q8" i="4"/>
  <c r="R8" i="4"/>
  <c r="N9" i="4"/>
  <c r="O9" i="4"/>
  <c r="P9" i="4"/>
  <c r="Q9" i="4"/>
  <c r="R9" i="4"/>
  <c r="N10" i="4"/>
  <c r="O10" i="4"/>
  <c r="P10" i="4"/>
  <c r="Q10" i="4"/>
  <c r="R10" i="4"/>
  <c r="N11" i="4"/>
  <c r="O11" i="4"/>
  <c r="P11" i="4"/>
  <c r="Q11" i="4"/>
  <c r="R11" i="4"/>
  <c r="N12" i="4"/>
  <c r="O12" i="4"/>
  <c r="P12" i="4"/>
  <c r="Q12" i="4"/>
  <c r="R12" i="4"/>
  <c r="N13" i="4"/>
  <c r="O13" i="4"/>
  <c r="P13" i="4"/>
  <c r="Q13" i="4"/>
  <c r="R13" i="4"/>
  <c r="N14" i="4"/>
  <c r="O14" i="4"/>
  <c r="P14" i="4"/>
  <c r="Q14" i="4"/>
  <c r="R14" i="4"/>
  <c r="N15" i="4"/>
  <c r="O15" i="4"/>
  <c r="P15" i="4"/>
  <c r="Q15" i="4"/>
  <c r="R15" i="4"/>
  <c r="N16" i="4"/>
  <c r="O16" i="4"/>
  <c r="P16" i="4"/>
  <c r="Q16" i="4"/>
  <c r="R16" i="4"/>
  <c r="N17" i="4"/>
  <c r="O17" i="4"/>
  <c r="P17" i="4"/>
  <c r="Q17" i="4"/>
  <c r="R17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2" i="4"/>
  <c r="E17" i="4"/>
  <c r="E16" i="4"/>
  <c r="E15" i="4"/>
  <c r="E14" i="4"/>
  <c r="E13" i="4"/>
  <c r="E12" i="4"/>
  <c r="E11" i="4"/>
  <c r="E10" i="4"/>
  <c r="E9" i="4"/>
  <c r="E7" i="4"/>
  <c r="E6" i="4"/>
  <c r="E5" i="4"/>
  <c r="E4" i="4"/>
  <c r="E3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27" i="4"/>
  <c r="E27" i="4"/>
  <c r="F27" i="4"/>
  <c r="G27" i="4"/>
  <c r="H27" i="4"/>
  <c r="I27" i="4"/>
  <c r="D26" i="4"/>
  <c r="E26" i="4"/>
  <c r="F26" i="4"/>
  <c r="G26" i="4"/>
  <c r="H26" i="4"/>
  <c r="I26" i="4"/>
  <c r="X2" i="4"/>
  <c r="Y2" i="4"/>
  <c r="Z2" i="4"/>
  <c r="F35" i="4" s="1"/>
  <c r="AA2" i="4"/>
  <c r="G35" i="4" s="1"/>
  <c r="AB2" i="4"/>
  <c r="AC2" i="4"/>
  <c r="AD2" i="4"/>
  <c r="W3" i="4"/>
  <c r="W4" i="4"/>
  <c r="W5" i="4"/>
  <c r="W6" i="4"/>
  <c r="W7" i="4"/>
  <c r="W8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2" i="4"/>
  <c r="J61" i="1" l="1" a="1"/>
  <c r="J59" i="1" a="1"/>
  <c r="E2" i="4"/>
  <c r="L51" i="1" a="1"/>
  <c r="E8" i="4"/>
  <c r="D21" i="4"/>
  <c r="J35" i="4"/>
  <c r="J36" i="4"/>
  <c r="J38" i="4" s="1"/>
  <c r="W9" i="4"/>
  <c r="J30" i="4"/>
  <c r="S21" i="4"/>
  <c r="I30" i="4"/>
  <c r="I35" i="4"/>
  <c r="H30" i="4"/>
  <c r="H35" i="4"/>
  <c r="G30" i="4"/>
  <c r="F30" i="4"/>
  <c r="E30" i="4"/>
  <c r="E35" i="4"/>
  <c r="D30" i="4"/>
  <c r="D35" i="4"/>
  <c r="F16" i="4"/>
  <c r="F6" i="4"/>
  <c r="O22" i="4" s="1"/>
  <c r="F2" i="4"/>
  <c r="F29" i="4" s="1"/>
  <c r="F11" i="4"/>
  <c r="D29" i="4"/>
  <c r="E29" i="4"/>
  <c r="D36" i="4"/>
  <c r="D38" i="4" s="1"/>
  <c r="E36" i="4"/>
  <c r="E38" i="4" s="1"/>
  <c r="F36" i="4"/>
  <c r="F38" i="4" s="1"/>
  <c r="G36" i="4"/>
  <c r="G38" i="4" s="1"/>
  <c r="H36" i="4"/>
  <c r="H38" i="4" s="1"/>
  <c r="I36" i="4"/>
  <c r="I38" i="4" s="1"/>
  <c r="M21" i="4"/>
  <c r="M22" i="4"/>
  <c r="N21" i="4"/>
  <c r="N22" i="4"/>
  <c r="O21" i="4"/>
  <c r="P21" i="4"/>
  <c r="Q21" i="4"/>
  <c r="R21" i="4"/>
  <c r="J55" i="1" l="1" a="1"/>
  <c r="J57" i="1" a="1"/>
  <c r="J64" i="1" a="1"/>
  <c r="J66" i="1" a="1"/>
  <c r="J62" i="1" a="1"/>
  <c r="J53" i="1" a="1"/>
  <c r="J54" i="1" a="1"/>
  <c r="J56" i="1" a="1"/>
  <c r="J58" i="1" a="1"/>
  <c r="J63" i="1" a="1"/>
  <c r="J65" i="1" a="1"/>
  <c r="F4" i="4"/>
  <c r="F17" i="4"/>
  <c r="F15" i="4"/>
  <c r="F14" i="4"/>
  <c r="F13" i="4"/>
  <c r="F12" i="4"/>
  <c r="F10" i="4"/>
  <c r="F9" i="4"/>
  <c r="F7" i="4"/>
  <c r="F5" i="4"/>
  <c r="F3" i="4"/>
  <c r="F8" i="4"/>
  <c r="E21" i="4"/>
  <c r="J17" i="4"/>
  <c r="J16" i="4"/>
  <c r="J15" i="4"/>
  <c r="J14" i="4"/>
  <c r="J13" i="4"/>
  <c r="J12" i="4"/>
  <c r="J11" i="4"/>
  <c r="J10" i="4"/>
  <c r="J9" i="4"/>
  <c r="J8" i="4"/>
  <c r="J7" i="4"/>
  <c r="J6" i="4"/>
  <c r="S22" i="4" s="1"/>
  <c r="J5" i="4"/>
  <c r="J4" i="4"/>
  <c r="J3" i="4"/>
  <c r="J2" i="4"/>
  <c r="J29" i="4" s="1"/>
  <c r="I17" i="4"/>
  <c r="I15" i="4"/>
  <c r="I14" i="4"/>
  <c r="I13" i="4"/>
  <c r="I12" i="4"/>
  <c r="I10" i="4"/>
  <c r="G16" i="4"/>
  <c r="H6" i="4"/>
  <c r="Q22" i="4" s="1"/>
  <c r="Q23" i="4" s="1"/>
  <c r="H31" i="4" s="1"/>
  <c r="G6" i="4"/>
  <c r="P22" i="4" s="1"/>
  <c r="P23" i="4" s="1"/>
  <c r="G31" i="4" s="1"/>
  <c r="G4" i="4"/>
  <c r="G2" i="4"/>
  <c r="G29" i="4" s="1"/>
  <c r="G17" i="4"/>
  <c r="G15" i="4"/>
  <c r="G14" i="4"/>
  <c r="G13" i="4"/>
  <c r="H12" i="4"/>
  <c r="G12" i="4"/>
  <c r="H11" i="4"/>
  <c r="G11" i="4"/>
  <c r="H10" i="4"/>
  <c r="G10" i="4"/>
  <c r="G9" i="4"/>
  <c r="G7" i="4"/>
  <c r="I7" i="4"/>
  <c r="I5" i="4"/>
  <c r="I11" i="4"/>
  <c r="G5" i="4"/>
  <c r="H5" i="4"/>
  <c r="G8" i="4"/>
  <c r="I8" i="4"/>
  <c r="H8" i="4"/>
  <c r="G3" i="4"/>
  <c r="J40" i="4"/>
  <c r="J44" i="4" s="1"/>
  <c r="D40" i="4"/>
  <c r="D44" i="4" s="1"/>
  <c r="E40" i="4"/>
  <c r="E44" i="4" s="1"/>
  <c r="F40" i="4"/>
  <c r="F44" i="4" s="1"/>
  <c r="G40" i="4"/>
  <c r="G44" i="4" s="1"/>
  <c r="H40" i="4"/>
  <c r="H44" i="4" s="1"/>
  <c r="I40" i="4"/>
  <c r="I44" i="4" s="1"/>
  <c r="M23" i="4"/>
  <c r="D31" i="4" s="1"/>
  <c r="D33" i="4" s="1"/>
  <c r="D43" i="4" s="1"/>
  <c r="N23" i="4"/>
  <c r="E31" i="4" s="1"/>
  <c r="E33" i="4" s="1"/>
  <c r="O23" i="4"/>
  <c r="F31" i="4" s="1"/>
  <c r="F33" i="4" s="1"/>
  <c r="I9" i="4" l="1"/>
  <c r="I6" i="4"/>
  <c r="R22" i="4" s="1"/>
  <c r="R23" i="4" s="1"/>
  <c r="I31" i="4" s="1"/>
  <c r="H4" i="4"/>
  <c r="H17" i="4"/>
  <c r="H15" i="4"/>
  <c r="H14" i="4"/>
  <c r="H13" i="4"/>
  <c r="H9" i="4"/>
  <c r="H7" i="4"/>
  <c r="F21" i="4"/>
  <c r="I16" i="4"/>
  <c r="I4" i="4"/>
  <c r="H16" i="4"/>
  <c r="J52" i="1" a="1"/>
  <c r="H3" i="4" s="1"/>
  <c r="I3" i="4"/>
  <c r="E43" i="4"/>
  <c r="S23" i="4"/>
  <c r="J31" i="4" s="1"/>
  <c r="J33" i="4" s="1"/>
  <c r="I2" i="4"/>
  <c r="I29" i="4" s="1"/>
  <c r="J51" i="1" a="1"/>
  <c r="H2" i="4" s="1"/>
  <c r="J21" i="4"/>
  <c r="G33" i="4"/>
  <c r="F43" i="4"/>
  <c r="F46" i="4" s="1"/>
  <c r="G21" i="4"/>
  <c r="D46" i="4"/>
  <c r="H21" i="4" l="1"/>
  <c r="I21" i="4"/>
  <c r="I33" i="4"/>
  <c r="E46" i="4"/>
  <c r="H29" i="4"/>
  <c r="H33" i="4" s="1"/>
  <c r="J43" i="4"/>
  <c r="G43" i="4"/>
  <c r="G46" i="4" s="1"/>
  <c r="H43" i="4" l="1"/>
  <c r="H46" i="4" s="1"/>
  <c r="I43" i="4"/>
  <c r="I46" i="4" s="1"/>
  <c r="J46" i="4"/>
  <c r="C48" i="4" l="1"/>
  <c r="C50" i="4" s="1" a="1"/>
  <c r="C52" i="4" s="1"/>
  <c r="G1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<sst xmlns="http://schemas.openxmlformats.org/spreadsheetml/2006/main" count="134" uniqueCount="105">
  <si>
    <t>No</t>
  </si>
  <si>
    <t>Kelly Williams</t>
  </si>
  <si>
    <t>Austin Cooke</t>
  </si>
  <si>
    <t>Jessica Burton</t>
  </si>
  <si>
    <t>Brian Tucker</t>
  </si>
  <si>
    <t>Steven Daniel</t>
  </si>
  <si>
    <t>Randy Beasley</t>
  </si>
  <si>
    <t>Wayne Harris</t>
  </si>
  <si>
    <t>Sheila Daniels</t>
  </si>
  <si>
    <t>Elizabeth White</t>
  </si>
  <si>
    <t>Veronica Wilson</t>
  </si>
  <si>
    <t>Richard Miller</t>
  </si>
  <si>
    <t>Melissa Garcia</t>
  </si>
  <si>
    <t>Stanley Dorsey</t>
  </si>
  <si>
    <t>Brenda Chan</t>
  </si>
  <si>
    <t>Norman Beck</t>
  </si>
  <si>
    <t>Elizabeth Villarreal</t>
  </si>
  <si>
    <t>Anthony Sharp</t>
  </si>
  <si>
    <t>KODE SOAL</t>
  </si>
  <si>
    <t>KODE JAWABAN</t>
  </si>
  <si>
    <t>DEF</t>
  </si>
  <si>
    <t>Intruksi</t>
  </si>
  <si>
    <t>Soal  :</t>
  </si>
  <si>
    <t>atau klik tombol disamping</t>
  </si>
  <si>
    <t>Rand</t>
  </si>
  <si>
    <t>Arr</t>
  </si>
  <si>
    <t>**</t>
  </si>
  <si>
    <t>Kosong</t>
  </si>
  <si>
    <t>Cek Form</t>
  </si>
  <si>
    <t>Akhir</t>
  </si>
  <si>
    <t>Cek Formula</t>
  </si>
  <si>
    <t>Cek banyak</t>
  </si>
  <si>
    <t>N</t>
  </si>
  <si>
    <t>A</t>
  </si>
  <si>
    <t>juga</t>
  </si>
  <si>
    <t>ka</t>
  </si>
  <si>
    <t>mu</t>
  </si>
  <si>
    <t>XL-TEST adalah platform inovatif yang menyediakan latihan Excel interaktif dengan pemeriksaan otomatis,</t>
  </si>
  <si>
    <t>sehingga pengguna dapat langsung mengetahui jawaban yang benar maupun salah.</t>
  </si>
  <si>
    <t>Terdapat 5 Level soal :</t>
  </si>
  <si>
    <t xml:space="preserve">Easy Level  </t>
  </si>
  <si>
    <t>(⭐)</t>
  </si>
  <si>
    <t xml:space="preserve">Medium Level        </t>
  </si>
  <si>
    <t>(⭐⭐)</t>
  </si>
  <si>
    <t xml:space="preserve">Hard Level </t>
  </si>
  <si>
    <t>(⭐⭐⭐)</t>
  </si>
  <si>
    <t xml:space="preserve">Extreme Level </t>
  </si>
  <si>
    <t>(⭐⭐⭐⭐)</t>
  </si>
  <si>
    <t xml:space="preserve">Championship Level </t>
  </si>
  <si>
    <t>(⭐⭐⭐⭐⭐)</t>
  </si>
  <si>
    <t>Saya adalah seorang Excel Holic yang percaya bahwa setiap angka memiliki cerita yang bisa ditemukan dengan cara yang tepat.</t>
  </si>
  <si>
    <t>Free Access</t>
  </si>
  <si>
    <t>“Excel bukan cuma soal kerjaan tapi juga hobi yang aku nikmati.”</t>
  </si>
  <si>
    <t>https://belajarexcel.id/xl-test/</t>
  </si>
  <si>
    <t>Contact :</t>
  </si>
  <si>
    <t>🌐 Web</t>
  </si>
  <si>
    <t>https://setiadi.me</t>
  </si>
  <si>
    <t>🪡threads</t>
  </si>
  <si>
    <t>https://www.threads.com/@andisetiadi</t>
  </si>
  <si>
    <t>Perlu Video Penjelasan atau Kunci Jawaban ?</t>
  </si>
  <si>
    <t>Scan barcode atau kunjungi</t>
  </si>
  <si>
    <t>https://lynk.id/setiadi/page/jawaban-xl-test</t>
  </si>
  <si>
    <t>SBEH012</t>
  </si>
  <si>
    <t>CB001</t>
  </si>
  <si>
    <t>CB003</t>
  </si>
  <si>
    <t>CB002</t>
  </si>
  <si>
    <t>CB004</t>
  </si>
  <si>
    <t>Hari ini</t>
  </si>
  <si>
    <t>Estimasi Selesai</t>
  </si>
  <si>
    <t>Kode VFS</t>
  </si>
  <si>
    <t>Nama Pemohon</t>
  </si>
  <si>
    <t>Tanggal Apply</t>
  </si>
  <si>
    <t>Status</t>
  </si>
  <si>
    <t>Gunakan Fungsi Excel (Function) untuk menjawab soal-soal dibawah ini  :</t>
  </si>
  <si>
    <t>Contoh</t>
  </si>
  <si>
    <r>
      <t>jika sisa hari dibawah 5 isi dengan "</t>
    </r>
    <r>
      <rPr>
        <b/>
        <sz val="11"/>
        <color rgb="FF0070C0"/>
        <rFont val="Aptos Narrow"/>
        <family val="2"/>
        <scheme val="minor"/>
      </rPr>
      <t>Urgent</t>
    </r>
    <r>
      <rPr>
        <sz val="11"/>
        <color theme="1"/>
        <rFont val="Aptos Narrow"/>
        <family val="2"/>
        <scheme val="minor"/>
      </rPr>
      <t>"</t>
    </r>
  </si>
  <si>
    <r>
      <t>Isi kolom status jika sisa hari sudah melewati hari ini (minus) isi dengan "</t>
    </r>
    <r>
      <rPr>
        <b/>
        <sz val="11"/>
        <color rgb="FF0070C0"/>
        <rFont val="Aptos Narrow"/>
        <family val="2"/>
        <scheme val="minor"/>
      </rPr>
      <t>Expired</t>
    </r>
    <r>
      <rPr>
        <sz val="11"/>
        <color theme="1"/>
        <rFont val="Aptos Narrow"/>
        <family val="2"/>
        <scheme val="minor"/>
      </rPr>
      <t xml:space="preserve">" </t>
    </r>
  </si>
  <si>
    <r>
      <t xml:space="preserve">selain kondisi diatas isi dengan </t>
    </r>
    <r>
      <rPr>
        <b/>
        <sz val="11"/>
        <color rgb="FF0070C0"/>
        <rFont val="Aptos Narrow"/>
        <family val="2"/>
        <scheme val="minor"/>
      </rPr>
      <t>"Proses</t>
    </r>
    <r>
      <rPr>
        <sz val="11"/>
        <color theme="1"/>
        <rFont val="Aptos Narrow"/>
        <family val="2"/>
        <scheme val="minor"/>
      </rPr>
      <t>"</t>
    </r>
  </si>
  <si>
    <t>Prioritas VISA</t>
  </si>
  <si>
    <t>Tentukan urutan prioritas dari mulai yang expired sampai ke proses, atau dari estimasi selesainya terlewat sampai yang masih proses lama. (No tie)</t>
  </si>
  <si>
    <r>
      <t xml:space="preserve">Nama </t>
    </r>
    <r>
      <rPr>
        <b/>
        <sz val="11"/>
        <color rgb="FF00B050"/>
        <rFont val="Aptos Narrow"/>
        <family val="2"/>
        <scheme val="minor"/>
      </rPr>
      <t>VFS</t>
    </r>
    <r>
      <rPr>
        <sz val="11"/>
        <color theme="1"/>
        <rFont val="Aptos Narrow"/>
        <family val="2"/>
        <scheme val="minor"/>
      </rPr>
      <t xml:space="preserve"> ditentukan berdasarkan kode VFS jika CB001 Maka Jakarta, CB002 Surabaya , CB003 Bali, CB004 Bandung</t>
    </r>
  </si>
  <si>
    <t>Jenis VISA</t>
  </si>
  <si>
    <t>Kerja</t>
  </si>
  <si>
    <t>Pelajar</t>
  </si>
  <si>
    <r>
      <t xml:space="preserve">Hitung berapa lama </t>
    </r>
    <r>
      <rPr>
        <b/>
        <sz val="11"/>
        <color rgb="FF00B050"/>
        <rFont val="Aptos Narrow"/>
        <family val="2"/>
        <scheme val="minor"/>
      </rPr>
      <t>Estimasi Selesai</t>
    </r>
    <r>
      <rPr>
        <sz val="11"/>
        <color theme="1"/>
        <rFont val="Aptos Narrow"/>
        <family val="2"/>
        <scheme val="minor"/>
      </rPr>
      <t xml:space="preserve"> dari Tanggal Apply, dengan ketentuan berikut :</t>
    </r>
  </si>
  <si>
    <r>
      <t xml:space="preserve">    cabang </t>
    </r>
    <r>
      <rPr>
        <b/>
        <sz val="11"/>
        <color theme="5"/>
        <rFont val="Aptos Narrow"/>
        <family val="2"/>
        <scheme val="minor"/>
      </rPr>
      <t>Bali</t>
    </r>
    <r>
      <rPr>
        <sz val="11"/>
        <color theme="1"/>
        <rFont val="Aptos Narrow"/>
        <family val="2"/>
        <scheme val="minor"/>
      </rPr>
      <t xml:space="preserve"> hanya buka di hari selasa, kamis dan sabtu, sisanya libur termasuk hari libur nasional</t>
    </r>
  </si>
  <si>
    <r>
      <t xml:space="preserve">    cabang </t>
    </r>
    <r>
      <rPr>
        <b/>
        <sz val="11"/>
        <color theme="5"/>
        <rFont val="Aptos Narrow"/>
        <family val="2"/>
        <scheme val="minor"/>
      </rPr>
      <t>Bandung</t>
    </r>
    <r>
      <rPr>
        <sz val="11"/>
        <color theme="1"/>
        <rFont val="Aptos Narrow"/>
        <family val="2"/>
        <scheme val="minor"/>
      </rPr>
      <t xml:space="preserve"> dan </t>
    </r>
    <r>
      <rPr>
        <b/>
        <sz val="11"/>
        <color theme="5"/>
        <rFont val="Aptos Narrow"/>
        <family val="2"/>
        <scheme val="minor"/>
      </rPr>
      <t>Surabaya</t>
    </r>
    <r>
      <rPr>
        <sz val="11"/>
        <color theme="1"/>
        <rFont val="Aptos Narrow"/>
        <family val="2"/>
        <scheme val="minor"/>
      </rPr>
      <t xml:space="preserve"> buka senin sampai jum'at, sabtu dan minggu libur termasuk hari libur nasional</t>
    </r>
  </si>
  <si>
    <r>
      <t xml:space="preserve">    cabang </t>
    </r>
    <r>
      <rPr>
        <b/>
        <sz val="11"/>
        <color theme="5"/>
        <rFont val="Aptos Narrow"/>
        <family val="2"/>
        <scheme val="minor"/>
      </rPr>
      <t>Jakarta</t>
    </r>
    <r>
      <rPr>
        <sz val="11"/>
        <color theme="1"/>
        <rFont val="Aptos Narrow"/>
        <family val="2"/>
        <scheme val="minor"/>
      </rPr>
      <t xml:space="preserve"> hanya buka di hari senin, selasa dan kamis sisanya libur termasuk hari libur nasional</t>
    </r>
  </si>
  <si>
    <t>Service Level Agreement (SLA)</t>
  </si>
  <si>
    <r>
      <rPr>
        <b/>
        <sz val="12"/>
        <color rgb="FF00B050"/>
        <rFont val="Aptos Narrow"/>
        <family val="2"/>
        <scheme val="minor"/>
      </rPr>
      <t>Hard Level</t>
    </r>
    <r>
      <rPr>
        <b/>
        <sz val="12"/>
        <color theme="1"/>
        <rFont val="Aptos Narrow"/>
        <family val="2"/>
        <scheme val="minor"/>
      </rPr>
      <t xml:space="preserve"> - Latihan Soal Excel Service Level Agreement Monitoring VISA</t>
    </r>
  </si>
  <si>
    <t>Sisa Hari 
(Hari Kerja)</t>
  </si>
  <si>
    <t>Validasi</t>
  </si>
  <si>
    <t>Jakarta</t>
  </si>
  <si>
    <t>Urgent</t>
  </si>
  <si>
    <t>Valid</t>
  </si>
  <si>
    <t>SLA VISA MONITORING</t>
  </si>
  <si>
    <t>SLA ditentukan berdasarkan kode VFS jika CB001 Maka SLA 7 Hari kerja , CB002=SLA 14 Hari Kerja  , CB003 =SLA 12 Hari kerja, CB004 SLA 14 Hari kerja (Isi Number saja)</t>
  </si>
  <si>
    <r>
      <t xml:space="preserve">Berapa sisa hari dari </t>
    </r>
    <r>
      <rPr>
        <b/>
        <sz val="11"/>
        <color rgb="FF00B050"/>
        <rFont val="Aptos Narrow"/>
        <family val="2"/>
        <scheme val="minor"/>
      </rPr>
      <t>Estimasi Selesai</t>
    </r>
    <r>
      <rPr>
        <sz val="11"/>
        <color theme="1"/>
        <rFont val="Aptos Narrow"/>
        <family val="2"/>
        <scheme val="minor"/>
      </rPr>
      <t xml:space="preserve"> sampai hari ini, jika hari ini adalah 21 Mei 2026 (Gunakan C47), hitung dalam hari kerja dan perhitungkan juga hari libur nasional</t>
    </r>
  </si>
  <si>
    <t>Dilarang mengubah Table, Menambah Table Baru atau Menambah Kolom Bantuan !!, Gunakan Table seperti yang sudah di sediakan soal.</t>
  </si>
  <si>
    <t>Urutan Prioritas ke 1 adalah VISA yang Expired paling lama  (Termasuk Contoh)</t>
  </si>
  <si>
    <t>Hari libur Nas</t>
  </si>
  <si>
    <r>
      <rPr>
        <b/>
        <i/>
        <sz val="11"/>
        <color rgb="FF0070C0"/>
        <rFont val="Aptos Narrow"/>
        <family val="2"/>
        <scheme val="minor"/>
      </rPr>
      <t>Sudah selesai mengerjakan?</t>
    </r>
    <r>
      <rPr>
        <i/>
        <sz val="11"/>
        <color rgb="FF0070C0"/>
        <rFont val="Aptos Narrow"/>
        <family val="2"/>
        <scheme val="minor"/>
      </rPr>
      <t xml:space="preserve"> kirim </t>
    </r>
    <r>
      <rPr>
        <b/>
        <i/>
        <sz val="11"/>
        <color rgb="FF0070C0"/>
        <rFont val="Aptos Narrow"/>
        <family val="2"/>
        <scheme val="minor"/>
      </rPr>
      <t>Kode Soal</t>
    </r>
    <r>
      <rPr>
        <i/>
        <sz val="11"/>
        <color rgb="FF0070C0"/>
        <rFont val="Aptos Narrow"/>
        <family val="2"/>
        <scheme val="minor"/>
      </rPr>
      <t xml:space="preserve"> dan </t>
    </r>
    <r>
      <rPr>
        <b/>
        <i/>
        <sz val="11"/>
        <color rgb="FF0070C0"/>
        <rFont val="Aptos Narrow"/>
        <family val="2"/>
        <scheme val="minor"/>
      </rPr>
      <t>Kode Jawaban</t>
    </r>
    <r>
      <rPr>
        <i/>
        <sz val="11"/>
        <color rgb="FF0070C0"/>
        <rFont val="Aptos Narrow"/>
        <family val="2"/>
        <scheme val="minor"/>
      </rPr>
      <t xml:space="preserve"> diatas ke alamat :  </t>
    </r>
    <r>
      <rPr>
        <b/>
        <i/>
        <sz val="11"/>
        <color rgb="FF0070C0"/>
        <rFont val="Aptos Narrow"/>
        <family val="2"/>
        <scheme val="minor"/>
      </rPr>
      <t>https://belajarexcel.id/xl-test/jawaban</t>
    </r>
    <r>
      <rPr>
        <i/>
        <sz val="11"/>
        <color rgb="FF0070C0"/>
        <rFont val="Aptos Narrow"/>
        <family val="2"/>
        <scheme val="minor"/>
      </rPr>
      <t xml:space="preserve">  untuk mengecek hasil jawaban</t>
    </r>
  </si>
  <si>
    <r>
      <t>Isi kolom</t>
    </r>
    <r>
      <rPr>
        <b/>
        <sz val="11"/>
        <color rgb="FF00B050"/>
        <rFont val="Aptos Narrow"/>
        <family val="2"/>
        <scheme val="minor"/>
      </rPr>
      <t xml:space="preserve"> Validasi</t>
    </r>
    <r>
      <rPr>
        <sz val="11"/>
        <color theme="1"/>
        <rFont val="Aptos Narrow"/>
        <family val="2"/>
        <scheme val="minor"/>
      </rPr>
      <t xml:space="preserve"> jika </t>
    </r>
    <r>
      <rPr>
        <b/>
        <sz val="11"/>
        <color theme="5"/>
        <rFont val="Aptos Narrow"/>
        <family val="2"/>
        <scheme val="minor"/>
      </rPr>
      <t>Tangal Apply</t>
    </r>
    <r>
      <rPr>
        <sz val="11"/>
        <color theme="1"/>
        <rFont val="Aptos Narrow"/>
        <family val="2"/>
        <scheme val="minor"/>
      </rPr>
      <t xml:space="preserve"> dilakukan sesuai jadwal cabang buka, isi "</t>
    </r>
    <r>
      <rPr>
        <b/>
        <sz val="11"/>
        <color rgb="FF0070C0"/>
        <rFont val="Aptos Narrow"/>
        <family val="2"/>
        <scheme val="minor"/>
      </rPr>
      <t>Valid</t>
    </r>
    <r>
      <rPr>
        <sz val="11"/>
        <color theme="1"/>
        <rFont val="Aptos Narrow"/>
        <family val="2"/>
        <scheme val="minor"/>
      </rPr>
      <t>" jika sesuai ( Saat Cabang Buka) dan "</t>
    </r>
    <r>
      <rPr>
        <b/>
        <sz val="11"/>
        <color rgb="FF0070C0"/>
        <rFont val="Aptos Narrow"/>
        <family val="2"/>
        <scheme val="minor"/>
      </rPr>
      <t>Invalid</t>
    </r>
    <r>
      <rPr>
        <sz val="11"/>
        <color theme="1"/>
        <rFont val="Aptos Narrow"/>
        <family val="2"/>
        <scheme val="minor"/>
      </rPr>
      <t>" jika tidak sesuai (Saat Cabang Tutup).</t>
    </r>
  </si>
  <si>
    <t>Visa Facilitation Services (VFS)</t>
  </si>
  <si>
    <t>HL2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</si>
</sst>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409]dd\-mmm\-yyyy;@"/>
    <numFmt numFmtId="166" formatCode="_(* #,##0_);_(* \(#,##0\);_(* &quot;-&quot;??_);_(@_)"/>
    <numFmt numFmtId="167" formatCode="#,##0;\(#,##0\);\-"/>
    <numFmt numFmtId="168" formatCode="d\-mmm\-yyyy"/>
    <numFmt numFmtId="169" formatCode="0_);\(0\)"/>
    <numFmt numFmtId="170" formatCode="#\ &quot;Hari&quot;"/>
  </numFmts>
  <fonts count="3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 tint="0.14999847407452621"/>
      <name val="Aptos Narrow"/>
      <family val="2"/>
      <scheme val="minor"/>
    </font>
    <font>
      <b/>
      <i/>
      <sz val="11"/>
      <color rgb="FFEE000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ROBOTECH GP"/>
      <family val="2"/>
    </font>
    <font>
      <b/>
      <sz val="14"/>
      <color theme="0"/>
      <name val="Roboto"/>
    </font>
    <font>
      <b/>
      <sz val="18"/>
      <color theme="0"/>
      <name val="Roboto"/>
    </font>
    <font>
      <b/>
      <sz val="18"/>
      <color theme="0"/>
      <name val="ROBOTECH GP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B050"/>
      <name val="Aptos Narrow"/>
      <family val="2"/>
      <scheme val="minor"/>
    </font>
    <font>
      <i/>
      <sz val="11"/>
      <color theme="0" tint="-0.34998626667073579"/>
      <name val="Aptos Narrow"/>
      <family val="2"/>
      <scheme val="minor"/>
    </font>
    <font>
      <i/>
      <sz val="9"/>
      <color theme="4" tint="-0.249977111117893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b/>
      <sz val="12"/>
      <color theme="0"/>
      <name val="Roboto"/>
    </font>
    <font>
      <b/>
      <sz val="11"/>
      <color theme="0"/>
      <name val="ROBOTECH GP"/>
      <family val="2"/>
    </font>
    <font>
      <b/>
      <sz val="1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0"/>
      <color rgb="FF0070C0"/>
      <name val="Aptos Narrow"/>
      <family val="2"/>
      <scheme val="minor"/>
    </font>
    <font>
      <sz val="9"/>
      <color rgb="FF0070C0"/>
      <name val="Aptos Narrow"/>
      <family val="2"/>
      <scheme val="minor"/>
    </font>
    <font>
      <sz val="10"/>
      <color rgb="FF3D3D4E"/>
      <name val="Arial"/>
      <family val="2"/>
    </font>
    <font>
      <b/>
      <sz val="10"/>
      <color rgb="FF1D1F45"/>
      <name val="Arial"/>
      <family val="2"/>
    </font>
    <font>
      <sz val="10"/>
      <color rgb="FF1D1F45"/>
      <name val="Arial"/>
      <family val="2"/>
    </font>
    <font>
      <sz val="11"/>
      <color theme="4" tint="0.39997558519241921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sz val="10"/>
      <color theme="0"/>
      <name val="Aptos Narrow"/>
      <family val="2"/>
      <scheme val="minor"/>
    </font>
    <font>
      <u/>
      <sz val="11"/>
      <color theme="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12"/>
      <color theme="6" tint="-0.499984740745262"/>
      <name val="Roboto"/>
    </font>
    <font>
      <sz val="12"/>
      <color theme="0"/>
      <name val="Roboto"/>
    </font>
  </fonts>
  <fills count="1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gradientFill>
        <stop position="0">
          <color rgb="FF0A9085"/>
        </stop>
        <stop position="1">
          <color rgb="FF020024"/>
        </stop>
      </gradientFill>
    </fill>
    <fill>
      <patternFill patternType="solid">
        <fgColor rgb="FF0A90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medium">
        <color theme="5"/>
      </left>
      <right style="medium">
        <color rgb="FF00B050"/>
      </right>
      <top style="medium">
        <color theme="5"/>
      </top>
      <bottom style="medium">
        <color theme="5"/>
      </bottom>
      <diagonal/>
    </border>
    <border>
      <left style="medium">
        <color rgb="FF00B050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 style="medium">
        <color theme="5"/>
      </right>
      <top/>
      <bottom/>
      <diagonal/>
    </border>
    <border>
      <left style="medium">
        <color theme="5"/>
      </left>
      <right style="medium">
        <color theme="5"/>
      </right>
      <top/>
      <bottom style="medium">
        <color theme="5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0"/>
    <xf numFmtId="0" fontId="24" fillId="0" borderId="0" applyNumberFormat="0" applyFill="0" applyBorder="0" applyAlignment="0" applyProtection="0"/>
  </cellStyleXfs>
  <cellXfs count="84">
    <xf numFmtId="0" fontId="0" fillId="0" borderId="0" xfId="0"/>
    <xf numFmtId="0" fontId="5" fillId="0" borderId="0" xfId="0" applyFont="1"/>
    <xf numFmtId="1" fontId="0" fillId="0" borderId="0" xfId="0" applyNumberFormat="1"/>
    <xf numFmtId="0" fontId="4" fillId="0" borderId="0" xfId="0" applyFont="1"/>
    <xf numFmtId="167" fontId="9" fillId="6" borderId="0" xfId="0" applyNumberFormat="1" applyFont="1" applyFill="1" applyAlignment="1">
      <alignment horizontal="center" vertical="center"/>
    </xf>
    <xf numFmtId="167" fontId="9" fillId="6" borderId="2" xfId="0" applyNumberFormat="1" applyFont="1" applyFill="1" applyBorder="1" applyAlignment="1">
      <alignment horizontal="left" vertical="center"/>
    </xf>
    <xf numFmtId="167" fontId="10" fillId="6" borderId="0" xfId="0" applyNumberFormat="1" applyFont="1" applyFill="1" applyAlignment="1">
      <alignment horizontal="left" vertical="center"/>
    </xf>
    <xf numFmtId="0" fontId="12" fillId="7" borderId="6" xfId="0" applyFont="1" applyFill="1" applyBorder="1" applyAlignment="1">
      <alignment vertical="top" wrapText="1"/>
    </xf>
    <xf numFmtId="0" fontId="12" fillId="7" borderId="0" xfId="0" applyFont="1" applyFill="1" applyAlignment="1">
      <alignment vertical="top" wrapText="1"/>
    </xf>
    <xf numFmtId="0" fontId="0" fillId="7" borderId="0" xfId="0" applyFill="1"/>
    <xf numFmtId="0" fontId="13" fillId="7" borderId="0" xfId="0" applyFont="1" applyFill="1" applyAlignment="1">
      <alignment horizontal="left" vertical="top"/>
    </xf>
    <xf numFmtId="0" fontId="12" fillId="7" borderId="7" xfId="0" applyFont="1" applyFill="1" applyBorder="1" applyAlignment="1">
      <alignment vertical="top" wrapText="1"/>
    </xf>
    <xf numFmtId="0" fontId="13" fillId="7" borderId="0" xfId="0" applyFont="1" applyFill="1" applyAlignment="1">
      <alignment vertical="top"/>
    </xf>
    <xf numFmtId="0" fontId="15" fillId="7" borderId="0" xfId="0" applyFont="1" applyFill="1" applyAlignment="1">
      <alignment horizontal="center" vertical="top" wrapText="1"/>
    </xf>
    <xf numFmtId="0" fontId="16" fillId="7" borderId="0" xfId="0" applyFont="1" applyFill="1" applyAlignment="1">
      <alignment horizontal="right"/>
    </xf>
    <xf numFmtId="0" fontId="17" fillId="7" borderId="0" xfId="0" applyFont="1" applyFill="1" applyAlignment="1">
      <alignment vertical="top"/>
    </xf>
    <xf numFmtId="0" fontId="18" fillId="0" borderId="0" xfId="0" applyFont="1" applyAlignment="1">
      <alignment wrapText="1"/>
    </xf>
    <xf numFmtId="0" fontId="6" fillId="7" borderId="0" xfId="0" applyFont="1" applyFill="1"/>
    <xf numFmtId="0" fontId="18" fillId="7" borderId="0" xfId="0" applyFont="1" applyFill="1" applyAlignment="1">
      <alignment wrapText="1"/>
    </xf>
    <xf numFmtId="0" fontId="18" fillId="7" borderId="7" xfId="0" applyFont="1" applyFill="1" applyBorder="1" applyAlignment="1">
      <alignment wrapText="1"/>
    </xf>
    <xf numFmtId="0" fontId="6" fillId="7" borderId="0" xfId="0" applyFont="1" applyFill="1" applyAlignment="1">
      <alignment horizontal="center" vertical="center"/>
    </xf>
    <xf numFmtId="0" fontId="19" fillId="7" borderId="0" xfId="0" applyFont="1" applyFill="1"/>
    <xf numFmtId="0" fontId="3" fillId="2" borderId="8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0" fillId="8" borderId="8" xfId="0" applyFill="1" applyBorder="1" applyAlignment="1">
      <alignment horizontal="center"/>
    </xf>
    <xf numFmtId="166" fontId="0" fillId="3" borderId="8" xfId="1" applyNumberFormat="1" applyFont="1" applyFill="1" applyBorder="1" applyAlignment="1">
      <alignment horizontal="center"/>
    </xf>
    <xf numFmtId="165" fontId="0" fillId="8" borderId="8" xfId="0" applyNumberFormat="1" applyFill="1" applyBorder="1" applyAlignment="1">
      <alignment horizontal="left" indent="1"/>
    </xf>
    <xf numFmtId="167" fontId="21" fillId="6" borderId="9" xfId="0" applyNumberFormat="1" applyFont="1" applyFill="1" applyBorder="1" applyAlignment="1">
      <alignment horizontal="center" vertical="center"/>
    </xf>
    <xf numFmtId="0" fontId="1" fillId="0" borderId="0" xfId="3"/>
    <xf numFmtId="0" fontId="1" fillId="0" borderId="8" xfId="3" applyBorder="1"/>
    <xf numFmtId="0" fontId="1" fillId="0" borderId="10" xfId="3" applyBorder="1"/>
    <xf numFmtId="0" fontId="1" fillId="0" borderId="11" xfId="3" applyBorder="1"/>
    <xf numFmtId="0" fontId="25" fillId="0" borderId="8" xfId="3" applyFont="1" applyBorder="1"/>
    <xf numFmtId="0" fontId="27" fillId="0" borderId="8" xfId="3" applyFont="1" applyBorder="1" applyAlignment="1">
      <alignment horizontal="left"/>
    </xf>
    <xf numFmtId="0" fontId="27" fillId="0" borderId="8" xfId="3" applyFont="1" applyBorder="1"/>
    <xf numFmtId="0" fontId="28" fillId="0" borderId="10" xfId="0" applyFont="1" applyBorder="1" applyAlignment="1">
      <alignment horizontal="left" vertical="top" wrapText="1"/>
    </xf>
    <xf numFmtId="0" fontId="30" fillId="0" borderId="10" xfId="0" applyFont="1" applyBorder="1" applyAlignment="1">
      <alignment horizontal="left" vertical="top" wrapText="1"/>
    </xf>
    <xf numFmtId="0" fontId="24" fillId="0" borderId="8" xfId="4" applyBorder="1" applyAlignment="1">
      <alignment vertical="top"/>
    </xf>
    <xf numFmtId="0" fontId="2" fillId="0" borderId="0" xfId="3" applyFont="1"/>
    <xf numFmtId="0" fontId="31" fillId="0" borderId="0" xfId="3" applyFont="1"/>
    <xf numFmtId="0" fontId="24" fillId="0" borderId="0" xfId="2"/>
    <xf numFmtId="0" fontId="31" fillId="0" borderId="0" xfId="3" quotePrefix="1" applyFont="1"/>
    <xf numFmtId="0" fontId="0" fillId="6" borderId="0" xfId="0" applyFill="1"/>
    <xf numFmtId="0" fontId="32" fillId="6" borderId="0" xfId="0" applyFont="1" applyFill="1"/>
    <xf numFmtId="0" fontId="7" fillId="6" borderId="0" xfId="0" applyFont="1" applyFill="1"/>
    <xf numFmtId="0" fontId="33" fillId="6" borderId="0" xfId="0" applyFont="1" applyFill="1"/>
    <xf numFmtId="0" fontId="34" fillId="6" borderId="0" xfId="2" applyFont="1" applyFill="1"/>
    <xf numFmtId="166" fontId="0" fillId="0" borderId="0" xfId="0" applyNumberFormat="1"/>
    <xf numFmtId="0" fontId="0" fillId="10" borderId="0" xfId="0" applyFill="1"/>
    <xf numFmtId="168" fontId="0" fillId="8" borderId="8" xfId="0" applyNumberFormat="1" applyFill="1" applyBorder="1" applyAlignment="1">
      <alignment horizontal="center"/>
    </xf>
    <xf numFmtId="168" fontId="0" fillId="3" borderId="8" xfId="1" applyNumberFormat="1" applyFont="1" applyFill="1" applyBorder="1" applyAlignment="1">
      <alignment horizontal="center"/>
    </xf>
    <xf numFmtId="169" fontId="0" fillId="3" borderId="8" xfId="1" applyNumberFormat="1" applyFont="1" applyFill="1" applyBorder="1" applyAlignment="1">
      <alignment horizontal="center"/>
    </xf>
    <xf numFmtId="0" fontId="0" fillId="3" borderId="8" xfId="1" applyNumberFormat="1" applyFont="1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165" fontId="0" fillId="14" borderId="8" xfId="0" applyNumberFormat="1" applyFill="1" applyBorder="1" applyAlignment="1">
      <alignment horizontal="left" indent="1"/>
    </xf>
    <xf numFmtId="168" fontId="0" fillId="14" borderId="8" xfId="0" applyNumberFormat="1" applyFill="1" applyBorder="1" applyAlignment="1">
      <alignment horizontal="center"/>
    </xf>
    <xf numFmtId="166" fontId="0" fillId="14" borderId="8" xfId="1" applyNumberFormat="1" applyFont="1" applyFill="1" applyBorder="1" applyAlignment="1">
      <alignment horizontal="center"/>
    </xf>
    <xf numFmtId="169" fontId="0" fillId="14" borderId="8" xfId="1" applyNumberFormat="1" applyFont="1" applyFill="1" applyBorder="1" applyAlignment="1">
      <alignment horizontal="center"/>
    </xf>
    <xf numFmtId="0" fontId="0" fillId="14" borderId="8" xfId="1" applyNumberFormat="1" applyFont="1" applyFill="1" applyBorder="1" applyAlignment="1">
      <alignment horizontal="center"/>
    </xf>
    <xf numFmtId="167" fontId="37" fillId="11" borderId="13" xfId="0" applyNumberFormat="1" applyFont="1" applyFill="1" applyBorder="1" applyAlignment="1">
      <alignment horizontal="center" vertical="center"/>
    </xf>
    <xf numFmtId="14" fontId="38" fillId="10" borderId="14" xfId="0" applyNumberFormat="1" applyFont="1" applyFill="1" applyBorder="1" applyAlignment="1">
      <alignment horizontal="center" vertical="center"/>
    </xf>
    <xf numFmtId="170" fontId="0" fillId="14" borderId="8" xfId="1" applyNumberFormat="1" applyFont="1" applyFill="1" applyBorder="1" applyAlignment="1">
      <alignment horizontal="center"/>
    </xf>
    <xf numFmtId="170" fontId="0" fillId="3" borderId="8" xfId="1" applyNumberFormat="1" applyFont="1" applyFill="1" applyBorder="1" applyAlignment="1">
      <alignment horizontal="center"/>
    </xf>
    <xf numFmtId="0" fontId="2" fillId="12" borderId="15" xfId="0" applyFont="1" applyFill="1" applyBorder="1" applyAlignment="1">
      <alignment horizontal="center"/>
    </xf>
    <xf numFmtId="14" fontId="0" fillId="13" borderId="16" xfId="0" applyNumberFormat="1" applyFill="1" applyBorder="1" applyAlignment="1">
      <alignment horizontal="center"/>
    </xf>
    <xf numFmtId="14" fontId="0" fillId="13" borderId="17" xfId="0" applyNumberFormat="1" applyFill="1" applyBorder="1" applyAlignment="1">
      <alignment horizontal="center"/>
    </xf>
    <xf numFmtId="0" fontId="22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23" fillId="9" borderId="0" xfId="0" applyFont="1" applyFill="1" applyAlignment="1">
      <alignment horizontal="center"/>
    </xf>
    <xf numFmtId="0" fontId="28" fillId="0" borderId="0" xfId="0" applyFont="1" applyAlignment="1">
      <alignment horizontal="left" vertical="top" wrapText="1"/>
    </xf>
    <xf numFmtId="0" fontId="28" fillId="0" borderId="12" xfId="0" applyFont="1" applyBorder="1" applyAlignment="1">
      <alignment horizontal="left" vertical="top" wrapText="1"/>
    </xf>
    <xf numFmtId="0" fontId="29" fillId="0" borderId="0" xfId="0" applyFont="1" applyAlignment="1">
      <alignment horizontal="left" vertical="top" wrapText="1"/>
    </xf>
    <xf numFmtId="0" fontId="29" fillId="0" borderId="12" xfId="0" applyFont="1" applyBorder="1" applyAlignment="1">
      <alignment horizontal="left" vertical="top" wrapText="1"/>
    </xf>
    <xf numFmtId="0" fontId="22" fillId="5" borderId="6" xfId="0" applyFont="1" applyFill="1" applyBorder="1" applyAlignment="1">
      <alignment horizontal="center" vertical="center"/>
    </xf>
    <xf numFmtId="0" fontId="26" fillId="0" borderId="8" xfId="3" applyFont="1" applyBorder="1" applyAlignment="1">
      <alignment horizontal="left"/>
    </xf>
    <xf numFmtId="0" fontId="27" fillId="0" borderId="8" xfId="3" applyFont="1" applyBorder="1" applyAlignment="1">
      <alignment horizontal="left"/>
    </xf>
  </cellXfs>
  <cellStyles count="5">
    <cellStyle name="Comma" xfId="1" builtinId="3"/>
    <cellStyle name="Hyperlink" xfId="2" builtinId="8"/>
    <cellStyle name="Hyperlink 2" xfId="4" xr:uid="{3B8AFE35-CD2B-499F-B900-99ED0CAB1E87}"/>
    <cellStyle name="Normal" xfId="0" builtinId="0"/>
    <cellStyle name="Normal 2" xfId="3" xr:uid="{8F1CF9CE-E25D-4287-B0C1-2178CF4F75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belajarexcel.id/xl-test/jawaban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1074419</xdr:colOff>
      <xdr:row>16</xdr:row>
      <xdr:rowOff>7620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F5690A2-4134-38E3-D7FB-2FA1F513F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34799" cy="2933700"/>
        </a:xfrm>
        <a:prstGeom prst="rect">
          <a:avLst/>
        </a:prstGeom>
      </xdr:spPr>
    </xdr:pic>
    <xdr:clientData/>
  </xdr:twoCellAnchor>
  <xdr:twoCellAnchor editAs="oneCell">
    <xdr:from>
      <xdr:col>6</xdr:col>
      <xdr:colOff>411480</xdr:colOff>
      <xdr:row>13</xdr:row>
      <xdr:rowOff>83820</xdr:rowOff>
    </xdr:from>
    <xdr:to>
      <xdr:col>7</xdr:col>
      <xdr:colOff>429260</xdr:colOff>
      <xdr:row>17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D71D5F6-390D-4511-8C52-ED3BB26CF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8420" y="2461260"/>
          <a:ext cx="1511300" cy="647700"/>
        </a:xfrm>
        <a:prstGeom prst="rect">
          <a:avLst/>
        </a:prstGeom>
      </xdr:spPr>
    </xdr:pic>
    <xdr:clientData/>
  </xdr:twoCellAnchor>
  <xdr:twoCellAnchor>
    <xdr:from>
      <xdr:col>3</xdr:col>
      <xdr:colOff>449580</xdr:colOff>
      <xdr:row>39</xdr:row>
      <xdr:rowOff>68580</xdr:rowOff>
    </xdr:from>
    <xdr:to>
      <xdr:col>4</xdr:col>
      <xdr:colOff>1097280</xdr:colOff>
      <xdr:row>41</xdr:row>
      <xdr:rowOff>22860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9B544B3-6BB2-4D7B-9AC0-51E7803301FC}"/>
            </a:ext>
          </a:extLst>
        </xdr:cNvPr>
        <xdr:cNvSpPr/>
      </xdr:nvSpPr>
      <xdr:spPr>
        <a:xfrm>
          <a:off x="3055620" y="7315200"/>
          <a:ext cx="1668780" cy="35052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  <xdr:oneCellAnchor>
    <xdr:from>
      <xdr:col>9</xdr:col>
      <xdr:colOff>7620</xdr:colOff>
      <xdr:row>0</xdr:row>
      <xdr:rowOff>99060</xdr:rowOff>
    </xdr:from>
    <xdr:ext cx="967381" cy="28020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A7FA3E5-2EE9-45FD-8414-639F6F139BEA}"/>
            </a:ext>
          </a:extLst>
        </xdr:cNvPr>
        <xdr:cNvSpPr txBox="1"/>
      </xdr:nvSpPr>
      <xdr:spPr>
        <a:xfrm>
          <a:off x="10668000" y="99060"/>
          <a:ext cx="967381" cy="280205"/>
        </a:xfrm>
        <a:prstGeom prst="rect">
          <a:avLst/>
        </a:prstGeom>
        <a:noFill/>
        <a:ln>
          <a:noFill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200" b="1">
              <a:solidFill>
                <a:schemeClr val="bg1"/>
              </a:solidFill>
            </a:rPr>
            <a:t>HARD</a:t>
          </a:r>
          <a:r>
            <a:rPr lang="en-ID" sz="1200" b="1" baseline="0">
              <a:solidFill>
                <a:schemeClr val="bg1"/>
              </a:solidFill>
            </a:rPr>
            <a:t> LEVEL</a:t>
          </a:r>
          <a:endParaRPr lang="en-ID" sz="12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9</xdr:col>
      <xdr:colOff>1325880</xdr:colOff>
      <xdr:row>0</xdr:row>
      <xdr:rowOff>0</xdr:rowOff>
    </xdr:from>
    <xdr:to>
      <xdr:col>11</xdr:col>
      <xdr:colOff>731520</xdr:colOff>
      <xdr:row>16</xdr:row>
      <xdr:rowOff>41626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27429E-1648-481E-8518-1B84681E6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86260" y="0"/>
          <a:ext cx="1905000" cy="29677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53340</xdr:rowOff>
    </xdr:from>
    <xdr:ext cx="1554479" cy="586842"/>
    <xdr:pic>
      <xdr:nvPicPr>
        <xdr:cNvPr id="2" name="Picture 1">
          <a:extLst>
            <a:ext uri="{FF2B5EF4-FFF2-40B4-BE49-F238E27FC236}">
              <a16:creationId xmlns:a16="http://schemas.microsoft.com/office/drawing/2014/main" id="{4AB307D0-F4C6-4F37-9934-141F4B9FF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7180" y="236220"/>
          <a:ext cx="1554479" cy="586842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25</xdr:row>
      <xdr:rowOff>53340</xdr:rowOff>
    </xdr:from>
    <xdr:ext cx="960120" cy="960120"/>
    <xdr:pic>
      <xdr:nvPicPr>
        <xdr:cNvPr id="3" name="Picture 2">
          <a:extLst>
            <a:ext uri="{FF2B5EF4-FFF2-40B4-BE49-F238E27FC236}">
              <a16:creationId xmlns:a16="http://schemas.microsoft.com/office/drawing/2014/main" id="{54F93265-D5A3-417D-9195-9BA5674F6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2440" y="5646420"/>
          <a:ext cx="960120" cy="960120"/>
        </a:xfrm>
        <a:prstGeom prst="rect">
          <a:avLst/>
        </a:prstGeom>
      </xdr:spPr>
    </xdr:pic>
    <xdr:clientData/>
  </xdr:oneCellAnchor>
  <xdr:twoCellAnchor editAs="oneCell">
    <xdr:from>
      <xdr:col>1</xdr:col>
      <xdr:colOff>586740</xdr:colOff>
      <xdr:row>1</xdr:row>
      <xdr:rowOff>30480</xdr:rowOff>
    </xdr:from>
    <xdr:to>
      <xdr:col>4</xdr:col>
      <xdr:colOff>266700</xdr:colOff>
      <xdr:row>14</xdr:row>
      <xdr:rowOff>122172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D320DB-AE90-4333-91B7-0A2078AE1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2980" y="213360"/>
          <a:ext cx="1584960" cy="24691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etiadi.me/" TargetMode="External"/><Relationship Id="rId2" Type="http://schemas.openxmlformats.org/officeDocument/2006/relationships/hyperlink" Target="https://www.threads.com/@andisetiadi" TargetMode="External"/><Relationship Id="rId1" Type="http://schemas.openxmlformats.org/officeDocument/2006/relationships/hyperlink" Target="https://belajarexcel.id/xl-test/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lynk.id/setiadi/page/jawaban-xl-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52C1C-19D2-442E-A4CF-B84BDE7C391E}">
  <sheetPr codeName="Sheet1"/>
  <dimension ref="A18:P73"/>
  <sheetViews>
    <sheetView tabSelected="1" topLeftCell="C14" workbookViewId="0">
      <selection activeCell="G18" sqref="G18"/>
    </sheetView>
  </sheetViews>
  <sheetFormatPr defaultRowHeight="15"/>
  <cols>
    <col min="1" max="1" width="10.28515625" customWidth="1"/>
    <col min="2" max="2" width="15" customWidth="1"/>
    <col min="3" max="3" width="16.5703125" customWidth="1"/>
    <col min="4" max="4" width="14.85546875" customWidth="1"/>
    <col min="5" max="5" width="20.140625" customWidth="1"/>
    <col min="6" max="6" width="19.7109375" customWidth="1"/>
    <col min="7" max="7" width="21.7109375" customWidth="1"/>
    <col min="8" max="8" width="18.5703125" customWidth="1"/>
    <col min="9" max="9" width="18.7109375" customWidth="1"/>
    <col min="10" max="10" width="20.28515625" customWidth="1"/>
    <col min="11" max="11" width="16.140625" customWidth="1"/>
    <col min="12" max="12" width="18" customWidth="1"/>
    <col min="13" max="13" width="19" customWidth="1"/>
    <col min="14" max="14" width="10.28515625" bestFit="1" customWidth="1"/>
  </cols>
  <sheetData>
    <row r="18" spans="1:13" ht="23.25">
      <c r="A18" s="68" t="s">
        <v>18</v>
      </c>
      <c r="B18" s="68"/>
      <c r="C18" s="4" t="s">
        <v>62</v>
      </c>
      <c r="E18" s="68" t="s">
        <v>19</v>
      </c>
      <c r="F18" s="69"/>
      <c r="G18" s="5" t="str">
        <f ca="1">kode_jawaban</f>
        <v>HL2|25-A15;2A-10C;18-10340F;16-59;22-B06;12-C5;16-A89</v>
      </c>
      <c r="H18" s="6"/>
      <c r="I18" s="6"/>
      <c r="J18" s="6"/>
      <c r="K18" s="6"/>
      <c r="L18" s="6"/>
    </row>
    <row r="20" spans="1:13" ht="23.25">
      <c r="A20" s="70" t="s">
        <v>21</v>
      </c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2"/>
    </row>
    <row r="21" spans="1:13" ht="15.75">
      <c r="A21" s="7"/>
      <c r="B21" s="8"/>
      <c r="C21" s="8"/>
      <c r="D21" s="8"/>
      <c r="E21" s="8"/>
      <c r="F21" s="8"/>
      <c r="G21" s="8"/>
      <c r="H21" s="8"/>
      <c r="I21" s="8"/>
      <c r="J21" s="9"/>
      <c r="K21" s="9"/>
      <c r="L21" s="11"/>
    </row>
    <row r="22" spans="1:13" ht="15.75">
      <c r="A22" s="9"/>
      <c r="B22" s="10" t="s">
        <v>89</v>
      </c>
      <c r="C22" s="9"/>
      <c r="D22" s="9"/>
      <c r="E22" s="8"/>
      <c r="F22" s="8"/>
      <c r="G22" s="8"/>
      <c r="H22" s="8"/>
      <c r="I22" s="8"/>
      <c r="J22" s="9"/>
      <c r="K22" s="9"/>
      <c r="L22" s="11"/>
    </row>
    <row r="23" spans="1:13" ht="15.75">
      <c r="A23" s="9"/>
      <c r="B23" s="9"/>
      <c r="C23" s="12"/>
      <c r="D23" s="9"/>
      <c r="E23" s="8"/>
      <c r="F23" s="8"/>
      <c r="G23" s="8"/>
      <c r="H23" s="13"/>
      <c r="I23" s="8"/>
      <c r="J23" s="9"/>
      <c r="K23" s="9"/>
      <c r="L23" s="11"/>
    </row>
    <row r="24" spans="1:13" ht="15.6" customHeight="1" thickBot="1">
      <c r="A24" s="9"/>
      <c r="B24" s="14" t="s">
        <v>22</v>
      </c>
      <c r="C24" s="15" t="s">
        <v>73</v>
      </c>
      <c r="D24" s="9"/>
      <c r="E24" s="9"/>
      <c r="F24" s="8"/>
      <c r="G24" s="9"/>
      <c r="H24" s="13"/>
      <c r="I24" s="18"/>
      <c r="J24" s="9"/>
      <c r="K24" s="9"/>
      <c r="L24" s="19"/>
      <c r="M24" s="16"/>
    </row>
    <row r="25" spans="1:13" ht="15.75">
      <c r="A25" s="9"/>
      <c r="B25" s="17">
        <v>1</v>
      </c>
      <c r="C25" s="9" t="s">
        <v>80</v>
      </c>
      <c r="D25" s="9"/>
      <c r="E25" s="9"/>
      <c r="F25" s="8"/>
      <c r="G25" s="9"/>
      <c r="H25" s="13"/>
      <c r="I25" s="18"/>
      <c r="J25" s="9"/>
      <c r="K25" s="64" t="s">
        <v>100</v>
      </c>
      <c r="L25" s="19"/>
      <c r="M25" s="16"/>
    </row>
    <row r="26" spans="1:13" ht="15.75">
      <c r="A26" s="9"/>
      <c r="B26" s="17">
        <v>2</v>
      </c>
      <c r="C26" s="9" t="s">
        <v>96</v>
      </c>
      <c r="D26" s="9"/>
      <c r="E26" s="9"/>
      <c r="F26" s="8"/>
      <c r="G26" s="9"/>
      <c r="H26" s="13"/>
      <c r="I26" s="18"/>
      <c r="J26" s="9"/>
      <c r="K26" s="65">
        <v>46115</v>
      </c>
      <c r="L26" s="19"/>
      <c r="M26" s="16"/>
    </row>
    <row r="27" spans="1:13" ht="15.75">
      <c r="A27" s="9"/>
      <c r="B27" s="17">
        <v>3</v>
      </c>
      <c r="C27" s="9" t="s">
        <v>84</v>
      </c>
      <c r="D27" s="9"/>
      <c r="E27" s="9"/>
      <c r="F27" s="8"/>
      <c r="G27" s="9"/>
      <c r="H27" s="13"/>
      <c r="I27" s="8"/>
      <c r="J27" s="9"/>
      <c r="K27" s="65">
        <v>46117</v>
      </c>
      <c r="L27" s="11"/>
    </row>
    <row r="28" spans="1:13" ht="15.6" customHeight="1">
      <c r="A28" s="9"/>
      <c r="B28" s="17"/>
      <c r="C28" s="9" t="s">
        <v>87</v>
      </c>
      <c r="D28" s="9"/>
      <c r="E28" s="9"/>
      <c r="F28" s="8"/>
      <c r="G28" s="9"/>
      <c r="H28" s="13"/>
      <c r="I28" s="18"/>
      <c r="J28" s="9"/>
      <c r="K28" s="65">
        <v>46143</v>
      </c>
      <c r="L28" s="19"/>
    </row>
    <row r="29" spans="1:13" ht="15.6" customHeight="1">
      <c r="A29" s="9"/>
      <c r="B29" s="17"/>
      <c r="C29" s="9" t="s">
        <v>86</v>
      </c>
      <c r="D29" s="9"/>
      <c r="E29" s="9"/>
      <c r="F29" s="8"/>
      <c r="G29" s="9"/>
      <c r="H29" s="13"/>
      <c r="I29" s="18"/>
      <c r="J29" s="9"/>
      <c r="K29" s="65">
        <v>46156</v>
      </c>
      <c r="L29" s="19"/>
    </row>
    <row r="30" spans="1:13" ht="15.6" customHeight="1">
      <c r="A30" s="9"/>
      <c r="B30" s="17"/>
      <c r="C30" s="9" t="s">
        <v>85</v>
      </c>
      <c r="D30" s="9"/>
      <c r="E30" s="9"/>
      <c r="F30" s="8"/>
      <c r="G30" s="9"/>
      <c r="H30" s="13"/>
      <c r="I30" s="18"/>
      <c r="J30" s="9"/>
      <c r="K30" s="65">
        <v>46157</v>
      </c>
      <c r="L30" s="19"/>
    </row>
    <row r="31" spans="1:13" ht="15.75">
      <c r="A31" s="9"/>
      <c r="B31" s="17">
        <v>4</v>
      </c>
      <c r="C31" s="9" t="s">
        <v>97</v>
      </c>
      <c r="D31" s="9"/>
      <c r="E31" s="9"/>
      <c r="F31" s="8"/>
      <c r="G31" s="9"/>
      <c r="H31" s="13"/>
      <c r="I31" s="18"/>
      <c r="J31" s="9"/>
      <c r="K31" s="65">
        <v>46169</v>
      </c>
      <c r="L31" s="19"/>
    </row>
    <row r="32" spans="1:13" ht="15.75">
      <c r="A32" s="9"/>
      <c r="B32" s="17">
        <v>5</v>
      </c>
      <c r="C32" s="9" t="s">
        <v>76</v>
      </c>
      <c r="D32" s="9"/>
      <c r="E32" s="9"/>
      <c r="F32" s="8"/>
      <c r="G32" s="9"/>
      <c r="H32" s="13"/>
      <c r="I32" s="18"/>
      <c r="J32" s="9"/>
      <c r="K32" s="65">
        <v>46170</v>
      </c>
      <c r="L32" s="19"/>
    </row>
    <row r="33" spans="1:12" ht="16.5" thickBot="1">
      <c r="A33" s="9"/>
      <c r="B33" s="17"/>
      <c r="C33" s="9" t="s">
        <v>75</v>
      </c>
      <c r="D33" s="9"/>
      <c r="E33" s="9"/>
      <c r="F33" s="8"/>
      <c r="G33" s="9"/>
      <c r="H33" s="13"/>
      <c r="I33" s="18"/>
      <c r="J33" s="9"/>
      <c r="K33" s="66">
        <v>46173</v>
      </c>
      <c r="L33" s="19"/>
    </row>
    <row r="34" spans="1:12" ht="15.75">
      <c r="A34" s="9"/>
      <c r="B34" s="17"/>
      <c r="C34" s="9" t="s">
        <v>77</v>
      </c>
      <c r="D34" s="9"/>
      <c r="E34" s="9"/>
      <c r="F34" s="8"/>
      <c r="G34" s="9"/>
      <c r="H34" s="13"/>
      <c r="I34" s="18"/>
      <c r="J34" s="9"/>
      <c r="K34" s="9"/>
      <c r="L34" s="19"/>
    </row>
    <row r="35" spans="1:12" ht="15.75">
      <c r="A35" s="9"/>
      <c r="B35" s="17">
        <v>6</v>
      </c>
      <c r="C35" s="9" t="s">
        <v>79</v>
      </c>
      <c r="D35" s="9"/>
      <c r="E35" s="9"/>
      <c r="F35" s="8"/>
      <c r="G35" s="9"/>
      <c r="H35" s="13"/>
      <c r="I35" s="18"/>
      <c r="J35" s="9"/>
      <c r="K35" s="9"/>
      <c r="L35" s="19"/>
    </row>
    <row r="36" spans="1:12" ht="15.75">
      <c r="A36" s="9"/>
      <c r="B36" s="17"/>
      <c r="C36" s="9" t="s">
        <v>99</v>
      </c>
      <c r="D36" s="9"/>
      <c r="E36" s="9"/>
      <c r="F36" s="8"/>
      <c r="G36" s="9"/>
      <c r="H36" s="13"/>
      <c r="I36" s="18"/>
      <c r="J36" s="9"/>
      <c r="K36" s="9"/>
      <c r="L36" s="19"/>
    </row>
    <row r="37" spans="1:12" ht="15.75">
      <c r="A37" s="9"/>
      <c r="B37" s="17">
        <v>7</v>
      </c>
      <c r="C37" s="9" t="s">
        <v>102</v>
      </c>
      <c r="D37" s="9"/>
      <c r="E37" s="9"/>
      <c r="F37" s="8"/>
      <c r="G37" s="9"/>
      <c r="H37" s="13"/>
      <c r="I37" s="18"/>
      <c r="J37" s="9"/>
      <c r="K37" s="9"/>
      <c r="L37" s="19"/>
    </row>
    <row r="38" spans="1:12" ht="15.75">
      <c r="A38" s="9"/>
      <c r="B38" s="20"/>
      <c r="C38" s="9"/>
      <c r="D38" s="9"/>
      <c r="E38" s="9"/>
      <c r="F38" s="8"/>
      <c r="G38" s="9"/>
      <c r="H38" s="9"/>
      <c r="I38" s="8"/>
      <c r="J38" s="9"/>
      <c r="K38" s="9"/>
      <c r="L38" s="11"/>
    </row>
    <row r="39" spans="1:12" ht="15.75">
      <c r="A39" s="9"/>
      <c r="B39" s="9"/>
      <c r="C39" s="21" t="s">
        <v>101</v>
      </c>
      <c r="D39" s="9"/>
      <c r="E39" s="9"/>
      <c r="F39" s="8"/>
      <c r="G39" s="9"/>
      <c r="H39" s="9"/>
      <c r="I39" s="8"/>
      <c r="J39" s="9"/>
      <c r="K39" s="9"/>
      <c r="L39" s="11"/>
    </row>
    <row r="40" spans="1:12" ht="15.75">
      <c r="A40" s="9"/>
      <c r="B40" s="9"/>
      <c r="C40" s="21" t="s">
        <v>23</v>
      </c>
      <c r="D40" s="9"/>
      <c r="E40" s="8"/>
      <c r="F40" s="8"/>
      <c r="G40" s="9"/>
      <c r="H40" s="9"/>
      <c r="I40" s="8"/>
      <c r="J40" s="9"/>
      <c r="K40" s="9"/>
      <c r="L40" s="11"/>
    </row>
    <row r="41" spans="1:12" ht="15.7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11"/>
    </row>
    <row r="42" spans="1:12" ht="15.75">
      <c r="A42" s="9"/>
      <c r="B42" s="9"/>
      <c r="C42" s="9"/>
      <c r="D42" s="9"/>
      <c r="E42" s="9"/>
      <c r="F42" s="9"/>
      <c r="G42" s="9"/>
      <c r="H42" s="9"/>
      <c r="I42" s="9"/>
      <c r="L42" s="11"/>
    </row>
    <row r="43" spans="1:12" ht="23.25">
      <c r="A43" s="73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5"/>
    </row>
    <row r="45" spans="1:12" ht="21">
      <c r="A45" s="76" t="s">
        <v>95</v>
      </c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</row>
    <row r="46" spans="1:12" ht="13.9" customHeight="1" thickBot="1">
      <c r="C46" s="1"/>
    </row>
    <row r="47" spans="1:12" ht="16.5" thickBot="1">
      <c r="B47" s="60" t="s">
        <v>67</v>
      </c>
      <c r="C47" s="61">
        <v>46163</v>
      </c>
    </row>
    <row r="48" spans="1:12" ht="16.5" thickBot="1">
      <c r="F48" s="28">
        <v>1</v>
      </c>
      <c r="G48" s="28">
        <v>2</v>
      </c>
      <c r="H48" s="28">
        <v>3</v>
      </c>
      <c r="I48" s="28">
        <v>4</v>
      </c>
      <c r="J48" s="28">
        <v>5</v>
      </c>
      <c r="K48" s="28">
        <v>6</v>
      </c>
      <c r="L48" s="28">
        <v>7</v>
      </c>
    </row>
    <row r="49" spans="1:16" ht="35.450000000000003" customHeight="1">
      <c r="A49" s="22" t="s">
        <v>0</v>
      </c>
      <c r="B49" s="22" t="s">
        <v>69</v>
      </c>
      <c r="C49" s="22" t="s">
        <v>70</v>
      </c>
      <c r="D49" s="22" t="s">
        <v>71</v>
      </c>
      <c r="E49" s="22" t="s">
        <v>81</v>
      </c>
      <c r="F49" s="23" t="s">
        <v>103</v>
      </c>
      <c r="G49" s="23" t="s">
        <v>88</v>
      </c>
      <c r="H49" s="23" t="s">
        <v>68</v>
      </c>
      <c r="I49" s="23" t="s">
        <v>90</v>
      </c>
      <c r="J49" s="24" t="s">
        <v>72</v>
      </c>
      <c r="K49" s="23" t="s">
        <v>78</v>
      </c>
      <c r="L49" s="23" t="s">
        <v>91</v>
      </c>
    </row>
    <row r="50" spans="1:16" ht="19.899999999999999" customHeight="1">
      <c r="A50" s="54" t="s">
        <v>74</v>
      </c>
      <c r="B50" s="54" t="s">
        <v>63</v>
      </c>
      <c r="C50" s="55" t="s">
        <v>2</v>
      </c>
      <c r="D50" s="56">
        <v>46153</v>
      </c>
      <c r="E50" s="54" t="s">
        <v>82</v>
      </c>
      <c r="F50" s="57" t="s">
        <v>92</v>
      </c>
      <c r="G50" s="62">
        <v>7</v>
      </c>
      <c r="H50" s="56">
        <v>46174</v>
      </c>
      <c r="I50" s="58">
        <v>4</v>
      </c>
      <c r="J50" s="57" t="s">
        <v>93</v>
      </c>
      <c r="K50" s="59">
        <f>RANK(I50,$I$50:$I$66,1)</f>
        <v>8</v>
      </c>
      <c r="L50" s="56" t="s">
        <v>94</v>
      </c>
      <c r="N50" s="48"/>
      <c r="O50" s="48"/>
      <c r="P50" s="48"/>
    </row>
    <row r="51" spans="1:16" ht="19.899999999999999" customHeight="1">
      <c r="A51" s="25">
        <v>1</v>
      </c>
      <c r="B51" s="25" t="s">
        <v>64</v>
      </c>
      <c r="C51" s="27" t="s">
        <v>6</v>
      </c>
      <c r="D51" s="50">
        <v>46161</v>
      </c>
      <c r="E51" s="25" t="s">
        <v>83</v>
      </c>
      <c r="F51" s="26" t="str" cm="1">
        <f t="array" ref="F51">_xlfn.SWITCH(RIGHT(B51,1),"1","Jakarta","2","Surabaya","3","Bali","4","Bandung")</f>
        <v>Bali</v>
      </c>
      <c r="G51" s="63" cm="1">
        <f t="array" ref="G51">_xlfn.SWITCH(RIGHT(B51,1),"1",7,"2",14,"3",12,"4",14)</f>
        <v>12</v>
      </c>
      <c r="H51" s="51" cm="1">
        <f t="array" ref="H51">WORKDAY.INTL(D51, G51, _xlfn.SWITCH(F51,"Jakarta","0010111","Bali","1010101","0000011"), $K$26:$K$33)</f>
        <v>46191</v>
      </c>
      <c r="I51" s="52" cm="1">
        <f t="array" ref="I51">NETWORKDAYS.INTL($C$47,H51,_xlfn.SWITCH(F51,"Jakarta","0010111","Bali","1010101","0000011"),$K$26:$K$33)</f>
        <v>12</v>
      </c>
      <c r="J51" s="26" t="str" cm="1">
        <f t="array" ref="J51">_xlfn.SWITCH(TRUE,I51&gt;=5,"Proses",I51&gt;0,"Urgent",I51&lt;0,"Expired")</f>
        <v>Proses</v>
      </c>
      <c r="K51" s="53">
        <f>RANK(I51,$I$50:$I$66,1)</f>
        <v>16</v>
      </c>
      <c r="L51" s="51" t="str" cm="1">
        <f t="array" ref="L51:L66">IF(WORKDAY.INTL(D51:D66-1,1,_xlfn.SWITCH(F51:F66,"Jakarta","0010111","Bali","1010101","0000011"),K26:K33)=D51:D66,"Valid","Invalid")</f>
        <v>Valid</v>
      </c>
      <c r="N51" s="48"/>
    </row>
    <row r="52" spans="1:16" ht="19.899999999999999" customHeight="1">
      <c r="A52" s="25">
        <v>2</v>
      </c>
      <c r="B52" s="25" t="s">
        <v>65</v>
      </c>
      <c r="C52" s="27" t="s">
        <v>1</v>
      </c>
      <c r="D52" s="50">
        <v>46154</v>
      </c>
      <c r="E52" s="25" t="s">
        <v>82</v>
      </c>
      <c r="F52" s="26" t="str" cm="1">
        <f t="array" ref="F52">_xlfn.SWITCH(RIGHT(B52,1),"1","Jakarta","2","Surabaya","3","Bali","4","Bandung")</f>
        <v>Surabaya</v>
      </c>
      <c r="G52" s="63" cm="1">
        <f t="array" ref="G52">_xlfn.SWITCH(RIGHT(B52,1),"1",7,"2",14,"3",12,"4",14)</f>
        <v>14</v>
      </c>
      <c r="H52" s="51" cm="1">
        <f t="array" ref="H52">WORKDAY.INTL(D52, G52, _xlfn.SWITCH(F52,"Jakarta","0010111","Bali","1010101","0000011"), $K$26:$K$33)</f>
        <v>46178</v>
      </c>
      <c r="I52" s="52" cm="1">
        <f t="array" ref="I52">NETWORKDAYS.INTL($C$47,H52,_xlfn.SWITCH(F52,"Jakarta","0010111","Bali","1010101","0000011"),$K$26:$K$33)</f>
        <v>10</v>
      </c>
      <c r="J52" s="26" t="str" cm="1">
        <f t="array" ref="J52">_xlfn.SWITCH(TRUE,I52&gt;=5,"Proses",I52&gt;0,"Urgent",I52&lt;0,"Expired")</f>
        <v>Proses</v>
      </c>
      <c r="K52" s="53">
        <f t="shared" ref="K52:K66" si="0">RANK(I52,$I$50:$I$66,1)</f>
        <v>14</v>
      </c>
      <c r="L52" s="51" t="str">
        <v>Valid</v>
      </c>
      <c r="N52" s="48"/>
    </row>
    <row r="53" spans="1:16" ht="19.899999999999999" customHeight="1">
      <c r="A53" s="25">
        <v>3</v>
      </c>
      <c r="B53" s="25" t="s">
        <v>64</v>
      </c>
      <c r="C53" s="27" t="s">
        <v>5</v>
      </c>
      <c r="D53" s="50">
        <v>46149</v>
      </c>
      <c r="E53" s="25" t="s">
        <v>83</v>
      </c>
      <c r="F53" s="26" t="str" cm="1">
        <f t="array" ref="F53">_xlfn.SWITCH(RIGHT(B53,1),"1","Jakarta","2","Surabaya","3","Bali","4","Bandung")</f>
        <v>Bali</v>
      </c>
      <c r="G53" s="63" cm="1">
        <f t="array" ref="G53">_xlfn.SWITCH(RIGHT(B53,1),"1",7,"2",14,"3",12,"4",14)</f>
        <v>12</v>
      </c>
      <c r="H53" s="51" cm="1">
        <f t="array" ref="H53">WORKDAY.INTL(D53, G53, _xlfn.SWITCH(F53,"Jakarta","0010111","Bali","1010101","0000011"), $K$26:$K$33)</f>
        <v>46182</v>
      </c>
      <c r="I53" s="52" cm="1">
        <f t="array" ref="I53">NETWORKDAYS.INTL($C$47,H53,_xlfn.SWITCH(F53,"Jakarta","0010111","Bali","1010101","0000011"),$K$26:$K$33)</f>
        <v>8</v>
      </c>
      <c r="J53" s="26" t="str" cm="1">
        <f t="array" ref="J53">_xlfn.SWITCH(TRUE,I53&gt;=5,"Proses",I53&gt;0,"Urgent",I53&lt;0,"Expired")</f>
        <v>Proses</v>
      </c>
      <c r="K53" s="53">
        <f t="shared" si="0"/>
        <v>12</v>
      </c>
      <c r="L53" s="51" t="str">
        <v>Valid</v>
      </c>
      <c r="N53" s="48"/>
    </row>
    <row r="54" spans="1:16" ht="19.899999999999999" customHeight="1">
      <c r="A54" s="25">
        <v>4</v>
      </c>
      <c r="B54" s="25" t="s">
        <v>63</v>
      </c>
      <c r="C54" s="27" t="s">
        <v>17</v>
      </c>
      <c r="D54" s="50">
        <v>46134</v>
      </c>
      <c r="E54" s="25" t="s">
        <v>83</v>
      </c>
      <c r="F54" s="26" t="str" cm="1">
        <f t="array" ref="F54">_xlfn.SWITCH(RIGHT(B54,1),"1","Jakarta","2","Surabaya","3","Bali","4","Bandung")</f>
        <v>Jakarta</v>
      </c>
      <c r="G54" s="63" cm="1">
        <f t="array" ref="G54">_xlfn.SWITCH(RIGHT(B54,1),"1",7,"2",14,"3",12,"4",14)</f>
        <v>7</v>
      </c>
      <c r="H54" s="51" cm="1">
        <f t="array" ref="H54">WORKDAY.INTL(D54, G54, _xlfn.SWITCH(F54,"Jakarta","0010111","Bali","1010101","0000011"), $K$26:$K$33)</f>
        <v>46149</v>
      </c>
      <c r="I54" s="52" cm="1">
        <f t="array" ref="I54">NETWORKDAYS.INTL($C$47,H54,_xlfn.SWITCH(F54,"Jakarta","0010111","Bali","1010101","0000011"),$K$26:$K$33)</f>
        <v>-6</v>
      </c>
      <c r="J54" s="26" t="str" cm="1">
        <f t="array" ref="J54">_xlfn.SWITCH(TRUE,I54&gt;=5,"Proses",I54&gt;0,"Urgent",I54&lt;0,"Expired")</f>
        <v>Expired</v>
      </c>
      <c r="K54" s="53">
        <f t="shared" si="0"/>
        <v>1</v>
      </c>
      <c r="L54" s="51" t="str">
        <v>Invalid</v>
      </c>
      <c r="N54" s="48"/>
    </row>
    <row r="55" spans="1:16" ht="19.899999999999999" customHeight="1">
      <c r="A55" s="25">
        <v>5</v>
      </c>
      <c r="B55" s="25" t="s">
        <v>65</v>
      </c>
      <c r="C55" s="27" t="s">
        <v>11</v>
      </c>
      <c r="D55" s="50">
        <v>46148</v>
      </c>
      <c r="E55" s="25" t="s">
        <v>83</v>
      </c>
      <c r="F55" s="26" t="str" cm="1">
        <f t="array" ref="F55">_xlfn.SWITCH(RIGHT(B55,1),"1","Jakarta","2","Surabaya","3","Bali","4","Bandung")</f>
        <v>Surabaya</v>
      </c>
      <c r="G55" s="63" cm="1">
        <f t="array" ref="G55">_xlfn.SWITCH(RIGHT(B55,1),"1",7,"2",14,"3",12,"4",14)</f>
        <v>14</v>
      </c>
      <c r="H55" s="51" cm="1">
        <f t="array" ref="H55">WORKDAY.INTL(D55, G55, _xlfn.SWITCH(F55,"Jakarta","0010111","Bali","1010101","0000011"), $K$26:$K$33)</f>
        <v>46174</v>
      </c>
      <c r="I55" s="52" cm="1">
        <f t="array" ref="I55">NETWORKDAYS.INTL($C$47,H55,_xlfn.SWITCH(F55,"Jakarta","0010111","Bali","1010101","0000011"),$K$26:$K$33)</f>
        <v>6</v>
      </c>
      <c r="J55" s="26" t="str" cm="1">
        <f t="array" ref="J55">_xlfn.SWITCH(TRUE,I55&gt;=5,"Proses",I55&gt;0,"Urgent",I55&lt;0,"Expired")</f>
        <v>Proses</v>
      </c>
      <c r="K55" s="53">
        <f t="shared" si="0"/>
        <v>10</v>
      </c>
      <c r="L55" s="51" t="str">
        <v>Valid</v>
      </c>
      <c r="N55" s="48"/>
    </row>
    <row r="56" spans="1:16" ht="19.899999999999999" customHeight="1">
      <c r="A56" s="25">
        <v>6</v>
      </c>
      <c r="B56" s="25" t="s">
        <v>65</v>
      </c>
      <c r="C56" s="27" t="s">
        <v>9</v>
      </c>
      <c r="D56" s="50">
        <v>46145</v>
      </c>
      <c r="E56" s="25" t="s">
        <v>82</v>
      </c>
      <c r="F56" s="26" t="str" cm="1">
        <f t="array" ref="F56">_xlfn.SWITCH(RIGHT(B56,1),"1","Jakarta","2","Surabaya","3","Bali","4","Bandung")</f>
        <v>Surabaya</v>
      </c>
      <c r="G56" s="63" cm="1">
        <f t="array" ref="G56">_xlfn.SWITCH(RIGHT(B56,1),"1",7,"2",14,"3",12,"4",14)</f>
        <v>14</v>
      </c>
      <c r="H56" s="51" cm="1">
        <f t="array" ref="H56">WORKDAY.INTL(D56, G56, _xlfn.SWITCH(F56,"Jakarta","0010111","Bali","1010101","0000011"), $K$26:$K$33)</f>
        <v>46167</v>
      </c>
      <c r="I56" s="52" cm="1">
        <f t="array" ref="I56">NETWORKDAYS.INTL($C$47,H56,_xlfn.SWITCH(F56,"Jakarta","0010111","Bali","1010101","0000011"),$K$26:$K$33)</f>
        <v>3</v>
      </c>
      <c r="J56" s="26" t="str" cm="1">
        <f t="array" ref="J56">_xlfn.SWITCH(TRUE,I56&gt;=5,"Proses",I56&gt;0,"Urgent",I56&lt;0,"Expired")</f>
        <v>Urgent</v>
      </c>
      <c r="K56" s="53">
        <f t="shared" si="0"/>
        <v>7</v>
      </c>
      <c r="L56" s="51" t="str">
        <v>Invalid</v>
      </c>
      <c r="N56" s="48"/>
    </row>
    <row r="57" spans="1:16" ht="19.899999999999999" customHeight="1">
      <c r="A57" s="25">
        <v>7</v>
      </c>
      <c r="B57" s="25" t="s">
        <v>66</v>
      </c>
      <c r="C57" s="27" t="s">
        <v>4</v>
      </c>
      <c r="D57" s="50">
        <v>46140</v>
      </c>
      <c r="E57" s="25" t="s">
        <v>82</v>
      </c>
      <c r="F57" s="26" t="str" cm="1">
        <f t="array" ref="F57">_xlfn.SWITCH(RIGHT(B57,1),"1","Jakarta","2","Surabaya","3","Bali","4","Bandung")</f>
        <v>Bandung</v>
      </c>
      <c r="G57" s="63" cm="1">
        <f t="array" ref="G57">_xlfn.SWITCH(RIGHT(B57,1),"1",7,"2",14,"3",12,"4",14)</f>
        <v>14</v>
      </c>
      <c r="H57" s="51" cm="1">
        <f t="array" ref="H57">WORKDAY.INTL(D57, G57, _xlfn.SWITCH(F57,"Jakarta","0010111","Bali","1010101","0000011"), $K$26:$K$33)</f>
        <v>46163</v>
      </c>
      <c r="I57" s="52" cm="1">
        <f t="array" ref="I57">NETWORKDAYS.INTL($C$47,H57,_xlfn.SWITCH(F57,"Jakarta","0010111","Bali","1010101","0000011"),$K$26:$K$33)</f>
        <v>1</v>
      </c>
      <c r="J57" s="26" t="str" cm="1">
        <f t="array" ref="J57">_xlfn.SWITCH(TRUE,I57&gt;=5,"Proses",I57&gt;0,"Urgent",I57&lt;0,"Expired")</f>
        <v>Urgent</v>
      </c>
      <c r="K57" s="53">
        <f t="shared" si="0"/>
        <v>5</v>
      </c>
      <c r="L57" s="51" t="str">
        <v>Valid</v>
      </c>
      <c r="N57" s="48"/>
    </row>
    <row r="58" spans="1:16" ht="19.899999999999999" customHeight="1">
      <c r="A58" s="25">
        <v>8</v>
      </c>
      <c r="B58" s="25" t="s">
        <v>65</v>
      </c>
      <c r="C58" s="27" t="s">
        <v>16</v>
      </c>
      <c r="D58" s="50">
        <v>46163</v>
      </c>
      <c r="E58" s="25" t="s">
        <v>82</v>
      </c>
      <c r="F58" s="26" t="str" cm="1">
        <f t="array" ref="F58">_xlfn.SWITCH(RIGHT(B58,1),"1","Jakarta","2","Surabaya","3","Bali","4","Bandung")</f>
        <v>Surabaya</v>
      </c>
      <c r="G58" s="63" cm="1">
        <f t="array" ref="G58">_xlfn.SWITCH(RIGHT(B58,1),"1",7,"2",14,"3",12,"4",14)</f>
        <v>14</v>
      </c>
      <c r="H58" s="51" cm="1">
        <f t="array" ref="H58">WORKDAY.INTL(D58, G58, _xlfn.SWITCH(F58,"Jakarta","0010111","Bali","1010101","0000011"), $K$26:$K$33)</f>
        <v>46185</v>
      </c>
      <c r="I58" s="52" cm="1">
        <f t="array" ref="I58">NETWORKDAYS.INTL($C$47,H58,_xlfn.SWITCH(F58,"Jakarta","0010111","Bali","1010101","0000011"),$K$26:$K$33)</f>
        <v>15</v>
      </c>
      <c r="J58" s="26" t="str" cm="1">
        <f t="array" ref="J58">_xlfn.SWITCH(TRUE,I58&gt;=5,"Proses",I58&gt;0,"Urgent",I58&lt;0,"Expired")</f>
        <v>Proses</v>
      </c>
      <c r="K58" s="53">
        <f t="shared" si="0"/>
        <v>17</v>
      </c>
      <c r="L58" s="51" t="str">
        <v>Valid</v>
      </c>
      <c r="N58" s="48"/>
    </row>
    <row r="59" spans="1:16" ht="19.899999999999999" customHeight="1">
      <c r="A59" s="25">
        <v>9</v>
      </c>
      <c r="B59" s="25" t="s">
        <v>64</v>
      </c>
      <c r="C59" s="27" t="s">
        <v>15</v>
      </c>
      <c r="D59" s="50">
        <v>46132</v>
      </c>
      <c r="E59" s="25" t="s">
        <v>83</v>
      </c>
      <c r="F59" s="26" t="str" cm="1">
        <f t="array" ref="F59">_xlfn.SWITCH(RIGHT(B59,1),"1","Jakarta","2","Surabaya","3","Bali","4","Bandung")</f>
        <v>Bali</v>
      </c>
      <c r="G59" s="63" cm="1">
        <f t="array" ref="G59">_xlfn.SWITCH(RIGHT(B59,1),"1",7,"2",14,"3",12,"4",14)</f>
        <v>12</v>
      </c>
      <c r="H59" s="51" cm="1">
        <f t="array" ref="H59">WORKDAY.INTL(D59, G59, _xlfn.SWITCH(F59,"Jakarta","0010111","Bali","1010101","0000011"), $K$26:$K$33)</f>
        <v>46161</v>
      </c>
      <c r="I59" s="52" cm="1">
        <f t="array" ref="I59">NETWORKDAYS.INTL($C$47,H59,_xlfn.SWITCH(F59,"Jakarta","0010111","Bali","1010101","0000011"),$K$26:$K$33)</f>
        <v>-2</v>
      </c>
      <c r="J59" s="26" t="str" cm="1">
        <f t="array" ref="J59">_xlfn.SWITCH(TRUE,I59&gt;=5,"Proses",I59&gt;0,"Urgent",I59&lt;0,"Expired")</f>
        <v>Expired</v>
      </c>
      <c r="K59" s="53">
        <f t="shared" si="0"/>
        <v>4</v>
      </c>
      <c r="L59" s="51" t="str">
        <v>Invalid</v>
      </c>
      <c r="N59" s="48"/>
    </row>
    <row r="60" spans="1:16" ht="19.899999999999999" customHeight="1">
      <c r="A60" s="25">
        <v>10</v>
      </c>
      <c r="B60" s="25" t="s">
        <v>65</v>
      </c>
      <c r="C60" s="27" t="s">
        <v>8</v>
      </c>
      <c r="D60" s="50">
        <v>46159</v>
      </c>
      <c r="E60" s="25" t="s">
        <v>83</v>
      </c>
      <c r="F60" s="26" t="str" cm="1">
        <f t="array" ref="F60">_xlfn.SWITCH(RIGHT(B60,1),"1","Jakarta","2","Surabaya","3","Bali","4","Bandung")</f>
        <v>Surabaya</v>
      </c>
      <c r="G60" s="63" cm="1">
        <f t="array" ref="G60">_xlfn.SWITCH(RIGHT(B60,1),"1",7,"2",14,"3",12,"4",14)</f>
        <v>14</v>
      </c>
      <c r="H60" s="51" cm="1">
        <f t="array" ref="H60">WORKDAY.INTL(D60, G60, _xlfn.SWITCH(F60,"Jakarta","0010111","Bali","1010101","0000011"), $K$26:$K$33)</f>
        <v>46181</v>
      </c>
      <c r="I60" s="52" cm="1">
        <f t="array" ref="I60">NETWORKDAYS.INTL($C$47,H60,_xlfn.SWITCH(F60,"Jakarta","0010111","Bali","1010101","0000011"),$K$26:$K$33)</f>
        <v>11</v>
      </c>
      <c r="J60" s="26" t="str" cm="1">
        <f t="array" ref="J60">_xlfn.SWITCH(TRUE,I60&gt;=5,"Proses",I60&gt;0,"Urgent",I60&lt;0,"Expired")</f>
        <v>Proses</v>
      </c>
      <c r="K60" s="53">
        <f t="shared" si="0"/>
        <v>15</v>
      </c>
      <c r="L60" s="51" t="str">
        <v>Invalid</v>
      </c>
      <c r="N60" s="48"/>
    </row>
    <row r="61" spans="1:16" ht="19.899999999999999" customHeight="1">
      <c r="A61" s="25">
        <v>11</v>
      </c>
      <c r="B61" s="25" t="s">
        <v>63</v>
      </c>
      <c r="C61" s="27" t="s">
        <v>3</v>
      </c>
      <c r="D61" s="50">
        <v>46141</v>
      </c>
      <c r="E61" s="25" t="s">
        <v>82</v>
      </c>
      <c r="F61" s="26" t="str" cm="1">
        <f t="array" ref="F61">_xlfn.SWITCH(RIGHT(B61,1),"1","Jakarta","2","Surabaya","3","Bali","4","Bandung")</f>
        <v>Jakarta</v>
      </c>
      <c r="G61" s="63" cm="1">
        <f t="array" ref="G61">_xlfn.SWITCH(RIGHT(B61,1),"1",7,"2",14,"3",12,"4",14)</f>
        <v>7</v>
      </c>
      <c r="H61" s="51" cm="1">
        <f t="array" ref="H61">WORKDAY.INTL(D61, G61, _xlfn.SWITCH(F61,"Jakarta","0010111","Bali","1010101","0000011"), $K$26:$K$33)</f>
        <v>46160</v>
      </c>
      <c r="I61" s="52" cm="1">
        <f t="array" ref="I61">NETWORKDAYS.INTL($C$47,H61,_xlfn.SWITCH(F61,"Jakarta","0010111","Bali","1010101","0000011"),$K$26:$K$33)</f>
        <v>-3</v>
      </c>
      <c r="J61" s="26" t="str" cm="1">
        <f t="array" ref="J61">_xlfn.SWITCH(TRUE,I61&gt;=5,"Proses",I61&gt;0,"Urgent",I61&lt;0,"Expired")</f>
        <v>Expired</v>
      </c>
      <c r="K61" s="53">
        <f t="shared" si="0"/>
        <v>3</v>
      </c>
      <c r="L61" s="51" t="str">
        <v>Invalid</v>
      </c>
      <c r="N61" s="48"/>
    </row>
    <row r="62" spans="1:16" ht="19.899999999999999" customHeight="1">
      <c r="A62" s="25">
        <v>12</v>
      </c>
      <c r="B62" s="25" t="s">
        <v>66</v>
      </c>
      <c r="C62" s="27" t="s">
        <v>12</v>
      </c>
      <c r="D62" s="50">
        <v>46153</v>
      </c>
      <c r="E62" s="25" t="s">
        <v>83</v>
      </c>
      <c r="F62" s="26" t="str" cm="1">
        <f t="array" ref="F62">_xlfn.SWITCH(RIGHT(B62,1),"1","Jakarta","2","Surabaya","3","Bali","4","Bandung")</f>
        <v>Bandung</v>
      </c>
      <c r="G62" s="63" cm="1">
        <f t="array" ref="G62">_xlfn.SWITCH(RIGHT(B62,1),"1",7,"2",14,"3",12,"4",14)</f>
        <v>14</v>
      </c>
      <c r="H62" s="51" cm="1">
        <f t="array" ref="H62">WORKDAY.INTL(D62, G62, _xlfn.SWITCH(F62,"Jakarta","0010111","Bali","1010101","0000011"), $K$26:$K$33)</f>
        <v>46177</v>
      </c>
      <c r="I62" s="52" cm="1">
        <f t="array" ref="I62">NETWORKDAYS.INTL($C$47,H62,_xlfn.SWITCH(F62,"Jakarta","0010111","Bali","1010101","0000011"),$K$26:$K$33)</f>
        <v>9</v>
      </c>
      <c r="J62" s="26" t="str" cm="1">
        <f t="array" ref="J62">_xlfn.SWITCH(TRUE,I62&gt;=5,"Proses",I62&gt;0,"Urgent",I62&lt;0,"Expired")</f>
        <v>Proses</v>
      </c>
      <c r="K62" s="53">
        <f t="shared" si="0"/>
        <v>13</v>
      </c>
      <c r="L62" s="51" t="str">
        <v>Valid</v>
      </c>
      <c r="N62" s="48"/>
    </row>
    <row r="63" spans="1:16" ht="19.899999999999999" customHeight="1">
      <c r="A63" s="25">
        <v>13</v>
      </c>
      <c r="B63" s="25" t="s">
        <v>64</v>
      </c>
      <c r="C63" s="27" t="s">
        <v>10</v>
      </c>
      <c r="D63" s="50">
        <v>46147</v>
      </c>
      <c r="E63" s="25" t="s">
        <v>83</v>
      </c>
      <c r="F63" s="26" t="str" cm="1">
        <f t="array" ref="F63">_xlfn.SWITCH(RIGHT(B63,1),"1","Jakarta","2","Surabaya","3","Bali","4","Bandung")</f>
        <v>Bali</v>
      </c>
      <c r="G63" s="63" cm="1">
        <f t="array" ref="G63">_xlfn.SWITCH(RIGHT(B63,1),"1",7,"2",14,"3",12,"4",14)</f>
        <v>12</v>
      </c>
      <c r="H63" s="51" cm="1">
        <f t="array" ref="H63">WORKDAY.INTL(D63, G63, _xlfn.SWITCH(F63,"Jakarta","0010111","Bali","1010101","0000011"), $K$26:$K$33)</f>
        <v>46179</v>
      </c>
      <c r="I63" s="52" cm="1">
        <f t="array" ref="I63">NETWORKDAYS.INTL($C$47,H63,_xlfn.SWITCH(F63,"Jakarta","0010111","Bali","1010101","0000011"),$K$26:$K$33)</f>
        <v>7</v>
      </c>
      <c r="J63" s="26" t="str" cm="1">
        <f t="array" ref="J63">_xlfn.SWITCH(TRUE,I63&gt;=5,"Proses",I63&gt;0,"Urgent",I63&lt;0,"Expired")</f>
        <v>Proses</v>
      </c>
      <c r="K63" s="53">
        <f t="shared" si="0"/>
        <v>11</v>
      </c>
      <c r="L63" s="51" t="str">
        <v>Valid</v>
      </c>
      <c r="N63" s="48"/>
    </row>
    <row r="64" spans="1:16" ht="19.899999999999999" customHeight="1">
      <c r="A64" s="25">
        <v>14</v>
      </c>
      <c r="B64" s="25" t="s">
        <v>63</v>
      </c>
      <c r="C64" s="27" t="s">
        <v>7</v>
      </c>
      <c r="D64" s="50">
        <v>46156</v>
      </c>
      <c r="E64" s="25" t="s">
        <v>82</v>
      </c>
      <c r="F64" s="26" t="str" cm="1">
        <f t="array" ref="F64">_xlfn.SWITCH(RIGHT(B64,1),"1","Jakarta","2","Surabaya","3","Bali","4","Bandung")</f>
        <v>Jakarta</v>
      </c>
      <c r="G64" s="63" cm="1">
        <f t="array" ref="G64">_xlfn.SWITCH(RIGHT(B64,1),"1",7,"2",14,"3",12,"4",14)</f>
        <v>7</v>
      </c>
      <c r="H64" s="51" cm="1">
        <f t="array" ref="H64">WORKDAY.INTL(D64, G64, _xlfn.SWITCH(F64,"Jakarta","0010111","Bali","1010101","0000011"), $K$26:$K$33)</f>
        <v>46175</v>
      </c>
      <c r="I64" s="52" cm="1">
        <f t="array" ref="I64">NETWORKDAYS.INTL($C$47,H64,_xlfn.SWITCH(F64,"Jakarta","0010111","Bali","1010101","0000011"),$K$26:$K$33)</f>
        <v>5</v>
      </c>
      <c r="J64" s="26" t="str" cm="1">
        <f t="array" ref="J64">_xlfn.SWITCH(TRUE,I64&gt;=5,"Proses",I64&gt;0,"Urgent",I64&lt;0,"Expired")</f>
        <v>Proses</v>
      </c>
      <c r="K64" s="53">
        <f t="shared" si="0"/>
        <v>9</v>
      </c>
      <c r="L64" s="51" t="str">
        <v>Invalid</v>
      </c>
      <c r="N64" s="48"/>
    </row>
    <row r="65" spans="1:14" ht="19.899999999999999" customHeight="1">
      <c r="A65" s="25">
        <v>15</v>
      </c>
      <c r="B65" s="25" t="s">
        <v>66</v>
      </c>
      <c r="C65" s="27" t="s">
        <v>13</v>
      </c>
      <c r="D65" s="50">
        <v>46141</v>
      </c>
      <c r="E65" s="25" t="s">
        <v>82</v>
      </c>
      <c r="F65" s="26" t="str" cm="1">
        <f t="array" ref="F65">_xlfn.SWITCH(RIGHT(B65,1),"1","Jakarta","2","Surabaya","3","Bali","4","Bandung")</f>
        <v>Bandung</v>
      </c>
      <c r="G65" s="63" cm="1">
        <f t="array" ref="G65">_xlfn.SWITCH(RIGHT(B65,1),"1",7,"2",14,"3",12,"4",14)</f>
        <v>14</v>
      </c>
      <c r="H65" s="51" cm="1">
        <f t="array" ref="H65">WORKDAY.INTL(D65, G65, _xlfn.SWITCH(F65,"Jakarta","0010111","Bali","1010101","0000011"), $K$26:$K$33)</f>
        <v>46164</v>
      </c>
      <c r="I65" s="52" cm="1">
        <f t="array" ref="I65">NETWORKDAYS.INTL($C$47,H65,_xlfn.SWITCH(F65,"Jakarta","0010111","Bali","1010101","0000011"),$K$26:$K$33)</f>
        <v>2</v>
      </c>
      <c r="J65" s="26" t="str" cm="1">
        <f t="array" ref="J65">_xlfn.SWITCH(TRUE,I65&gt;=5,"Proses",I65&gt;0,"Urgent",I65&lt;0,"Expired")</f>
        <v>Urgent</v>
      </c>
      <c r="K65" s="53">
        <f t="shared" si="0"/>
        <v>6</v>
      </c>
      <c r="L65" s="51" t="str">
        <v>Valid</v>
      </c>
      <c r="N65" s="48"/>
    </row>
    <row r="66" spans="1:14" ht="19.899999999999999" customHeight="1">
      <c r="A66" s="25">
        <v>16</v>
      </c>
      <c r="B66" s="25" t="s">
        <v>63</v>
      </c>
      <c r="C66" s="27" t="s">
        <v>14</v>
      </c>
      <c r="D66" s="50">
        <v>46138</v>
      </c>
      <c r="E66" s="25" t="s">
        <v>83</v>
      </c>
      <c r="F66" s="26" t="str" cm="1">
        <f t="array" ref="F66">_xlfn.SWITCH(RIGHT(B66,1),"1","Jakarta","2","Surabaya","3","Bali","4","Bandung")</f>
        <v>Jakarta</v>
      </c>
      <c r="G66" s="63" cm="1">
        <f t="array" ref="G66">_xlfn.SWITCH(RIGHT(B66,1),"1",7,"2",14,"3",12,"4",14)</f>
        <v>7</v>
      </c>
      <c r="H66" s="51" cm="1">
        <f t="array" ref="H66">WORKDAY.INTL(D66, G66, _xlfn.SWITCH(F66,"Jakarta","0010111","Bali","1010101","0000011"), $K$26:$K$33)</f>
        <v>46153</v>
      </c>
      <c r="I66" s="52" cm="1">
        <f t="array" ref="I66">NETWORKDAYS.INTL($C$47,H66,_xlfn.SWITCH(F66,"Jakarta","0010111","Bali","1010101","0000011"),$K$26:$K$33)</f>
        <v>-5</v>
      </c>
      <c r="J66" s="26" t="str" cm="1">
        <f t="array" ref="J66">_xlfn.SWITCH(TRUE,I66&gt;=5,"Proses",I66&gt;0,"Urgent",I66&lt;0,"Expired")</f>
        <v>Expired</v>
      </c>
      <c r="K66" s="53">
        <f t="shared" si="0"/>
        <v>2</v>
      </c>
      <c r="L66" s="51" t="str">
        <v>Invalid</v>
      </c>
      <c r="N66" s="48"/>
    </row>
    <row r="67" spans="1:14" ht="7.1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</row>
    <row r="68" spans="1:14" ht="15" customHeight="1"/>
    <row r="69" spans="1:14" ht="15" customHeight="1">
      <c r="K69" s="3"/>
    </row>
    <row r="70" spans="1:14">
      <c r="K70" s="3"/>
    </row>
    <row r="71" spans="1:14" ht="22.15" customHeight="1">
      <c r="A71" s="67" t="s">
        <v>98</v>
      </c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</row>
    <row r="72" spans="1:14">
      <c r="K72" s="3"/>
    </row>
    <row r="73" spans="1:14">
      <c r="K73" s="3"/>
    </row>
  </sheetData>
  <mergeCells count="6">
    <mergeCell ref="A71:L71"/>
    <mergeCell ref="A18:B18"/>
    <mergeCell ref="E18:F18"/>
    <mergeCell ref="A20:L20"/>
    <mergeCell ref="A43:L43"/>
    <mergeCell ref="A45:L4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77370-9F21-454D-BFE3-9260A1C75596}">
  <sheetPr codeName="Sheet5"/>
  <dimension ref="B1:P32"/>
  <sheetViews>
    <sheetView showGridLines="0" workbookViewId="0">
      <selection activeCell="R19" sqref="R19"/>
    </sheetView>
  </sheetViews>
  <sheetFormatPr defaultColWidth="8.85546875" defaultRowHeight="15"/>
  <cols>
    <col min="1" max="1" width="5.7109375" style="29" customWidth="1"/>
    <col min="2" max="2" width="10" style="29" customWidth="1"/>
    <col min="3" max="6" width="8.85546875" style="29"/>
    <col min="7" max="8" width="4.28515625" style="29" customWidth="1"/>
    <col min="9" max="9" width="8.85546875" style="29"/>
    <col min="10" max="10" width="10.42578125" style="29" customWidth="1"/>
    <col min="11" max="11" width="9.28515625" style="29" customWidth="1"/>
    <col min="12" max="13" width="8.85546875" style="29"/>
    <col min="14" max="14" width="26.42578125" style="29" customWidth="1"/>
    <col min="15" max="16384" width="8.85546875" style="29"/>
  </cols>
  <sheetData>
    <row r="1" spans="7:16">
      <c r="H1" s="30"/>
      <c r="I1" s="30"/>
      <c r="J1" s="30"/>
      <c r="K1" s="30"/>
      <c r="L1" s="30"/>
      <c r="M1" s="30"/>
      <c r="N1" s="30"/>
      <c r="O1" s="30"/>
      <c r="P1" s="30"/>
    </row>
    <row r="2" spans="7:16">
      <c r="H2" s="30"/>
      <c r="I2" s="30"/>
      <c r="J2" s="30"/>
      <c r="K2" s="30"/>
      <c r="L2" s="30"/>
      <c r="M2" s="30"/>
      <c r="N2" s="30"/>
      <c r="O2" s="30"/>
      <c r="P2" s="30"/>
    </row>
    <row r="3" spans="7:16">
      <c r="G3" s="31"/>
      <c r="H3" s="32"/>
      <c r="I3" s="30"/>
      <c r="J3" s="30"/>
      <c r="K3" s="30"/>
      <c r="L3" s="30"/>
      <c r="M3" s="30"/>
      <c r="N3" s="30"/>
      <c r="O3" s="30"/>
      <c r="P3" s="30"/>
    </row>
    <row r="4" spans="7:16">
      <c r="G4" s="31"/>
      <c r="H4" s="32"/>
      <c r="I4" s="30"/>
      <c r="J4" s="30"/>
      <c r="K4" s="30"/>
      <c r="L4" s="30"/>
      <c r="M4" s="30"/>
      <c r="N4" s="30"/>
      <c r="O4" s="30"/>
      <c r="P4" s="30"/>
    </row>
    <row r="5" spans="7:16">
      <c r="G5" s="31"/>
      <c r="H5" s="32"/>
      <c r="I5" s="30"/>
      <c r="J5" s="30"/>
      <c r="K5" s="30"/>
      <c r="L5" s="30"/>
      <c r="M5" s="30"/>
      <c r="N5" s="30"/>
      <c r="O5" s="30"/>
      <c r="P5" s="30"/>
    </row>
    <row r="6" spans="7:16">
      <c r="G6" s="31"/>
      <c r="H6" s="32"/>
      <c r="I6" s="30" t="s">
        <v>37</v>
      </c>
      <c r="J6" s="30"/>
      <c r="K6" s="30"/>
      <c r="L6" s="30"/>
      <c r="M6" s="30"/>
      <c r="N6" s="30"/>
      <c r="O6" s="30"/>
      <c r="P6" s="30"/>
    </row>
    <row r="7" spans="7:16">
      <c r="G7" s="31"/>
      <c r="H7" s="32"/>
      <c r="I7" s="30" t="s">
        <v>38</v>
      </c>
      <c r="J7" s="30"/>
      <c r="K7" s="30"/>
      <c r="L7" s="30"/>
      <c r="M7" s="30"/>
      <c r="N7" s="30"/>
      <c r="O7" s="30"/>
      <c r="P7" s="30"/>
    </row>
    <row r="8" spans="7:16">
      <c r="G8" s="31"/>
      <c r="H8" s="32"/>
      <c r="I8" s="30"/>
      <c r="J8" s="30"/>
      <c r="K8" s="30"/>
      <c r="L8" s="30"/>
      <c r="M8" s="30"/>
      <c r="N8" s="30"/>
      <c r="O8" s="30"/>
      <c r="P8" s="30"/>
    </row>
    <row r="9" spans="7:16">
      <c r="G9" s="31"/>
      <c r="H9" s="32"/>
      <c r="I9" s="30"/>
      <c r="J9" s="30"/>
      <c r="K9" s="30"/>
      <c r="L9" s="30"/>
      <c r="M9" s="30"/>
      <c r="N9" s="30"/>
      <c r="O9" s="30"/>
      <c r="P9" s="30"/>
    </row>
    <row r="10" spans="7:16">
      <c r="G10" s="31"/>
      <c r="H10" s="32"/>
      <c r="I10" s="30" t="s">
        <v>39</v>
      </c>
      <c r="J10" s="30"/>
      <c r="K10" s="30"/>
      <c r="L10" s="30"/>
      <c r="M10" s="30"/>
      <c r="N10" s="30"/>
      <c r="O10" s="30"/>
      <c r="P10" s="30"/>
    </row>
    <row r="11" spans="7:16">
      <c r="G11" s="31"/>
      <c r="H11" s="32"/>
      <c r="I11" s="30"/>
      <c r="J11" s="30"/>
      <c r="K11" s="30"/>
      <c r="L11" s="30"/>
      <c r="M11" s="30"/>
      <c r="N11" s="30"/>
      <c r="O11" s="30"/>
      <c r="P11" s="30"/>
    </row>
    <row r="12" spans="7:16">
      <c r="G12" s="31"/>
      <c r="H12" s="32"/>
      <c r="I12" s="33"/>
      <c r="J12" s="82" t="s">
        <v>40</v>
      </c>
      <c r="K12" s="82"/>
      <c r="L12" s="83" t="s">
        <v>41</v>
      </c>
      <c r="M12" s="83"/>
      <c r="N12" s="30"/>
      <c r="O12" s="30"/>
      <c r="P12" s="30"/>
    </row>
    <row r="13" spans="7:16">
      <c r="G13" s="31"/>
      <c r="H13" s="32"/>
      <c r="I13" s="33"/>
      <c r="J13" s="82" t="s">
        <v>42</v>
      </c>
      <c r="K13" s="82"/>
      <c r="L13" s="34" t="s">
        <v>43</v>
      </c>
      <c r="M13" s="34"/>
      <c r="N13" s="30"/>
      <c r="O13" s="30"/>
      <c r="P13" s="30"/>
    </row>
    <row r="14" spans="7:16">
      <c r="G14" s="31"/>
      <c r="H14" s="32"/>
      <c r="I14" s="33"/>
      <c r="J14" s="82" t="s">
        <v>44</v>
      </c>
      <c r="K14" s="82"/>
      <c r="L14" s="34" t="s">
        <v>45</v>
      </c>
      <c r="M14" s="35"/>
      <c r="N14" s="30"/>
      <c r="O14" s="30"/>
      <c r="P14" s="30"/>
    </row>
    <row r="15" spans="7:16">
      <c r="G15" s="31"/>
      <c r="H15" s="32"/>
      <c r="I15" s="33"/>
      <c r="J15" s="82" t="s">
        <v>46</v>
      </c>
      <c r="K15" s="82"/>
      <c r="L15" s="34" t="s">
        <v>47</v>
      </c>
      <c r="M15" s="35"/>
      <c r="N15" s="30"/>
      <c r="O15" s="30"/>
      <c r="P15" s="30"/>
    </row>
    <row r="16" spans="7:16">
      <c r="G16" s="31"/>
      <c r="H16" s="32"/>
      <c r="I16" s="33"/>
      <c r="J16" s="82" t="s">
        <v>48</v>
      </c>
      <c r="K16" s="82"/>
      <c r="L16" s="34" t="s">
        <v>49</v>
      </c>
      <c r="M16" s="35"/>
      <c r="N16" s="30"/>
      <c r="O16" s="30"/>
      <c r="P16" s="30"/>
    </row>
    <row r="17" spans="2:16" ht="54.6" customHeight="1">
      <c r="B17" s="77" t="s">
        <v>50</v>
      </c>
      <c r="C17" s="77"/>
      <c r="D17" s="77"/>
      <c r="E17" s="77"/>
      <c r="F17" s="78"/>
      <c r="G17" s="36"/>
      <c r="H17" s="32"/>
      <c r="I17" s="30" t="s">
        <v>51</v>
      </c>
      <c r="J17" s="30"/>
      <c r="K17" s="30"/>
      <c r="L17" s="30"/>
      <c r="M17" s="30"/>
      <c r="N17" s="30"/>
      <c r="O17" s="30"/>
      <c r="P17" s="30"/>
    </row>
    <row r="18" spans="2:16" ht="54.6" customHeight="1">
      <c r="B18" s="79" t="s">
        <v>52</v>
      </c>
      <c r="C18" s="79"/>
      <c r="D18" s="79"/>
      <c r="E18" s="79"/>
      <c r="F18" s="80"/>
      <c r="G18" s="37"/>
      <c r="H18" s="32"/>
      <c r="I18" s="38" t="s">
        <v>53</v>
      </c>
      <c r="J18" s="30"/>
      <c r="K18" s="30"/>
      <c r="L18" s="30"/>
      <c r="M18" s="30"/>
      <c r="N18" s="30"/>
      <c r="O18" s="30"/>
      <c r="P18" s="30"/>
    </row>
    <row r="19" spans="2:16">
      <c r="B19" s="39" t="s">
        <v>54</v>
      </c>
      <c r="H19" s="30"/>
      <c r="J19" s="30"/>
      <c r="K19" s="30"/>
      <c r="L19" s="30"/>
      <c r="M19" s="30"/>
      <c r="N19" s="30"/>
      <c r="O19" s="30"/>
      <c r="P19" s="30"/>
    </row>
    <row r="20" spans="2:16">
      <c r="B20" s="40" t="s">
        <v>55</v>
      </c>
      <c r="C20" s="41" t="s">
        <v>56</v>
      </c>
      <c r="H20" s="30"/>
      <c r="J20" s="30"/>
      <c r="K20" s="30"/>
      <c r="L20" s="30"/>
      <c r="M20" s="30"/>
      <c r="N20" s="30"/>
      <c r="O20" s="30"/>
      <c r="P20" s="30"/>
    </row>
    <row r="21" spans="2:16">
      <c r="B21" s="42" t="s">
        <v>57</v>
      </c>
      <c r="C21" s="41" t="s">
        <v>58</v>
      </c>
      <c r="H21" s="30"/>
      <c r="I21" s="30"/>
      <c r="J21" s="30"/>
      <c r="K21" s="30"/>
      <c r="L21" s="30"/>
      <c r="M21" s="30"/>
      <c r="N21" s="30"/>
      <c r="O21" s="30"/>
      <c r="P21" s="30"/>
    </row>
    <row r="22" spans="2:16">
      <c r="H22" s="30"/>
      <c r="I22" s="30"/>
      <c r="J22" s="30"/>
      <c r="K22" s="30"/>
      <c r="L22" s="30"/>
      <c r="M22" s="30"/>
      <c r="N22" s="30"/>
      <c r="O22" s="30"/>
      <c r="P22" s="30"/>
    </row>
    <row r="23" spans="2:16">
      <c r="N23" s="30"/>
      <c r="O23" s="30"/>
      <c r="P23" s="30"/>
    </row>
    <row r="24" spans="2:16">
      <c r="N24" s="30"/>
      <c r="O24" s="30"/>
      <c r="P24" s="30"/>
    </row>
    <row r="25" spans="2:16">
      <c r="B25" s="81"/>
      <c r="C25" s="67"/>
      <c r="D25" s="67"/>
      <c r="E25" s="67"/>
      <c r="F25" s="67"/>
      <c r="G25" s="67"/>
      <c r="H25" s="67"/>
      <c r="I25" s="67"/>
      <c r="N25" s="30"/>
      <c r="O25" s="30"/>
      <c r="P25" s="30"/>
    </row>
    <row r="26" spans="2:16">
      <c r="B26" s="43"/>
      <c r="C26" s="44"/>
      <c r="D26" s="43"/>
      <c r="E26" s="43"/>
      <c r="F26" s="43"/>
      <c r="G26" s="43"/>
      <c r="H26" s="43"/>
      <c r="I26" s="43"/>
    </row>
    <row r="27" spans="2:16">
      <c r="B27" s="43"/>
      <c r="C27" s="43"/>
      <c r="D27" s="45" t="s">
        <v>59</v>
      </c>
      <c r="E27" s="43"/>
      <c r="F27" s="43"/>
      <c r="G27" s="43"/>
      <c r="H27" s="43"/>
      <c r="I27" s="43"/>
    </row>
    <row r="28" spans="2:16">
      <c r="B28" s="43"/>
      <c r="C28" s="43"/>
      <c r="D28" s="46" t="s">
        <v>60</v>
      </c>
      <c r="E28" s="43"/>
      <c r="F28" s="43"/>
      <c r="G28" s="43"/>
      <c r="H28" s="43"/>
      <c r="I28" s="43"/>
    </row>
    <row r="29" spans="2:16">
      <c r="B29" s="43"/>
      <c r="C29" s="43"/>
      <c r="D29" s="47" t="s">
        <v>61</v>
      </c>
      <c r="E29" s="43"/>
      <c r="F29" s="43"/>
      <c r="G29" s="43"/>
      <c r="H29" s="43"/>
      <c r="I29" s="43"/>
    </row>
    <row r="30" spans="2:16">
      <c r="B30" s="43"/>
      <c r="C30" s="43"/>
      <c r="D30" s="43"/>
      <c r="E30" s="43"/>
      <c r="F30" s="43"/>
      <c r="G30" s="43"/>
      <c r="H30" s="43"/>
      <c r="I30" s="43"/>
    </row>
    <row r="31" spans="2:16">
      <c r="B31" s="43"/>
      <c r="C31" s="43"/>
      <c r="D31" s="43"/>
      <c r="E31" s="43"/>
      <c r="F31" s="43"/>
      <c r="G31" s="43"/>
      <c r="H31" s="43"/>
      <c r="I31" s="43"/>
    </row>
    <row r="32" spans="2:16">
      <c r="B32" s="81"/>
      <c r="C32" s="67"/>
      <c r="D32" s="67"/>
      <c r="E32" s="67"/>
      <c r="F32" s="67"/>
      <c r="G32" s="67"/>
      <c r="H32" s="67"/>
      <c r="I32" s="67"/>
    </row>
  </sheetData>
  <mergeCells count="10">
    <mergeCell ref="L12:M12"/>
    <mergeCell ref="J13:K13"/>
    <mergeCell ref="J14:K14"/>
    <mergeCell ref="J15:K15"/>
    <mergeCell ref="J16:K16"/>
    <mergeCell ref="B17:F17"/>
    <mergeCell ref="B18:F18"/>
    <mergeCell ref="B25:I25"/>
    <mergeCell ref="B32:I32"/>
    <mergeCell ref="J12:K12"/>
  </mergeCells>
  <hyperlinks>
    <hyperlink ref="I18" r:id="rId1" xr:uid="{25940618-841C-470B-B497-2C78788BE59F}"/>
    <hyperlink ref="C21" r:id="rId2" xr:uid="{22584901-875F-48B8-BEDA-51F46BE1F263}"/>
    <hyperlink ref="C20" r:id="rId3" xr:uid="{894468D9-F5FE-4A74-AEA9-476354299A3D}"/>
    <hyperlink ref="D29" r:id="rId4" xr:uid="{194626E5-D04D-43E1-B066-67C1A4557F2B}"/>
  </hyperlink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AC8D-1A39-4906-BC91-E11D63325D6F}">
  <sheetPr codeName="Sheet4"/>
  <dimension ref="A1:AD52"/>
  <sheetViews>
    <sheetView workbookViewId="0">
      <selection activeCell="A3" sqref="A3"/>
    </sheetView>
  </sheetViews>
  <sheetFormatPr defaultRowHeight="15"/>
  <cols>
    <col min="2" max="2" width="11.85546875" customWidth="1"/>
    <col min="3" max="3" width="14" customWidth="1"/>
    <col min="4" max="4" width="9.7109375" customWidth="1"/>
    <col min="5" max="6" width="11.140625" customWidth="1"/>
    <col min="7" max="7" width="12.140625" customWidth="1"/>
    <col min="8" max="9" width="11.140625" customWidth="1"/>
    <col min="23" max="23" width="66" customWidth="1"/>
  </cols>
  <sheetData>
    <row r="1" spans="1:30">
      <c r="A1" t="s">
        <v>20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M1">
        <v>1</v>
      </c>
      <c r="N1">
        <v>2</v>
      </c>
      <c r="O1">
        <v>3</v>
      </c>
      <c r="P1">
        <v>4</v>
      </c>
      <c r="Q1">
        <v>5</v>
      </c>
      <c r="R1">
        <v>6</v>
      </c>
      <c r="S1">
        <v>7</v>
      </c>
      <c r="W1">
        <v>1</v>
      </c>
      <c r="X1">
        <v>2</v>
      </c>
      <c r="Y1">
        <v>3</v>
      </c>
      <c r="Z1">
        <v>4</v>
      </c>
      <c r="AA1">
        <v>5</v>
      </c>
      <c r="AB1">
        <v>6</v>
      </c>
      <c r="AC1">
        <v>7</v>
      </c>
      <c r="AD1">
        <v>8</v>
      </c>
    </row>
    <row r="2" spans="1:30">
      <c r="A2" t="s">
        <v>104</v>
      </c>
      <c r="B2" s="2">
        <v>1</v>
      </c>
      <c r="C2" s="2" t="str">
        <f>Soal!E51</f>
        <v>Pelajar</v>
      </c>
      <c r="D2" s="2" t="str">
        <f>UPPER(Soal!F51)</f>
        <v>BALI</v>
      </c>
      <c r="E2" s="2">
        <f>Soal!G51</f>
        <v>12</v>
      </c>
      <c r="F2" s="2">
        <f>Soal!H51</f>
        <v>46191</v>
      </c>
      <c r="G2" s="2">
        <f>Soal!I51</f>
        <v>12</v>
      </c>
      <c r="H2" s="2" t="str">
        <f>UPPER(Soal!J51)</f>
        <v>PROSES</v>
      </c>
      <c r="I2" s="2">
        <f>Soal!K51</f>
        <v>16</v>
      </c>
      <c r="J2" s="2" t="str">
        <f>UPPER(Soal!L51)</f>
        <v>VALID</v>
      </c>
      <c r="M2">
        <f ca="1">IFERROR(LEN(_xlfn.FORMULATEXT(Soal!F51)),0)</f>
        <v>75</v>
      </c>
      <c r="N2">
        <f ca="1">IFERROR(LEN(_xlfn.FORMULATEXT(Soal!G51)),0)</f>
        <v>48</v>
      </c>
      <c r="O2">
        <f ca="1">IFERROR(LEN(_xlfn.FORMULATEXT(Soal!H51)),0)</f>
        <v>96</v>
      </c>
      <c r="P2">
        <f ca="1">IFERROR(LEN(_xlfn.FORMULATEXT(Soal!I51)),0)</f>
        <v>99</v>
      </c>
      <c r="Q2">
        <f ca="1">IFERROR(LEN(_xlfn.FORMULATEXT(Soal!J51)),0)</f>
        <v>60</v>
      </c>
      <c r="R2">
        <f ca="1">IFERROR(LEN(_xlfn.FORMULATEXT(Soal!K51)),0)</f>
        <v>24</v>
      </c>
      <c r="S2">
        <f ca="1">IFERROR(LEN(_xlfn.FORMULATEXT(Soal!L51)),0)</f>
        <v>127</v>
      </c>
      <c r="X2" t="str">
        <f ca="1">SUBSTITUTE(_xlfn.FORMULATEXT(Soal!F51),"$","")</f>
        <v>=SWITCH(RIGHT(B51;1);"1";"Jakarta";"2";"Surabaya";"3";"Bali";"4";"Bandung")</v>
      </c>
      <c r="Y2" t="str">
        <f ca="1">SUBSTITUTE(_xlfn.FORMULATEXT(Soal!G51),"$","")</f>
        <v>=SWITCH(RIGHT(B51;1);"1";7;"2";14;"3";12;"4";14)</v>
      </c>
      <c r="Z2" t="str">
        <f ca="1">SUBSTITUTE(_xlfn.FORMULATEXT(Soal!H51),"$","")</f>
        <v>=WORKDAY.INTL(D51; G51; SWITCH(F51;"Jakarta";"0010111";"Bali";"1010101";"0000011"); K26:K33)</v>
      </c>
      <c r="AA2" t="str">
        <f ca="1">SUBSTITUTE(_xlfn.FORMULATEXT(Soal!I51),"$","")</f>
        <v>=NETWORKDAYS.INTL(C47;H51;SWITCH(F51;"Jakarta";"0010111";"Bali";"1010101";"0000011");K26:K33)</v>
      </c>
      <c r="AB2" t="str">
        <f ca="1">SUBSTITUTE(_xlfn.FORMULATEXT(Soal!J51),"$","")</f>
        <v>=SWITCH(TRUE;I51&gt;=5;"Proses";I51&gt;0;"Urgent";I51&lt;0;"Expired")</v>
      </c>
      <c r="AC2" t="str">
        <f ca="1">SUBSTITUTE(_xlfn.FORMULATEXT(Soal!K51),"$","")</f>
        <v>=RANK(I51;I50:I66;1)</v>
      </c>
      <c r="AD2" t="str">
        <f ca="1">SUBSTITUTE(_xlfn.FORMULATEXT(Soal!L51),"$","")</f>
        <v>=IF(WORKDAY.INTL(D51:D66-1;1;SWITCH(F51:F66;"Jakarta";"0010111";"Bali";"1010101";"0000011");K26:K33)=D51:D66;"Valid";"Invalid")</v>
      </c>
    </row>
    <row r="3" spans="1:30">
      <c r="B3" s="2">
        <v>2</v>
      </c>
      <c r="C3" s="2" t="str">
        <f>Soal!E52</f>
        <v>Kerja</v>
      </c>
      <c r="D3" s="2" t="str">
        <f>UPPER(Soal!F52)</f>
        <v>SURABAYA</v>
      </c>
      <c r="E3" s="2">
        <f>Soal!G52</f>
        <v>14</v>
      </c>
      <c r="F3" s="2">
        <f>Soal!H52</f>
        <v>46178</v>
      </c>
      <c r="G3" s="2">
        <f>Soal!I52</f>
        <v>10</v>
      </c>
      <c r="H3" s="2" t="str">
        <f>UPPER(Soal!J52)</f>
        <v>PROSES</v>
      </c>
      <c r="I3" s="2">
        <f>Soal!K52</f>
        <v>14</v>
      </c>
      <c r="J3" s="2" t="str">
        <f>UPPER(Soal!L52)</f>
        <v>VALID</v>
      </c>
      <c r="M3">
        <f ca="1">IFERROR(LEN(_xlfn.FORMULATEXT(Soal!F52)),0)</f>
        <v>75</v>
      </c>
      <c r="N3">
        <f ca="1">IFERROR(LEN(_xlfn.FORMULATEXT(Soal!G52)),0)</f>
        <v>48</v>
      </c>
      <c r="O3">
        <f ca="1">IFERROR(LEN(_xlfn.FORMULATEXT(Soal!H52)),0)</f>
        <v>96</v>
      </c>
      <c r="P3">
        <f ca="1">IFERROR(LEN(_xlfn.FORMULATEXT(Soal!I52)),0)</f>
        <v>99</v>
      </c>
      <c r="Q3">
        <f ca="1">IFERROR(LEN(_xlfn.FORMULATEXT(Soal!J52)),0)</f>
        <v>60</v>
      </c>
      <c r="R3">
        <f ca="1">IFERROR(LEN(_xlfn.FORMULATEXT(Soal!K52)),0)</f>
        <v>24</v>
      </c>
      <c r="S3">
        <f ca="1">IFERROR(LEN(_xlfn.FORMULATEXT(Soal!L52)),0)</f>
        <v>0</v>
      </c>
      <c r="V3">
        <v>2</v>
      </c>
      <c r="W3" t="str">
        <f ca="1">SUBSTITUTE(_xlfn.FORMULATEXT(Soal!F51),"$","")</f>
        <v>=SWITCH(RIGHT(B51;1);"1";"Jakarta";"2";"Surabaya";"3";"Bali";"4";"Bandung")</v>
      </c>
    </row>
    <row r="4" spans="1:30">
      <c r="B4" s="2">
        <v>3</v>
      </c>
      <c r="C4" s="2" t="str">
        <f>Soal!E53</f>
        <v>Pelajar</v>
      </c>
      <c r="D4" s="2" t="str">
        <f>UPPER(Soal!F53)</f>
        <v>BALI</v>
      </c>
      <c r="E4" s="2">
        <f>Soal!G53</f>
        <v>12</v>
      </c>
      <c r="F4" s="2">
        <f>Soal!H53</f>
        <v>46182</v>
      </c>
      <c r="G4" s="2">
        <f>Soal!I53</f>
        <v>8</v>
      </c>
      <c r="H4" s="2" t="str">
        <f>UPPER(Soal!J53)</f>
        <v>PROSES</v>
      </c>
      <c r="I4" s="2">
        <f>Soal!K53</f>
        <v>12</v>
      </c>
      <c r="J4" s="2" t="str">
        <f>UPPER(Soal!L53)</f>
        <v>VALID</v>
      </c>
      <c r="M4">
        <f ca="1">IFERROR(LEN(_xlfn.FORMULATEXT(Soal!F53)),0)</f>
        <v>75</v>
      </c>
      <c r="N4">
        <f ca="1">IFERROR(LEN(_xlfn.FORMULATEXT(Soal!G53)),0)</f>
        <v>48</v>
      </c>
      <c r="O4">
        <f ca="1">IFERROR(LEN(_xlfn.FORMULATEXT(Soal!H53)),0)</f>
        <v>96</v>
      </c>
      <c r="P4">
        <f ca="1">IFERROR(LEN(_xlfn.FORMULATEXT(Soal!I53)),0)</f>
        <v>99</v>
      </c>
      <c r="Q4">
        <f ca="1">IFERROR(LEN(_xlfn.FORMULATEXT(Soal!J53)),0)</f>
        <v>60</v>
      </c>
      <c r="R4">
        <f ca="1">IFERROR(LEN(_xlfn.FORMULATEXT(Soal!K53)),0)</f>
        <v>24</v>
      </c>
      <c r="S4">
        <f ca="1">IFERROR(LEN(_xlfn.FORMULATEXT(Soal!L53)),0)</f>
        <v>0</v>
      </c>
      <c r="V4">
        <v>3</v>
      </c>
      <c r="W4" t="str">
        <f ca="1">SUBSTITUTE(_xlfn.FORMULATEXT(Soal!G51),"$","")</f>
        <v>=SWITCH(RIGHT(B51;1);"1";7;"2";14;"3";12;"4";14)</v>
      </c>
    </row>
    <row r="5" spans="1:30">
      <c r="B5" s="2">
        <v>4</v>
      </c>
      <c r="C5" s="2" t="str">
        <f>Soal!E54</f>
        <v>Pelajar</v>
      </c>
      <c r="D5" s="2" t="str">
        <f>UPPER(Soal!F54)</f>
        <v>JAKARTA</v>
      </c>
      <c r="E5" s="2">
        <f>Soal!G54</f>
        <v>7</v>
      </c>
      <c r="F5" s="2">
        <f>Soal!H54</f>
        <v>46149</v>
      </c>
      <c r="G5" s="2">
        <f>Soal!I54</f>
        <v>-6</v>
      </c>
      <c r="H5" s="2" t="str">
        <f>UPPER(Soal!J54)</f>
        <v>EXPIRED</v>
      </c>
      <c r="I5" s="2">
        <f>Soal!K54</f>
        <v>1</v>
      </c>
      <c r="J5" s="2" t="str">
        <f>UPPER(Soal!L54)</f>
        <v>INVALID</v>
      </c>
      <c r="M5">
        <f ca="1">IFERROR(LEN(_xlfn.FORMULATEXT(Soal!F54)),0)</f>
        <v>75</v>
      </c>
      <c r="N5">
        <f ca="1">IFERROR(LEN(_xlfn.FORMULATEXT(Soal!G54)),0)</f>
        <v>48</v>
      </c>
      <c r="O5">
        <f ca="1">IFERROR(LEN(_xlfn.FORMULATEXT(Soal!H54)),0)</f>
        <v>96</v>
      </c>
      <c r="P5">
        <f ca="1">IFERROR(LEN(_xlfn.FORMULATEXT(Soal!I54)),0)</f>
        <v>99</v>
      </c>
      <c r="Q5">
        <f ca="1">IFERROR(LEN(_xlfn.FORMULATEXT(Soal!J54)),0)</f>
        <v>60</v>
      </c>
      <c r="R5">
        <f ca="1">IFERROR(LEN(_xlfn.FORMULATEXT(Soal!K54)),0)</f>
        <v>24</v>
      </c>
      <c r="S5">
        <f ca="1">IFERROR(LEN(_xlfn.FORMULATEXT(Soal!L54)),0)</f>
        <v>0</v>
      </c>
      <c r="V5">
        <v>4</v>
      </c>
      <c r="W5" t="str">
        <f ca="1">SUBSTITUTE(_xlfn.FORMULATEXT(Soal!H51),"$","")</f>
        <v>=WORKDAY.INTL(D51; G51; SWITCH(F51;"Jakarta";"0010111";"Bali";"1010101";"0000011"); K26:K33)</v>
      </c>
    </row>
    <row r="6" spans="1:30">
      <c r="B6" s="2">
        <v>5</v>
      </c>
      <c r="C6" s="2" t="str">
        <f>Soal!E55</f>
        <v>Pelajar</v>
      </c>
      <c r="D6" s="2" t="str">
        <f>UPPER(Soal!F55)</f>
        <v>SURABAYA</v>
      </c>
      <c r="E6" s="2">
        <f>Soal!G55</f>
        <v>14</v>
      </c>
      <c r="F6" s="2">
        <f>Soal!H55</f>
        <v>46174</v>
      </c>
      <c r="G6" s="2">
        <f>Soal!I55</f>
        <v>6</v>
      </c>
      <c r="H6" s="2" t="str">
        <f>UPPER(Soal!J55)</f>
        <v>PROSES</v>
      </c>
      <c r="I6" s="2">
        <f>Soal!K55</f>
        <v>10</v>
      </c>
      <c r="J6" s="2" t="str">
        <f>UPPER(Soal!L55)</f>
        <v>VALID</v>
      </c>
      <c r="M6">
        <f ca="1">IFERROR(LEN(_xlfn.FORMULATEXT(Soal!F55)),0)</f>
        <v>75</v>
      </c>
      <c r="N6">
        <f ca="1">IFERROR(LEN(_xlfn.FORMULATEXT(Soal!G55)),0)</f>
        <v>48</v>
      </c>
      <c r="O6">
        <f ca="1">IFERROR(LEN(_xlfn.FORMULATEXT(Soal!H55)),0)</f>
        <v>96</v>
      </c>
      <c r="P6">
        <f ca="1">IFERROR(LEN(_xlfn.FORMULATEXT(Soal!I55)),0)</f>
        <v>99</v>
      </c>
      <c r="Q6">
        <f ca="1">IFERROR(LEN(_xlfn.FORMULATEXT(Soal!J55)),0)</f>
        <v>60</v>
      </c>
      <c r="R6">
        <f ca="1">IFERROR(LEN(_xlfn.FORMULATEXT(Soal!K55)),0)</f>
        <v>24</v>
      </c>
      <c r="S6">
        <f ca="1">IFERROR(LEN(_xlfn.FORMULATEXT(Soal!L55)),0)</f>
        <v>0</v>
      </c>
      <c r="V6">
        <v>5</v>
      </c>
      <c r="W6" t="str">
        <f ca="1">SUBSTITUTE(_xlfn.FORMULATEXT(Soal!I51),"$","")</f>
        <v>=NETWORKDAYS.INTL(C47;H51;SWITCH(F51;"Jakarta";"0010111";"Bali";"1010101";"0000011");K26:K33)</v>
      </c>
    </row>
    <row r="7" spans="1:30">
      <c r="B7" s="2">
        <v>6</v>
      </c>
      <c r="C7" s="2" t="str">
        <f>Soal!E56</f>
        <v>Kerja</v>
      </c>
      <c r="D7" s="2" t="str">
        <f>UPPER(Soal!F56)</f>
        <v>SURABAYA</v>
      </c>
      <c r="E7" s="2">
        <f>Soal!G56</f>
        <v>14</v>
      </c>
      <c r="F7" s="2">
        <f>Soal!H56</f>
        <v>46167</v>
      </c>
      <c r="G7" s="2">
        <f>Soal!I56</f>
        <v>3</v>
      </c>
      <c r="H7" s="2" t="str">
        <f>UPPER(Soal!J56)</f>
        <v>URGENT</v>
      </c>
      <c r="I7" s="2">
        <f>Soal!K56</f>
        <v>7</v>
      </c>
      <c r="J7" s="2" t="str">
        <f>UPPER(Soal!L56)</f>
        <v>INVALID</v>
      </c>
      <c r="M7">
        <f ca="1">IFERROR(LEN(_xlfn.FORMULATEXT(Soal!F56)),0)</f>
        <v>75</v>
      </c>
      <c r="N7">
        <f ca="1">IFERROR(LEN(_xlfn.FORMULATEXT(Soal!G56)),0)</f>
        <v>48</v>
      </c>
      <c r="O7">
        <f ca="1">IFERROR(LEN(_xlfn.FORMULATEXT(Soal!H56)),0)</f>
        <v>96</v>
      </c>
      <c r="P7">
        <f ca="1">IFERROR(LEN(_xlfn.FORMULATEXT(Soal!I56)),0)</f>
        <v>99</v>
      </c>
      <c r="Q7">
        <f ca="1">IFERROR(LEN(_xlfn.FORMULATEXT(Soal!J56)),0)</f>
        <v>60</v>
      </c>
      <c r="R7">
        <f ca="1">IFERROR(LEN(_xlfn.FORMULATEXT(Soal!K56)),0)</f>
        <v>24</v>
      </c>
      <c r="S7">
        <f ca="1">IFERROR(LEN(_xlfn.FORMULATEXT(Soal!L56)),0)</f>
        <v>0</v>
      </c>
      <c r="V7">
        <v>6</v>
      </c>
      <c r="W7" t="str">
        <f ca="1">SUBSTITUTE(_xlfn.FORMULATEXT(Soal!J51),"$","")</f>
        <v>=SWITCH(TRUE;I51&gt;=5;"Proses";I51&gt;0;"Urgent";I51&lt;0;"Expired")</v>
      </c>
    </row>
    <row r="8" spans="1:30">
      <c r="B8" s="2">
        <v>7</v>
      </c>
      <c r="C8" s="2" t="str">
        <f>Soal!E57</f>
        <v>Kerja</v>
      </c>
      <c r="D8" s="2" t="str">
        <f>UPPER(Soal!F57)</f>
        <v>BANDUNG</v>
      </c>
      <c r="E8" s="2">
        <f>Soal!G57</f>
        <v>14</v>
      </c>
      <c r="F8" s="2">
        <f>Soal!H57</f>
        <v>46163</v>
      </c>
      <c r="G8" s="2">
        <f>Soal!I57</f>
        <v>1</v>
      </c>
      <c r="H8" s="2" t="str">
        <f>UPPER(Soal!J57)</f>
        <v>URGENT</v>
      </c>
      <c r="I8" s="2">
        <f>Soal!K57</f>
        <v>5</v>
      </c>
      <c r="J8" s="2" t="str">
        <f>UPPER(Soal!L57)</f>
        <v>VALID</v>
      </c>
      <c r="M8">
        <f ca="1">IFERROR(LEN(_xlfn.FORMULATEXT(Soal!F57)),0)</f>
        <v>75</v>
      </c>
      <c r="N8">
        <f ca="1">IFERROR(LEN(_xlfn.FORMULATEXT(Soal!G57)),0)</f>
        <v>48</v>
      </c>
      <c r="O8">
        <f ca="1">IFERROR(LEN(_xlfn.FORMULATEXT(Soal!H57)),0)</f>
        <v>96</v>
      </c>
      <c r="P8">
        <f ca="1">IFERROR(LEN(_xlfn.FORMULATEXT(Soal!I57)),0)</f>
        <v>99</v>
      </c>
      <c r="Q8">
        <f ca="1">IFERROR(LEN(_xlfn.FORMULATEXT(Soal!J57)),0)</f>
        <v>60</v>
      </c>
      <c r="R8">
        <f ca="1">IFERROR(LEN(_xlfn.FORMULATEXT(Soal!K57)),0)</f>
        <v>24</v>
      </c>
      <c r="S8">
        <f ca="1">IFERROR(LEN(_xlfn.FORMULATEXT(Soal!L57)),0)</f>
        <v>0</v>
      </c>
      <c r="V8">
        <v>7</v>
      </c>
      <c r="W8" t="str">
        <f ca="1">SUBSTITUTE(_xlfn.FORMULATEXT(Soal!K51),"$","")</f>
        <v>=RANK(I51;I50:I66;1)</v>
      </c>
    </row>
    <row r="9" spans="1:30">
      <c r="B9" s="2">
        <v>8</v>
      </c>
      <c r="C9" s="2" t="str">
        <f>Soal!E58</f>
        <v>Kerja</v>
      </c>
      <c r="D9" s="2" t="str">
        <f>UPPER(Soal!F58)</f>
        <v>SURABAYA</v>
      </c>
      <c r="E9" s="2">
        <f>Soal!G58</f>
        <v>14</v>
      </c>
      <c r="F9" s="2">
        <f>Soal!H58</f>
        <v>46185</v>
      </c>
      <c r="G9" s="2">
        <f>Soal!I58</f>
        <v>15</v>
      </c>
      <c r="H9" s="2" t="str">
        <f>UPPER(Soal!J58)</f>
        <v>PROSES</v>
      </c>
      <c r="I9" s="2">
        <f>Soal!K58</f>
        <v>17</v>
      </c>
      <c r="J9" s="2" t="str">
        <f>UPPER(Soal!L58)</f>
        <v>VALID</v>
      </c>
      <c r="M9">
        <f ca="1">IFERROR(LEN(_xlfn.FORMULATEXT(Soal!F58)),0)</f>
        <v>75</v>
      </c>
      <c r="N9">
        <f ca="1">IFERROR(LEN(_xlfn.FORMULATEXT(Soal!G58)),0)</f>
        <v>48</v>
      </c>
      <c r="O9">
        <f ca="1">IFERROR(LEN(_xlfn.FORMULATEXT(Soal!H58)),0)</f>
        <v>96</v>
      </c>
      <c r="P9">
        <f ca="1">IFERROR(LEN(_xlfn.FORMULATEXT(Soal!I58)),0)</f>
        <v>99</v>
      </c>
      <c r="Q9">
        <f ca="1">IFERROR(LEN(_xlfn.FORMULATEXT(Soal!J58)),0)</f>
        <v>60</v>
      </c>
      <c r="R9">
        <f ca="1">IFERROR(LEN(_xlfn.FORMULATEXT(Soal!K58)),0)</f>
        <v>24</v>
      </c>
      <c r="S9">
        <f ca="1">IFERROR(LEN(_xlfn.FORMULATEXT(Soal!L58)),0)</f>
        <v>0</v>
      </c>
      <c r="V9">
        <v>8</v>
      </c>
      <c r="W9" t="str">
        <f ca="1">AD2</f>
        <v>=IF(WORKDAY.INTL(D51:D66-1;1;SWITCH(F51:F66;"Jakarta";"0010111";"Bali";"1010101";"0000011");K26:K33)=D51:D66;"Valid";"Invalid")</v>
      </c>
    </row>
    <row r="10" spans="1:30">
      <c r="B10" s="2">
        <v>9</v>
      </c>
      <c r="C10" s="2" t="str">
        <f>Soal!E59</f>
        <v>Pelajar</v>
      </c>
      <c r="D10" s="2" t="str">
        <f>UPPER(Soal!F59)</f>
        <v>BALI</v>
      </c>
      <c r="E10" s="2">
        <f>Soal!G59</f>
        <v>12</v>
      </c>
      <c r="F10" s="2">
        <f>Soal!H59</f>
        <v>46161</v>
      </c>
      <c r="G10" s="2">
        <f>Soal!I59</f>
        <v>-2</v>
      </c>
      <c r="H10" s="2" t="str">
        <f>UPPER(Soal!J59)</f>
        <v>EXPIRED</v>
      </c>
      <c r="I10" s="2">
        <f>Soal!K59</f>
        <v>4</v>
      </c>
      <c r="J10" s="2" t="str">
        <f>UPPER(Soal!L59)</f>
        <v>INVALID</v>
      </c>
      <c r="M10">
        <f ca="1">IFERROR(LEN(_xlfn.FORMULATEXT(Soal!F59)),0)</f>
        <v>75</v>
      </c>
      <c r="N10">
        <f ca="1">IFERROR(LEN(_xlfn.FORMULATEXT(Soal!G59)),0)</f>
        <v>48</v>
      </c>
      <c r="O10">
        <f ca="1">IFERROR(LEN(_xlfn.FORMULATEXT(Soal!H59)),0)</f>
        <v>96</v>
      </c>
      <c r="P10">
        <f ca="1">IFERROR(LEN(_xlfn.FORMULATEXT(Soal!I59)),0)</f>
        <v>99</v>
      </c>
      <c r="Q10">
        <f ca="1">IFERROR(LEN(_xlfn.FORMULATEXT(Soal!J59)),0)</f>
        <v>60</v>
      </c>
      <c r="R10">
        <f ca="1">IFERROR(LEN(_xlfn.FORMULATEXT(Soal!K59)),0)</f>
        <v>24</v>
      </c>
      <c r="S10">
        <f ca="1">IFERROR(LEN(_xlfn.FORMULATEXT(Soal!L59)),0)</f>
        <v>0</v>
      </c>
    </row>
    <row r="11" spans="1:30">
      <c r="B11" s="2">
        <v>10</v>
      </c>
      <c r="C11" s="2" t="str">
        <f>Soal!E60</f>
        <v>Pelajar</v>
      </c>
      <c r="D11" s="2" t="str">
        <f>UPPER(Soal!F60)</f>
        <v>SURABAYA</v>
      </c>
      <c r="E11" s="2">
        <f>Soal!G60</f>
        <v>14</v>
      </c>
      <c r="F11" s="2">
        <f>Soal!H60</f>
        <v>46181</v>
      </c>
      <c r="G11" s="2">
        <f>Soal!I60</f>
        <v>11</v>
      </c>
      <c r="H11" s="2" t="str">
        <f>UPPER(Soal!J60)</f>
        <v>PROSES</v>
      </c>
      <c r="I11" s="2">
        <f>Soal!K60</f>
        <v>15</v>
      </c>
      <c r="J11" s="2" t="str">
        <f>UPPER(Soal!L60)</f>
        <v>INVALID</v>
      </c>
      <c r="M11">
        <f ca="1">IFERROR(LEN(_xlfn.FORMULATEXT(Soal!F60)),0)</f>
        <v>75</v>
      </c>
      <c r="N11">
        <f ca="1">IFERROR(LEN(_xlfn.FORMULATEXT(Soal!G60)),0)</f>
        <v>48</v>
      </c>
      <c r="O11">
        <f ca="1">IFERROR(LEN(_xlfn.FORMULATEXT(Soal!H60)),0)</f>
        <v>96</v>
      </c>
      <c r="P11">
        <f ca="1">IFERROR(LEN(_xlfn.FORMULATEXT(Soal!I60)),0)</f>
        <v>99</v>
      </c>
      <c r="Q11">
        <f ca="1">IFERROR(LEN(_xlfn.FORMULATEXT(Soal!J60)),0)</f>
        <v>60</v>
      </c>
      <c r="R11">
        <f ca="1">IFERROR(LEN(_xlfn.FORMULATEXT(Soal!K60)),0)</f>
        <v>24</v>
      </c>
      <c r="S11">
        <f ca="1">IFERROR(LEN(_xlfn.FORMULATEXT(Soal!L60)),0)</f>
        <v>0</v>
      </c>
    </row>
    <row r="12" spans="1:30">
      <c r="B12" s="2">
        <v>11</v>
      </c>
      <c r="C12" s="2" t="str">
        <f>Soal!E61</f>
        <v>Kerja</v>
      </c>
      <c r="D12" s="2" t="str">
        <f>UPPER(Soal!F61)</f>
        <v>JAKARTA</v>
      </c>
      <c r="E12" s="2">
        <f>Soal!G61</f>
        <v>7</v>
      </c>
      <c r="F12" s="2">
        <f>Soal!H61</f>
        <v>46160</v>
      </c>
      <c r="G12" s="2">
        <f>Soal!I61</f>
        <v>-3</v>
      </c>
      <c r="H12" s="2" t="str">
        <f>UPPER(Soal!J61)</f>
        <v>EXPIRED</v>
      </c>
      <c r="I12" s="2">
        <f>Soal!K61</f>
        <v>3</v>
      </c>
      <c r="J12" s="2" t="str">
        <f>UPPER(Soal!L61)</f>
        <v>INVALID</v>
      </c>
      <c r="M12">
        <f ca="1">IFERROR(LEN(_xlfn.FORMULATEXT(Soal!F61)),0)</f>
        <v>75</v>
      </c>
      <c r="N12">
        <f ca="1">IFERROR(LEN(_xlfn.FORMULATEXT(Soal!G61)),0)</f>
        <v>48</v>
      </c>
      <c r="O12">
        <f ca="1">IFERROR(LEN(_xlfn.FORMULATEXT(Soal!H61)),0)</f>
        <v>96</v>
      </c>
      <c r="P12">
        <f ca="1">IFERROR(LEN(_xlfn.FORMULATEXT(Soal!I61)),0)</f>
        <v>99</v>
      </c>
      <c r="Q12">
        <f ca="1">IFERROR(LEN(_xlfn.FORMULATEXT(Soal!J61)),0)</f>
        <v>60</v>
      </c>
      <c r="R12">
        <f ca="1">IFERROR(LEN(_xlfn.FORMULATEXT(Soal!K61)),0)</f>
        <v>24</v>
      </c>
      <c r="S12">
        <f ca="1">IFERROR(LEN(_xlfn.FORMULATEXT(Soal!L61)),0)</f>
        <v>0</v>
      </c>
    </row>
    <row r="13" spans="1:30">
      <c r="B13" s="2">
        <v>12</v>
      </c>
      <c r="C13" s="2" t="str">
        <f>Soal!E62</f>
        <v>Pelajar</v>
      </c>
      <c r="D13" s="2" t="str">
        <f>UPPER(Soal!F62)</f>
        <v>BANDUNG</v>
      </c>
      <c r="E13" s="2">
        <f>Soal!G62</f>
        <v>14</v>
      </c>
      <c r="F13" s="2">
        <f>Soal!H62</f>
        <v>46177</v>
      </c>
      <c r="G13" s="2">
        <f>Soal!I62</f>
        <v>9</v>
      </c>
      <c r="H13" s="2" t="str">
        <f>UPPER(Soal!J62)</f>
        <v>PROSES</v>
      </c>
      <c r="I13" s="2">
        <f>Soal!K62</f>
        <v>13</v>
      </c>
      <c r="J13" s="2" t="str">
        <f>UPPER(Soal!L62)</f>
        <v>VALID</v>
      </c>
      <c r="M13">
        <f ca="1">IFERROR(LEN(_xlfn.FORMULATEXT(Soal!F62)),0)</f>
        <v>75</v>
      </c>
      <c r="N13">
        <f ca="1">IFERROR(LEN(_xlfn.FORMULATEXT(Soal!G62)),0)</f>
        <v>48</v>
      </c>
      <c r="O13">
        <f ca="1">IFERROR(LEN(_xlfn.FORMULATEXT(Soal!H62)),0)</f>
        <v>96</v>
      </c>
      <c r="P13">
        <f ca="1">IFERROR(LEN(_xlfn.FORMULATEXT(Soal!I62)),0)</f>
        <v>99</v>
      </c>
      <c r="Q13">
        <f ca="1">IFERROR(LEN(_xlfn.FORMULATEXT(Soal!J62)),0)</f>
        <v>60</v>
      </c>
      <c r="R13">
        <f ca="1">IFERROR(LEN(_xlfn.FORMULATEXT(Soal!K62)),0)</f>
        <v>24</v>
      </c>
      <c r="S13">
        <f ca="1">IFERROR(LEN(_xlfn.FORMULATEXT(Soal!L62)),0)</f>
        <v>0</v>
      </c>
    </row>
    <row r="14" spans="1:30">
      <c r="B14" s="2">
        <v>13</v>
      </c>
      <c r="C14" s="2" t="str">
        <f>Soal!E63</f>
        <v>Pelajar</v>
      </c>
      <c r="D14" s="2" t="str">
        <f>UPPER(Soal!F63)</f>
        <v>BALI</v>
      </c>
      <c r="E14" s="2">
        <f>Soal!G63</f>
        <v>12</v>
      </c>
      <c r="F14" s="2">
        <f>Soal!H63</f>
        <v>46179</v>
      </c>
      <c r="G14" s="2">
        <f>Soal!I63</f>
        <v>7</v>
      </c>
      <c r="H14" s="2" t="str">
        <f>UPPER(Soal!J63)</f>
        <v>PROSES</v>
      </c>
      <c r="I14" s="2">
        <f>Soal!K63</f>
        <v>11</v>
      </c>
      <c r="J14" s="2" t="str">
        <f>UPPER(Soal!L63)</f>
        <v>VALID</v>
      </c>
      <c r="M14">
        <f ca="1">IFERROR(LEN(_xlfn.FORMULATEXT(Soal!F63)),0)</f>
        <v>75</v>
      </c>
      <c r="N14">
        <f ca="1">IFERROR(LEN(_xlfn.FORMULATEXT(Soal!G63)),0)</f>
        <v>48</v>
      </c>
      <c r="O14">
        <f ca="1">IFERROR(LEN(_xlfn.FORMULATEXT(Soal!H63)),0)</f>
        <v>96</v>
      </c>
      <c r="P14">
        <f ca="1">IFERROR(LEN(_xlfn.FORMULATEXT(Soal!I63)),0)</f>
        <v>99</v>
      </c>
      <c r="Q14">
        <f ca="1">IFERROR(LEN(_xlfn.FORMULATEXT(Soal!J63)),0)</f>
        <v>60</v>
      </c>
      <c r="R14">
        <f ca="1">IFERROR(LEN(_xlfn.FORMULATEXT(Soal!K63)),0)</f>
        <v>24</v>
      </c>
      <c r="S14">
        <f ca="1">IFERROR(LEN(_xlfn.FORMULATEXT(Soal!L63)),0)</f>
        <v>0</v>
      </c>
    </row>
    <row r="15" spans="1:30">
      <c r="B15" s="2">
        <v>14</v>
      </c>
      <c r="C15" s="2" t="str">
        <f>Soal!E64</f>
        <v>Kerja</v>
      </c>
      <c r="D15" s="2" t="str">
        <f>UPPER(Soal!F64)</f>
        <v>JAKARTA</v>
      </c>
      <c r="E15" s="2">
        <f>Soal!G64</f>
        <v>7</v>
      </c>
      <c r="F15" s="2">
        <f>Soal!H64</f>
        <v>46175</v>
      </c>
      <c r="G15" s="2">
        <f>Soal!I64</f>
        <v>5</v>
      </c>
      <c r="H15" s="2" t="str">
        <f>UPPER(Soal!J64)</f>
        <v>PROSES</v>
      </c>
      <c r="I15" s="2">
        <f>Soal!K64</f>
        <v>9</v>
      </c>
      <c r="J15" s="2" t="str">
        <f>UPPER(Soal!L64)</f>
        <v>INVALID</v>
      </c>
      <c r="M15">
        <f ca="1">IFERROR(LEN(_xlfn.FORMULATEXT(Soal!F64)),0)</f>
        <v>75</v>
      </c>
      <c r="N15">
        <f ca="1">IFERROR(LEN(_xlfn.FORMULATEXT(Soal!G64)),0)</f>
        <v>48</v>
      </c>
      <c r="O15">
        <f ca="1">IFERROR(LEN(_xlfn.FORMULATEXT(Soal!H64)),0)</f>
        <v>96</v>
      </c>
      <c r="P15">
        <f ca="1">IFERROR(LEN(_xlfn.FORMULATEXT(Soal!I64)),0)</f>
        <v>99</v>
      </c>
      <c r="Q15">
        <f ca="1">IFERROR(LEN(_xlfn.FORMULATEXT(Soal!J64)),0)</f>
        <v>60</v>
      </c>
      <c r="R15">
        <f ca="1">IFERROR(LEN(_xlfn.FORMULATEXT(Soal!K64)),0)</f>
        <v>24</v>
      </c>
      <c r="S15">
        <f ca="1">IFERROR(LEN(_xlfn.FORMULATEXT(Soal!L64)),0)</f>
        <v>0</v>
      </c>
    </row>
    <row r="16" spans="1:30">
      <c r="B16" s="2">
        <v>15</v>
      </c>
      <c r="C16" s="2" t="str">
        <f>Soal!E65</f>
        <v>Kerja</v>
      </c>
      <c r="D16" s="2" t="str">
        <f>UPPER(Soal!F65)</f>
        <v>BANDUNG</v>
      </c>
      <c r="E16" s="2">
        <f>Soal!G65</f>
        <v>14</v>
      </c>
      <c r="F16" s="2">
        <f>Soal!H65</f>
        <v>46164</v>
      </c>
      <c r="G16" s="2">
        <f>Soal!I65</f>
        <v>2</v>
      </c>
      <c r="H16" s="2" t="str">
        <f>UPPER(Soal!J65)</f>
        <v>URGENT</v>
      </c>
      <c r="I16" s="2">
        <f>Soal!K65</f>
        <v>6</v>
      </c>
      <c r="J16" s="2" t="str">
        <f>UPPER(Soal!L65)</f>
        <v>VALID</v>
      </c>
      <c r="M16">
        <f ca="1">IFERROR(LEN(_xlfn.FORMULATEXT(Soal!F65)),0)</f>
        <v>75</v>
      </c>
      <c r="N16">
        <f ca="1">IFERROR(LEN(_xlfn.FORMULATEXT(Soal!G65)),0)</f>
        <v>48</v>
      </c>
      <c r="O16">
        <f ca="1">IFERROR(LEN(_xlfn.FORMULATEXT(Soal!H65)),0)</f>
        <v>96</v>
      </c>
      <c r="P16">
        <f ca="1">IFERROR(LEN(_xlfn.FORMULATEXT(Soal!I65)),0)</f>
        <v>99</v>
      </c>
      <c r="Q16">
        <f ca="1">IFERROR(LEN(_xlfn.FORMULATEXT(Soal!J65)),0)</f>
        <v>60</v>
      </c>
      <c r="R16">
        <f ca="1">IFERROR(LEN(_xlfn.FORMULATEXT(Soal!K65)),0)</f>
        <v>24</v>
      </c>
      <c r="S16">
        <f ca="1">IFERROR(LEN(_xlfn.FORMULATEXT(Soal!L65)),0)</f>
        <v>0</v>
      </c>
    </row>
    <row r="17" spans="2:19">
      <c r="B17" s="2">
        <v>16</v>
      </c>
      <c r="C17" s="2" t="str">
        <f>Soal!E66</f>
        <v>Pelajar</v>
      </c>
      <c r="D17" s="2" t="str">
        <f>UPPER(Soal!F66)</f>
        <v>JAKARTA</v>
      </c>
      <c r="E17" s="2">
        <f>Soal!G66</f>
        <v>7</v>
      </c>
      <c r="F17" s="2">
        <f>Soal!H66</f>
        <v>46153</v>
      </c>
      <c r="G17" s="2">
        <f>Soal!I66</f>
        <v>-5</v>
      </c>
      <c r="H17" s="2" t="str">
        <f>UPPER(Soal!J66)</f>
        <v>EXPIRED</v>
      </c>
      <c r="I17" s="2">
        <f>Soal!K66</f>
        <v>2</v>
      </c>
      <c r="J17" s="2" t="str">
        <f>UPPER(Soal!L66)</f>
        <v>INVALID</v>
      </c>
      <c r="M17">
        <f ca="1">IFERROR(LEN(_xlfn.FORMULATEXT(Soal!F66)),0)</f>
        <v>75</v>
      </c>
      <c r="N17">
        <f ca="1">IFERROR(LEN(_xlfn.FORMULATEXT(Soal!G66)),0)</f>
        <v>48</v>
      </c>
      <c r="O17">
        <f ca="1">IFERROR(LEN(_xlfn.FORMULATEXT(Soal!H66)),0)</f>
        <v>96</v>
      </c>
      <c r="P17">
        <f ca="1">IFERROR(LEN(_xlfn.FORMULATEXT(Soal!I66)),0)</f>
        <v>99</v>
      </c>
      <c r="Q17">
        <f ca="1">IFERROR(LEN(_xlfn.FORMULATEXT(Soal!J66)),0)</f>
        <v>60</v>
      </c>
      <c r="R17">
        <f ca="1">IFERROR(LEN(_xlfn.FORMULATEXT(Soal!K66)),0)</f>
        <v>24</v>
      </c>
      <c r="S17">
        <f ca="1">IFERROR(LEN(_xlfn.FORMULATEXT(Soal!L66)),0)</f>
        <v>0</v>
      </c>
    </row>
    <row r="18" spans="2:19">
      <c r="B18" s="2"/>
      <c r="C18" s="2"/>
      <c r="D18" s="2"/>
      <c r="E18" s="2"/>
      <c r="F18" s="2"/>
      <c r="G18" s="2"/>
      <c r="H18" s="2"/>
      <c r="I18" s="2"/>
    </row>
    <row r="21" spans="2:19">
      <c r="C21" s="2"/>
      <c r="D21" s="2">
        <f>IFERROR(CODE(LEFT(D2))+CODE(LEFT(D3))+CODE(LEFT(D4))+CODE(LEFT(D5))+CODE(LEFT(D6))+CODE(LEFT(D7))+CODE(LEFT(D8))+CODE(LEFT(D9))+CODE(LEFT(D10))+CODE(LEFT(D11))+CODE(LEFT(D12))+CODE(LEFT(D13))+CODE(LEFT(D14))+CODE(LEFT(D15))+CODE(LEFT(D16))+CODE(LEFT(D17))+
CODE(RIGHT(D2))+CODE(RIGHT(D3))+CODE(RIGHT(D4))+CODE(RIGHT(D5))+CODE(RIGHT(D6))+CODE(RIGHT(D7))+CODE(RIGHT(D8))+CODE(RIGHT(D9))+CODE(RIGHT(D10))+CODE(RIGHT(D11))+CODE(RIGHT(D12))+CODE(RIGHT(D13))+CODE(RIGHT(D14))+CODE(RIGHT(D15))+CODE(RIGHT(D16))+CODE(RIGHT(D17))+CODE(MID(D4,3,1))+CODE(MID(D7,3,1))+CODE(MID(D11,3,1))+CODE(MID(D16,3,1)),0)</f>
        <v>2581</v>
      </c>
      <c r="E21" s="2">
        <f t="shared" ref="E21:I21" si="0">SUM(E2:E17,E3,E5,E8,E11,E14,E17,E10)</f>
        <v>268</v>
      </c>
      <c r="F21" s="2">
        <f t="shared" si="0"/>
        <v>1061903</v>
      </c>
      <c r="G21" s="2">
        <f t="shared" si="0"/>
        <v>89</v>
      </c>
      <c r="H21" s="2">
        <f>IFERROR(CODE(LEFT(H2))+CODE(LEFT(H3))+CODE(LEFT(H4))+CODE(LEFT(H5))+CODE(LEFT(H6))+CODE(LEFT(H7))+CODE(LEFT(H8))+CODE(LEFT(H9))+CODE(LEFT(H10))+CODE(LEFT(H11))+CODE(LEFT(H12))+CODE(LEFT(H13))+CODE(LEFT(H14))+CODE(LEFT(H15))+CODE(LEFT(H16))+CODE(LEFT(H17))+
CODE(RIGHT(H2))+CODE(RIGHT(H3))+CODE(RIGHT(H4))+CODE(RIGHT(H5))+CODE(RIGHT(H6))+CODE(RIGHT(H7))+CODE(RIGHT(H8))+CODE(RIGHT(H9))+CODE(RIGHT(H10))+CODE(RIGHT(H11))+CODE(RIGHT(H12))+CODE(RIGHT(H13))+CODE(RIGHT(H14))+CODE(RIGHT(H15))+CODE(RIGHT(H16))+CODE(RIGHT(H17))+CODE(MID(H4,3,1))+CODE(MID(H7,3,1))+CODE(MID(H11,3,1))+CODE(MID(H16,3,1)),0)</f>
        <v>2822</v>
      </c>
      <c r="I21" s="2">
        <f t="shared" si="0"/>
        <v>197</v>
      </c>
      <c r="J21" s="2">
        <f>IFERROR(CODE(LEFT(J2))+CODE(LEFT(J3))+CODE(LEFT(J4))+CODE(LEFT(J5))+CODE(LEFT(J6))+CODE(LEFT(J7))+CODE(LEFT(J8))+CODE(LEFT(J9))+CODE(LEFT(J10))+CODE(LEFT(J11))+CODE(LEFT(J12))+CODE(LEFT(J13))+CODE(LEFT(J14))+CODE(LEFT(J15))+CODE(LEFT(J16))+CODE(LEFT(J17))+
CODE(RIGHT(J2))+CODE(RIGHT(J3))+CODE(RIGHT(J4))+CODE(RIGHT(J5))+CODE(RIGHT(J6))+CODE(RIGHT(J7))+CODE(RIGHT(J8))+CODE(RIGHT(J9))+CODE(RIGHT(J10))+CODE(RIGHT(J11))+CODE(RIGHT(J12))+CODE(RIGHT(J13))+CODE(RIGHT(J14))+CODE(RIGHT(J15))+CODE(RIGHT(J16))+CODE(RIGHT(J17))+CODE(MID(J4,3,1))+CODE(MID(J7,3,1))+CODE(MID(J11,3,1))+CODE(MID(J16,3,1)),0)</f>
        <v>2697</v>
      </c>
      <c r="M21" t="b">
        <f t="shared" ref="M21:R21" ca="1" si="1">AVERAGE(M2:M18)=M2</f>
        <v>1</v>
      </c>
      <c r="N21" t="b">
        <f t="shared" ca="1" si="1"/>
        <v>1</v>
      </c>
      <c r="O21" t="b">
        <f t="shared" ca="1" si="1"/>
        <v>1</v>
      </c>
      <c r="P21" t="b">
        <f t="shared" ca="1" si="1"/>
        <v>1</v>
      </c>
      <c r="Q21" t="b">
        <f t="shared" ca="1" si="1"/>
        <v>1</v>
      </c>
      <c r="R21" t="b">
        <f t="shared" ca="1" si="1"/>
        <v>1</v>
      </c>
      <c r="S21" t="b">
        <f t="shared" ref="S21" ca="1" si="2">AVERAGE(S2:S18)=S2</f>
        <v>0</v>
      </c>
    </row>
    <row r="22" spans="2:19">
      <c r="C22" s="2"/>
      <c r="D22" s="2"/>
      <c r="K22" t="s">
        <v>25</v>
      </c>
      <c r="M22" t="b">
        <f t="shared" ref="M22:S22" ca="1" si="3">AND(M2&gt;0,M6=0,D6&gt;0)</f>
        <v>0</v>
      </c>
      <c r="N22" t="b">
        <f t="shared" ca="1" si="3"/>
        <v>0</v>
      </c>
      <c r="O22" t="b">
        <f t="shared" ca="1" si="3"/>
        <v>0</v>
      </c>
      <c r="P22" t="b">
        <f t="shared" ca="1" si="3"/>
        <v>0</v>
      </c>
      <c r="Q22" t="b">
        <f t="shared" ca="1" si="3"/>
        <v>0</v>
      </c>
      <c r="R22" t="b">
        <f t="shared" ca="1" si="3"/>
        <v>0</v>
      </c>
      <c r="S22" t="b">
        <f t="shared" ca="1" si="3"/>
        <v>1</v>
      </c>
    </row>
    <row r="23" spans="2:19">
      <c r="K23" t="s">
        <v>26</v>
      </c>
      <c r="M23" t="b">
        <f t="shared" ref="M23:R23" ca="1" si="4">IFERROR(OR(M21:M22),FALSE)</f>
        <v>1</v>
      </c>
      <c r="N23" t="b">
        <f t="shared" ca="1" si="4"/>
        <v>1</v>
      </c>
      <c r="O23" t="b">
        <f t="shared" ca="1" si="4"/>
        <v>1</v>
      </c>
      <c r="P23" t="b">
        <f t="shared" ca="1" si="4"/>
        <v>1</v>
      </c>
      <c r="Q23" t="b">
        <f t="shared" ca="1" si="4"/>
        <v>1</v>
      </c>
      <c r="R23" t="b">
        <f t="shared" ca="1" si="4"/>
        <v>1</v>
      </c>
      <c r="S23" t="b">
        <f t="shared" ref="S23" ca="1" si="5">IFERROR(OR(S21:S22),FALSE)</f>
        <v>1</v>
      </c>
    </row>
    <row r="24" spans="2:19">
      <c r="B24" t="s">
        <v>24</v>
      </c>
      <c r="D24">
        <v>8683</v>
      </c>
      <c r="E24">
        <v>9973</v>
      </c>
      <c r="F24">
        <v>5366</v>
      </c>
      <c r="G24">
        <v>2573</v>
      </c>
      <c r="H24">
        <v>7931</v>
      </c>
      <c r="I24">
        <v>3832</v>
      </c>
      <c r="J24">
        <v>4871</v>
      </c>
    </row>
    <row r="26" spans="2:19">
      <c r="B26" t="b">
        <v>1</v>
      </c>
      <c r="D26" t="str">
        <f t="shared" ref="D26:I26" si="6">LEFT(DEC2HEX(D24+COLUMN()+1000),2)</f>
        <v>25</v>
      </c>
      <c r="E26" t="str">
        <f t="shared" si="6"/>
        <v>2A</v>
      </c>
      <c r="F26" t="str">
        <f t="shared" si="6"/>
        <v>18</v>
      </c>
      <c r="G26" t="str">
        <f t="shared" si="6"/>
        <v>DF</v>
      </c>
      <c r="H26" t="str">
        <f t="shared" si="6"/>
        <v>22</v>
      </c>
      <c r="I26" t="str">
        <f t="shared" si="6"/>
        <v>12</v>
      </c>
      <c r="J26" t="str">
        <f t="shared" ref="J26" si="7">LEFT(DEC2HEX(J24+COLUMN()+1000),2)</f>
        <v>16</v>
      </c>
    </row>
    <row r="27" spans="2:19">
      <c r="B27" t="b">
        <v>0</v>
      </c>
      <c r="D27" t="str">
        <f t="shared" ref="D27:I27" si="8">RIGHT(DEC2HEX(D24+COLUMN()+2),2)</f>
        <v>F1</v>
      </c>
      <c r="E27" t="str">
        <f t="shared" si="8"/>
        <v>FC</v>
      </c>
      <c r="F27" t="str">
        <f t="shared" si="8"/>
        <v>FE</v>
      </c>
      <c r="G27" t="str">
        <f t="shared" si="8"/>
        <v>16</v>
      </c>
      <c r="H27" t="str">
        <f t="shared" si="8"/>
        <v>05</v>
      </c>
      <c r="I27" t="str">
        <f t="shared" si="8"/>
        <v>03</v>
      </c>
      <c r="J27" t="str">
        <f t="shared" ref="J27" si="9">RIGHT(DEC2HEX(J24+COLUMN()+2),2)</f>
        <v>13</v>
      </c>
    </row>
    <row r="29" spans="2:19">
      <c r="B29" t="s">
        <v>27</v>
      </c>
      <c r="D29" t="b">
        <f t="shared" ref="D29:I29" si="10">IF(AND(D2="",D2=0),FALSE,TRUE)</f>
        <v>1</v>
      </c>
      <c r="E29" t="b">
        <f t="shared" si="10"/>
        <v>1</v>
      </c>
      <c r="F29" t="b">
        <f t="shared" si="10"/>
        <v>1</v>
      </c>
      <c r="G29" t="b">
        <f t="shared" si="10"/>
        <v>1</v>
      </c>
      <c r="H29" t="b">
        <f t="shared" si="10"/>
        <v>1</v>
      </c>
      <c r="I29" t="b">
        <f t="shared" si="10"/>
        <v>1</v>
      </c>
      <c r="J29" t="b">
        <f t="shared" ref="J29" si="11">IF(AND(J2="",J2=0),FALSE,TRUE)</f>
        <v>1</v>
      </c>
    </row>
    <row r="30" spans="2:19">
      <c r="B30" t="s">
        <v>28</v>
      </c>
      <c r="D30" t="b">
        <f ca="1">AND(ISNUMBER(FIND("=",X2)),OR(ISNUMBER(FIND("(",X2)),ISNUMBER(FIND("-",X2))))</f>
        <v>1</v>
      </c>
      <c r="E30" t="b">
        <f t="shared" ref="E30:J30" ca="1" si="12">AND(ISNUMBER(FIND("=",Y2)),OR(ISNUMBER(FIND("(",Y2)),ISNUMBER(FIND("-",Y2))))</f>
        <v>1</v>
      </c>
      <c r="F30" t="b">
        <f t="shared" ca="1" si="12"/>
        <v>1</v>
      </c>
      <c r="G30" t="b">
        <f t="shared" ca="1" si="12"/>
        <v>1</v>
      </c>
      <c r="H30" t="b">
        <f t="shared" ca="1" si="12"/>
        <v>1</v>
      </c>
      <c r="I30" t="b">
        <f t="shared" ca="1" si="12"/>
        <v>1</v>
      </c>
      <c r="J30" t="b">
        <f t="shared" ca="1" si="12"/>
        <v>1</v>
      </c>
    </row>
    <row r="31" spans="2:19">
      <c r="D31" t="b">
        <f t="shared" ref="D31:J31" ca="1" si="13">M23</f>
        <v>1</v>
      </c>
      <c r="E31" t="b">
        <f t="shared" ca="1" si="13"/>
        <v>1</v>
      </c>
      <c r="F31" t="b">
        <f t="shared" ca="1" si="13"/>
        <v>1</v>
      </c>
      <c r="G31" t="b">
        <f t="shared" ca="1" si="13"/>
        <v>1</v>
      </c>
      <c r="H31" t="b">
        <f t="shared" ca="1" si="13"/>
        <v>1</v>
      </c>
      <c r="I31" t="b">
        <f t="shared" ca="1" si="13"/>
        <v>1</v>
      </c>
      <c r="J31" t="b">
        <f t="shared" ca="1" si="13"/>
        <v>1</v>
      </c>
    </row>
    <row r="33" spans="2:18">
      <c r="B33" t="s">
        <v>29</v>
      </c>
      <c r="D33" t="b">
        <f t="shared" ref="D33:J33" ca="1" si="14">AND(D29:D31)</f>
        <v>1</v>
      </c>
      <c r="E33" t="b">
        <f t="shared" ca="1" si="14"/>
        <v>1</v>
      </c>
      <c r="F33" t="b">
        <f t="shared" ca="1" si="14"/>
        <v>1</v>
      </c>
      <c r="G33" t="b">
        <f t="shared" ca="1" si="14"/>
        <v>1</v>
      </c>
      <c r="H33" t="b">
        <f t="shared" ca="1" si="14"/>
        <v>1</v>
      </c>
      <c r="I33" t="b">
        <f t="shared" ca="1" si="14"/>
        <v>1</v>
      </c>
      <c r="J33" t="b">
        <f t="shared" ca="1" si="14"/>
        <v>1</v>
      </c>
    </row>
    <row r="35" spans="2:18">
      <c r="B35" t="s">
        <v>30</v>
      </c>
      <c r="D35" t="b">
        <f ca="1">OR(ISNUMBER(FIND("SWI",X2)),ISNUMBER(FIND("IF",X2)))</f>
        <v>1</v>
      </c>
      <c r="E35" t="b">
        <f ca="1">OR(ISNUMBER(FIND("SWI",Y2)),ISNUMBER(FIND("IF",Y2)))</f>
        <v>1</v>
      </c>
      <c r="F35" t="b">
        <f ca="1">OR(ISNUMBER(FIND("RKD",Z2)),ISNUMBER(FIND("NTL",Z2)))</f>
        <v>1</v>
      </c>
      <c r="G35" t="b">
        <f ca="1">OR(ISNUMBER(FIND("-",AA2)),ISNUMBER(FIND("DAY",AA2)))</f>
        <v>1</v>
      </c>
      <c r="H35" t="b">
        <f ca="1">OR(ISNUMBER(FIND("SWI",AB2)),ISNUMBER(FIND("IF",AB2)))</f>
        <v>1</v>
      </c>
      <c r="I35" t="b">
        <f ca="1">AND(ISNUMBER(FIND("ANK",AC2)))</f>
        <v>1</v>
      </c>
      <c r="J35" t="b">
        <f ca="1">AND(ISNUMBER(FIND("IF",AD2)),ISNUMBER(FIND("RKD",AD2)))</f>
        <v>1</v>
      </c>
      <c r="M35" t="s">
        <v>35</v>
      </c>
      <c r="N35" t="s">
        <v>36</v>
      </c>
      <c r="R35" t="s">
        <v>34</v>
      </c>
    </row>
    <row r="36" spans="2:18">
      <c r="B36" t="s">
        <v>31</v>
      </c>
      <c r="D36">
        <f t="shared" ref="D36:J36" ca="1" si="15">IFERROR(LEN(X2)-LEN(SUBSTITUTE(X2,"(","")),99)</f>
        <v>2</v>
      </c>
      <c r="E36">
        <f t="shared" ca="1" si="15"/>
        <v>2</v>
      </c>
      <c r="F36">
        <f t="shared" ca="1" si="15"/>
        <v>2</v>
      </c>
      <c r="G36">
        <f t="shared" ca="1" si="15"/>
        <v>2</v>
      </c>
      <c r="H36">
        <f t="shared" ca="1" si="15"/>
        <v>1</v>
      </c>
      <c r="I36">
        <f t="shared" ca="1" si="15"/>
        <v>1</v>
      </c>
      <c r="J36">
        <f t="shared" ca="1" si="15"/>
        <v>3</v>
      </c>
    </row>
    <row r="37" spans="2:18">
      <c r="D37">
        <v>3</v>
      </c>
      <c r="E37">
        <v>3</v>
      </c>
      <c r="F37">
        <v>4</v>
      </c>
      <c r="G37">
        <v>1</v>
      </c>
      <c r="H37">
        <v>2</v>
      </c>
      <c r="I37">
        <v>1</v>
      </c>
      <c r="J37">
        <v>5</v>
      </c>
    </row>
    <row r="38" spans="2:18">
      <c r="D38" t="b">
        <f t="shared" ref="D38:J38" ca="1" si="16">D36&lt;=D37</f>
        <v>1</v>
      </c>
      <c r="E38" t="b">
        <f t="shared" ca="1" si="16"/>
        <v>1</v>
      </c>
      <c r="F38" t="b">
        <f t="shared" ca="1" si="16"/>
        <v>1</v>
      </c>
      <c r="G38" t="b">
        <f t="shared" ca="1" si="16"/>
        <v>0</v>
      </c>
      <c r="H38" t="b">
        <f t="shared" ca="1" si="16"/>
        <v>1</v>
      </c>
      <c r="I38" t="b">
        <f t="shared" ca="1" si="16"/>
        <v>1</v>
      </c>
      <c r="J38" t="b">
        <f t="shared" ca="1" si="16"/>
        <v>1</v>
      </c>
    </row>
    <row r="40" spans="2:18">
      <c r="B40" t="s">
        <v>29</v>
      </c>
      <c r="D40" t="b">
        <f t="shared" ref="D40:J40" ca="1" si="17">AND(D38,D35,D59)</f>
        <v>1</v>
      </c>
      <c r="E40" t="b">
        <f t="shared" ca="1" si="17"/>
        <v>1</v>
      </c>
      <c r="F40" t="b">
        <f t="shared" ca="1" si="17"/>
        <v>1</v>
      </c>
      <c r="G40" t="b">
        <f t="shared" ca="1" si="17"/>
        <v>0</v>
      </c>
      <c r="H40" t="b">
        <f t="shared" ca="1" si="17"/>
        <v>1</v>
      </c>
      <c r="I40" t="b">
        <f t="shared" ca="1" si="17"/>
        <v>1</v>
      </c>
      <c r="J40" t="b">
        <f t="shared" ca="1" si="17"/>
        <v>1</v>
      </c>
    </row>
    <row r="43" spans="2:18">
      <c r="B43" t="s">
        <v>32</v>
      </c>
      <c r="D43" t="str">
        <f t="shared" ref="D43:I43" ca="1" si="18">IFERROR(DEC2HEX(IF(D33,D21,D24)),"EEE")</f>
        <v>A15</v>
      </c>
      <c r="E43" t="str">
        <f t="shared" ca="1" si="18"/>
        <v>10C</v>
      </c>
      <c r="F43" t="str">
        <f t="shared" ca="1" si="18"/>
        <v>10340F</v>
      </c>
      <c r="G43" t="str">
        <f t="shared" ca="1" si="18"/>
        <v>59</v>
      </c>
      <c r="H43" t="str">
        <f t="shared" ca="1" si="18"/>
        <v>B06</v>
      </c>
      <c r="I43" t="str">
        <f t="shared" ca="1" si="18"/>
        <v>C5</v>
      </c>
      <c r="J43" t="str">
        <f t="shared" ref="J43" ca="1" si="19">IFERROR(DEC2HEX(IF(J33,J21,J24)),"EEE")</f>
        <v>A89</v>
      </c>
    </row>
    <row r="44" spans="2:18">
      <c r="B44" t="s">
        <v>33</v>
      </c>
      <c r="D44" t="str">
        <f t="shared" ref="D44:I44" ca="1" si="20">IF(D40,D26,D27)</f>
        <v>25</v>
      </c>
      <c r="E44" t="str">
        <f t="shared" ca="1" si="20"/>
        <v>2A</v>
      </c>
      <c r="F44" t="str">
        <f t="shared" ca="1" si="20"/>
        <v>18</v>
      </c>
      <c r="G44" t="str">
        <f t="shared" ca="1" si="20"/>
        <v>16</v>
      </c>
      <c r="H44" t="str">
        <f t="shared" ca="1" si="20"/>
        <v>22</v>
      </c>
      <c r="I44" t="str">
        <f t="shared" ca="1" si="20"/>
        <v>12</v>
      </c>
      <c r="J44" t="str">
        <f t="shared" ref="J44" ca="1" si="21">IF(J40,J26,J27)</f>
        <v>16</v>
      </c>
    </row>
    <row r="46" spans="2:18">
      <c r="D46" t="str">
        <f t="shared" ref="D46:H46" ca="1" si="22">D44&amp;"-"&amp;D43&amp;";"</f>
        <v>25-A15;</v>
      </c>
      <c r="E46" t="str">
        <f t="shared" ca="1" si="22"/>
        <v>2A-10C;</v>
      </c>
      <c r="F46" t="str">
        <f t="shared" ca="1" si="22"/>
        <v>18-10340F;</v>
      </c>
      <c r="G46" t="str">
        <f t="shared" ca="1" si="22"/>
        <v>16-59;</v>
      </c>
      <c r="H46" t="str">
        <f t="shared" ca="1" si="22"/>
        <v>22-B06;</v>
      </c>
      <c r="I46" t="str">
        <f ca="1">I44&amp;"-"&amp;I43&amp;";"</f>
        <v>12-C5;</v>
      </c>
      <c r="J46" t="str">
        <f ca="1">J44&amp;"-"&amp;J43</f>
        <v>16-A89</v>
      </c>
    </row>
    <row r="48" spans="2:18">
      <c r="C48" t="str">
        <f ca="1">A2&amp;"|"&amp;D46&amp;E46&amp;F46&amp;G46&amp;H46&amp;I46&amp;J46</f>
        <v>HL2|25-A15;2A-10C;18-10340F;16-59;22-B06;12-C5;16-A89</v>
      </c>
    </row>
    <row r="50" spans="3:3">
      <c r="C50" t="str" cm="1">
        <f t="array" aca="1" ref="C50" ca="1">INDIRECT(M35&amp;N35&amp;R35)</f>
        <v>HL2|25-A15;2A-10C;18-10340F;16-59;22-B06;12-C5;16-A89</v>
      </c>
    </row>
    <row r="52" spans="3:3">
      <c r="C52" t="str">
        <f ca="1">C50</f>
        <v>HL2|25-A15;2A-10C;18-10340F;16-59;22-B06;12-C5;16-A89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Soal</vt:lpstr>
      <vt:lpstr>About</vt:lpstr>
      <vt:lpstr>Holiday</vt:lpstr>
      <vt:lpstr>DF!kamujuga</vt:lpstr>
      <vt:lpstr>kode_jawaban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setiadi</dc:creator>
  <cp:lastModifiedBy>Siti Rukoyah Al Munazalah</cp:lastModifiedBy>
  <dcterms:created xsi:type="dcterms:W3CDTF">2025-01-25T11:10:28Z</dcterms:created>
  <dcterms:modified xsi:type="dcterms:W3CDTF">2026-06-14T02:53:59Z</dcterms:modified>
</cp:coreProperties>
</file>