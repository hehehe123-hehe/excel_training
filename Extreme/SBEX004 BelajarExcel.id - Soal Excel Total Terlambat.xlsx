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40" documentId="8_{30CE4EA0-EBEC-4951-B7F0-080D0917B6D2}" xr6:coauthVersionLast="47" xr6:coauthVersionMax="47" xr10:uidLastSave="{90525BCD-AFAE-4747-84D5-07320708E997}"/>
  <workbookProtection workbookAlgorithmName="SHA-512" workbookHashValue="dK0qkrjgkTqUb/ZiyMHOG5B9t5xpJvnHPLj6a7zQ1PTE+uwSpoyQU38iQ04y37vYFeaFkumkEUJdNKNm4PdoGg==" workbookSaltValue="oAQO4B9d8Tkak/YNopGGaA==" workbookSpinCount="100000" lockStructure="1"/>
  <bookViews>
    <workbookView xWindow="-108" yWindow="-108" windowWidth="23256" windowHeight="12456" xr2:uid="{D998C868-8C02-4750-9AED-0471B14729D2}"/>
  </bookViews>
  <sheets>
    <sheet name="XL-test" sheetId="2" r:id="rId1"/>
    <sheet name="Absensi" sheetId="1" r:id="rId2"/>
    <sheet name="DF" sheetId="3" state="hidden" r:id="rId3"/>
  </sheets>
  <definedNames>
    <definedName name="kode_jawaban">DF!$C$8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E7" i="2"/>
  <c r="E8" i="2" a="1"/>
  <c r="E8" i="2"/>
  <c r="E9" i="2" a="1"/>
  <c r="E9" i="2"/>
  <c r="E10" i="2" a="1"/>
  <c r="E10" i="2"/>
  <c r="E11" i="2" a="1"/>
  <c r="E11" i="2"/>
  <c r="E12" i="2" a="1"/>
  <c r="E12" i="2"/>
  <c r="E13" i="2" a="1"/>
  <c r="E13" i="2"/>
  <c r="E6" i="2" a="1"/>
  <c r="E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D6" i="2"/>
  <c r="C6" i="2"/>
  <c r="F7" i="2" a="1"/>
  <c r="F7" i="2"/>
  <c r="G7" i="2" a="1"/>
  <c r="G7" i="2"/>
  <c r="F8" i="2" a="1"/>
  <c r="F8" i="2"/>
  <c r="G8" i="2" a="1"/>
  <c r="G8" i="2"/>
  <c r="F9" i="2" a="1"/>
  <c r="F9" i="2"/>
  <c r="G9" i="2" a="1"/>
  <c r="G9" i="2"/>
  <c r="F10" i="2" a="1"/>
  <c r="F10" i="2"/>
  <c r="G10" i="2" a="1"/>
  <c r="G10" i="2"/>
  <c r="F11" i="2" a="1"/>
  <c r="F11" i="2"/>
  <c r="G11" i="2" a="1"/>
  <c r="G11" i="2"/>
  <c r="F12" i="2" a="1"/>
  <c r="F12" i="2"/>
  <c r="G12" i="2" a="1"/>
  <c r="G12" i="2"/>
  <c r="F13" i="2" a="1"/>
  <c r="F13" i="2"/>
  <c r="G13" i="2" a="1"/>
  <c r="G13" i="2"/>
  <c r="G6" i="2" a="1"/>
  <c r="G6" i="2"/>
  <c r="F6" i="2" a="1"/>
  <c r="F6" i="2"/>
  <c r="P6" i="3"/>
  <c r="P5" i="3"/>
  <c r="P4" i="3"/>
  <c r="P3" i="3"/>
  <c r="P2" i="3"/>
  <c r="E6" i="3"/>
  <c r="D6" i="3"/>
  <c r="C6" i="3"/>
  <c r="E5" i="3"/>
  <c r="D5" i="3"/>
  <c r="C5" i="3"/>
  <c r="D4" i="3"/>
  <c r="E4" i="3"/>
  <c r="E3" i="3"/>
  <c r="D3" i="3"/>
  <c r="C3" i="3"/>
  <c r="E2" i="3"/>
  <c r="D2" i="3"/>
  <c r="C2" i="3"/>
  <c r="F5" i="3"/>
  <c r="F6" i="3" l="1"/>
  <c r="F3" i="3"/>
  <c r="F2" i="3"/>
  <c r="H6" i="3"/>
  <c r="H5" i="3"/>
  <c r="G5" i="3" s="1"/>
  <c r="H4" i="3"/>
  <c r="H3" i="3"/>
  <c r="G3" i="3" s="1"/>
  <c r="H2" i="3"/>
  <c r="G2" i="3" s="1"/>
  <c r="C4" i="3"/>
  <c r="F4" i="3"/>
  <c r="G6" i="3" l="1"/>
  <c r="G4" i="3"/>
  <c r="I3" i="3"/>
  <c r="J3" i="3"/>
  <c r="I5" i="3"/>
  <c r="J5" i="3"/>
  <c r="I2" i="3"/>
  <c r="J2" i="3"/>
  <c r="K3" i="3" l="1"/>
  <c r="L3" i="3" s="1"/>
  <c r="K2" i="3"/>
  <c r="L2" i="3" s="1"/>
  <c r="K5" i="3"/>
  <c r="L5" i="3" s="1"/>
  <c r="I6" i="3"/>
  <c r="J6" i="3"/>
  <c r="K6" i="3" s="1"/>
  <c r="J4" i="3"/>
  <c r="I4" i="3"/>
  <c r="K4" i="3" s="1"/>
  <c r="L4" i="3" s="1"/>
  <c r="L6" i="3" l="1"/>
  <c r="C8" i="3" s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<sst xmlns="http://schemas.openxmlformats.org/spreadsheetml/2006/main" count="53" uniqueCount="40">
  <si>
    <t>KODE SOAL</t>
  </si>
  <si>
    <t>SBEX004</t>
  </si>
  <si>
    <t>KODE JAWABAN</t>
  </si>
  <si>
    <t>Nama</t>
  </si>
  <si>
    <t>Jumlah Tepat Waktu</t>
  </si>
  <si>
    <t>Jumlah Terlambat</t>
  </si>
  <si>
    <t>Terlambat Berturut</t>
  </si>
  <si>
    <t>Jumlah Terlambat Berturut</t>
  </si>
  <si>
    <t>Poin Terlambat</t>
  </si>
  <si>
    <t>Mira</t>
  </si>
  <si>
    <t>Chandra</t>
  </si>
  <si>
    <t>Dina</t>
  </si>
  <si>
    <t>Hendra</t>
  </si>
  <si>
    <t>Fajar</t>
  </si>
  <si>
    <t>Bella</t>
  </si>
  <si>
    <t>Guntur</t>
  </si>
  <si>
    <t>Eva</t>
  </si>
  <si>
    <r>
      <t xml:space="preserve">Kirimkan Kode Jawaban diatas ke alamat :  </t>
    </r>
    <r>
      <rPr>
        <b/>
        <sz val="11"/>
        <color rgb="FF0070C0"/>
        <rFont val="Aptos Narrow"/>
        <family val="2"/>
        <scheme val="minor"/>
      </rPr>
      <t>https://belajarexcel.id/xl-test/</t>
    </r>
    <r>
      <rPr>
        <sz val="11"/>
        <color theme="1"/>
        <rFont val="Aptos Narrow"/>
        <family val="2"/>
        <scheme val="minor"/>
      </rPr>
      <t xml:space="preserve">  untuk mengecek hasil jawaban</t>
    </r>
  </si>
  <si>
    <t>Soal</t>
  </si>
  <si>
    <t xml:space="preserve">Berapa hari jumlah masuk tepat waku? Masuk &lt;= jam 7.00
</t>
  </si>
  <si>
    <t>Contoh : Mira masuk tepat waktu di tanggal 1,2,6,8,10,13,14,17,20,24,27,28,30 (lihat tabel di Absensi).</t>
  </si>
  <si>
    <r>
      <t xml:space="preserve">Jumlah masuk tepat waktu adalah </t>
    </r>
    <r>
      <rPr>
        <b/>
        <sz val="11"/>
        <color theme="1"/>
        <rFont val="Aptos Narrow"/>
        <family val="2"/>
        <scheme val="minor"/>
      </rPr>
      <t>13</t>
    </r>
  </si>
  <si>
    <t xml:space="preserve">Berapa hari jumlah terlambat datang? Masuk lebih dari jam 7.00
</t>
  </si>
  <si>
    <t>Contoh : Mira terlambat di tanggal 3,7,9,15,16,21,22,23,29,31 (lihat tabel di Absensi).</t>
  </si>
  <si>
    <r>
      <t xml:space="preserve">Jumlah terlambat adalah </t>
    </r>
    <r>
      <rPr>
        <b/>
        <sz val="11"/>
        <color theme="1"/>
        <rFont val="Aptos Narrow"/>
        <family val="2"/>
        <scheme val="minor"/>
      </rPr>
      <t>10</t>
    </r>
  </si>
  <si>
    <r>
      <t xml:space="preserve">Copyright </t>
    </r>
    <r>
      <rPr>
        <sz val="9"/>
        <color theme="1"/>
        <rFont val="Calibri"/>
        <family val="2"/>
      </rPr>
      <t>© 2025 | BelajarExcel.id</t>
    </r>
  </si>
  <si>
    <t xml:space="preserve">Berapa hari jumlah terlambat datang secara berturut-turut paling banyak?
</t>
  </si>
  <si>
    <t xml:space="preserve">Tanggal yang berurutan adalah 15,16 dan 21,22,23. </t>
  </si>
  <si>
    <r>
      <t xml:space="preserve">Jumlah terlambat berturut paling banyak adalah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.</t>
    </r>
  </si>
  <si>
    <t xml:space="preserve">Berapa kali para murid terlambat datang secara berturut-turut?
</t>
  </si>
  <si>
    <r>
      <t xml:space="preserve">Total terlambat berturut-turut adalah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</t>
    </r>
  </si>
  <si>
    <t>Berapa total poin keterlambatan tiap murid?</t>
  </si>
  <si>
    <t>Bila terlambat hanya 1 kali, maka poin yang didapat adalah 1. Namun jika terlambat 2 kali/lebih berturut-turut, maka poin untuk hari ke-1 adalah 1, dan hari-hari berikutnya 2.</t>
  </si>
  <si>
    <r>
      <t xml:space="preserve">Maka poin Mira adalah 1+1+1+1+2+1+2+2+1+1 = </t>
    </r>
    <r>
      <rPr>
        <b/>
        <sz val="11"/>
        <color theme="1"/>
        <rFont val="Aptos Narrow"/>
        <family val="2"/>
        <scheme val="minor"/>
      </rPr>
      <t>13</t>
    </r>
  </si>
  <si>
    <t>Waktu Kedatangan Murid</t>
  </si>
  <si>
    <t>DEF</t>
  </si>
  <si>
    <t>F/Value</t>
  </si>
  <si>
    <t>Fcek</t>
  </si>
  <si>
    <t>F/C</t>
  </si>
  <si>
    <t>DEF2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</si>
</sst>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8" tint="0.3999755851924192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0" fontId="0" fillId="0" borderId="1" xfId="0" applyNumberForma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0" fillId="4" borderId="2" xfId="0" applyFill="1" applyBorder="1" applyAlignment="1">
      <alignment horizontal="center"/>
    </xf>
    <xf numFmtId="0" fontId="6" fillId="0" borderId="0" xfId="0" applyFont="1"/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belajarexcel.i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1455420</xdr:colOff>
      <xdr:row>20</xdr:row>
      <xdr:rowOff>160021</xdr:rowOff>
    </xdr:from>
    <xdr:to>
      <xdr:col>7</xdr:col>
      <xdr:colOff>91440</xdr:colOff>
      <xdr:row>24</xdr:row>
      <xdr:rowOff>95693</xdr:rowOff>
    </xdr:to>
    <xdr:pic>
      <xdr:nvPicPr>
        <xdr:cNvPr id="2" name="Picture 1" descr="A black background with white text&#10;&#10;AI-generated content may be incorrect.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2C7E8-DBBC-4689-A227-9013893A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9160" y="4549141"/>
          <a:ext cx="1882140" cy="667192"/>
        </a:xfrm>
        <a:prstGeom prst="rect">
          <a:avLst/>
        </a:prstGeom>
      </xdr:spPr>
    </xdr:pic>
    <xdr:clientData/>
  </xdr:twoCellAnchor>
  <xdr:twoCellAnchor>
    <xdr:from>
      <xdr:col>4</xdr:col>
      <xdr:colOff>1211580</xdr:colOff>
      <xdr:row>13</xdr:row>
      <xdr:rowOff>152400</xdr:rowOff>
    </xdr:from>
    <xdr:to>
      <xdr:col>5</xdr:col>
      <xdr:colOff>1150620</xdr:colOff>
      <xdr:row>15</xdr:row>
      <xdr:rowOff>53340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5BDC22-5405-4F59-99FC-B8E7D0E772A4}"/>
            </a:ext>
          </a:extLst>
        </xdr:cNvPr>
        <xdr:cNvSpPr/>
      </xdr:nvSpPr>
      <xdr:spPr>
        <a:xfrm flipH="1">
          <a:off x="6416040" y="3261360"/>
          <a:ext cx="179832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F0E1-A301-4180-8AAB-C7C3BD188C59}">
  <dimension ref="B2:G39"/>
  <sheetViews>
    <sheetView tabSelected="1" topLeftCell="B1" workbookViewId="0">
      <selection activeCell="E2" sqref="E2"/>
    </sheetView>
  </sheetViews>
  <sheetFormatPr defaultRowHeight="14.45"/>
  <cols>
    <col min="1" max="1" width="6.28515625" customWidth="1"/>
    <col min="2" max="2" width="17.28515625" customWidth="1"/>
    <col min="3" max="3" width="29.140625" customWidth="1"/>
    <col min="4" max="4" width="23.28515625" customWidth="1"/>
    <col min="5" max="5" width="27.140625" customWidth="1"/>
    <col min="6" max="6" width="22.85546875" customWidth="1"/>
    <col min="7" max="7" width="24.42578125" customWidth="1"/>
  </cols>
  <sheetData>
    <row r="2" spans="2:7" ht="18">
      <c r="B2" s="8" t="s">
        <v>0</v>
      </c>
      <c r="C2" s="9" t="s">
        <v>1</v>
      </c>
      <c r="D2" s="8" t="s">
        <v>2</v>
      </c>
      <c r="E2" s="9" t="str">
        <f ca="1">kode_jawaban</f>
        <v>DEF2|7B01-7B701;A881-48A81;8381-13881;F181-11F81;1081-60181</v>
      </c>
    </row>
    <row r="4" spans="2:7">
      <c r="C4" s="4">
        <v>1</v>
      </c>
      <c r="D4" s="4">
        <v>2</v>
      </c>
      <c r="E4" s="4">
        <v>3</v>
      </c>
      <c r="F4" s="4">
        <v>4</v>
      </c>
      <c r="G4" s="4">
        <v>5</v>
      </c>
    </row>
    <row r="5" spans="2:7" ht="25.15" customHeight="1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spans="2:7" ht="19.899999999999999" customHeight="1">
      <c r="B6" s="6" t="s">
        <v>9</v>
      </c>
      <c r="C6" s="13">
        <f>COUNTIF(Absensi!C4:AG4,"&lt;=7.00")</f>
        <v>13</v>
      </c>
      <c r="D6" s="13">
        <f>COUNTIF(Absensi!C4:AG4,"&gt;7.00")</f>
        <v>10</v>
      </c>
      <c r="E6" s="13" cm="1">
        <f t="array" ref="E6">_xlfn.LET(_xlpm._m,MAX(FREQUENCY(IF(Absensi!C4:AG4&gt;7/24,COLUMN(Absensi!C4:AG4)),IF(Absensi!C4:AG4&lt;=7/24,COLUMN(Absensi!C4:AG4)))),IF(_xlpm._m&gt;=2,_xlpm._m,0))</f>
        <v>3</v>
      </c>
      <c r="F6" s="13" cm="1">
        <f t="array" ref="F6">SUMPRODUCT((FREQUENCY(IF(Absensi!C4:AG4&gt;7/24,COLUMN(Absensi!C4:AG4)),IF(Absensi!C4:AG4&lt;=7/24,COLUMN(Absensi!C4:AG4)))&gt;=2)*1)</f>
        <v>2</v>
      </c>
      <c r="G6" s="13" cm="1">
        <f t="array" ref="G6">SUMPRODUCT((Absensi!C4:AG4&gt;7/24)*1)+SUMPRODUCT((Absensi!C4:AG4&gt;7/24)*(Absensi!D4:AH4&gt;7/24)*1)</f>
        <v>13</v>
      </c>
    </row>
    <row r="7" spans="2:7" ht="19.899999999999999" customHeight="1">
      <c r="B7" s="6" t="s">
        <v>10</v>
      </c>
      <c r="C7" s="13">
        <f>COUNTIF(Absensi!C5:AG5,"&lt;=7.00")</f>
        <v>14</v>
      </c>
      <c r="D7" s="13">
        <f>COUNTIF(Absensi!C5:AG5,"&gt;7.00")</f>
        <v>8</v>
      </c>
      <c r="E7" s="13" cm="1">
        <f t="array" ref="E7">_xlfn.LET(_xlpm._m,MAX(FREQUENCY(IF(Absensi!C5:AG5&gt;7/24,COLUMN(Absensi!C5:AG5)),IF(Absensi!C5:AG5&lt;=7/24,COLUMN(Absensi!C5:AG5)))),IF(_xlpm._m&gt;=2,_xlpm._m,0))</f>
        <v>2</v>
      </c>
      <c r="F7" s="13" cm="1">
        <f t="array" ref="F7">SUMPRODUCT((FREQUENCY(IF(Absensi!C5:AG5&gt;7/24,COLUMN(Absensi!C5:AG5)),IF(Absensi!C5:AG5&lt;=7/24,COLUMN(Absensi!C5:AG5)))&gt;=2)*1)</f>
        <v>2</v>
      </c>
      <c r="G7" s="13" cm="1">
        <f t="array" ref="G7">SUMPRODUCT((Absensi!C5:AG5&gt;7/24)*1)+SUMPRODUCT((Absensi!C5:AG5&gt;7/24)*(Absensi!D5:AH5&gt;7/24)*1)</f>
        <v>10</v>
      </c>
    </row>
    <row r="8" spans="2:7" ht="19.899999999999999" customHeight="1">
      <c r="B8" s="6" t="s">
        <v>11</v>
      </c>
      <c r="C8" s="13">
        <f>COUNTIF(Absensi!C6:AG6,"&lt;=7.00")</f>
        <v>13</v>
      </c>
      <c r="D8" s="13">
        <f>COUNTIF(Absensi!C6:AG6,"&gt;7.00")</f>
        <v>10</v>
      </c>
      <c r="E8" s="13" cm="1">
        <f t="array" ref="E8">_xlfn.LET(_xlpm._m,MAX(FREQUENCY(IF(Absensi!C6:AG6&gt;7/24,COLUMN(Absensi!C6:AG6)),IF(Absensi!C6:AG6&lt;=7/24,COLUMN(Absensi!C6:AG6)))),IF(_xlpm._m&gt;=2,_xlpm._m,0))</f>
        <v>3</v>
      </c>
      <c r="F8" s="13" cm="1">
        <f t="array" ref="F8">SUMPRODUCT((FREQUENCY(IF(Absensi!C6:AG6&gt;7/24,COLUMN(Absensi!C6:AG6)),IF(Absensi!C6:AG6&lt;=7/24,COLUMN(Absensi!C6:AG6)))&gt;=2)*1)</f>
        <v>3</v>
      </c>
      <c r="G8" s="13" cm="1">
        <f t="array" ref="G8">SUMPRODUCT((Absensi!C6:AG6&gt;7/24)*1)+SUMPRODUCT((Absensi!C6:AG6&gt;7/24)*(Absensi!D6:AH6&gt;7/24)*1)</f>
        <v>14</v>
      </c>
    </row>
    <row r="9" spans="2:7" ht="19.899999999999999" customHeight="1">
      <c r="B9" s="6" t="s">
        <v>12</v>
      </c>
      <c r="C9" s="13">
        <f>COUNTIF(Absensi!C7:AG7,"&lt;=7.00")</f>
        <v>15</v>
      </c>
      <c r="D9" s="13">
        <f>COUNTIF(Absensi!C7:AG7,"&gt;7.00")</f>
        <v>8</v>
      </c>
      <c r="E9" s="13" cm="1">
        <f t="array" ref="E9">_xlfn.LET(_xlpm._m,MAX(FREQUENCY(IF(Absensi!C7:AG7&gt;7/24,COLUMN(Absensi!C7:AG7)),IF(Absensi!C7:AG7&lt;=7/24,COLUMN(Absensi!C7:AG7)))),IF(_xlpm._m&gt;=2,_xlpm._m,0))</f>
        <v>2</v>
      </c>
      <c r="F9" s="13" cm="1">
        <f t="array" ref="F9">SUMPRODUCT((FREQUENCY(IF(Absensi!C7:AG7&gt;7/24,COLUMN(Absensi!C7:AG7)),IF(Absensi!C7:AG7&lt;=7/24,COLUMN(Absensi!C7:AG7)))&gt;=2)*1)</f>
        <v>2</v>
      </c>
      <c r="G9" s="13" cm="1">
        <f t="array" ref="G9">SUMPRODUCT((Absensi!C7:AG7&gt;7/24)*1)+SUMPRODUCT((Absensi!C7:AG7&gt;7/24)*(Absensi!D7:AH7&gt;7/24)*1)</f>
        <v>10</v>
      </c>
    </row>
    <row r="10" spans="2:7" ht="19.899999999999999" customHeight="1">
      <c r="B10" s="6" t="s">
        <v>13</v>
      </c>
      <c r="C10" s="13">
        <f>COUNTIF(Absensi!C8:AG8,"&lt;=7.00")</f>
        <v>17</v>
      </c>
      <c r="D10" s="13">
        <f>COUNTIF(Absensi!C8:AG8,"&gt;7.00")</f>
        <v>6</v>
      </c>
      <c r="E10" s="13" cm="1">
        <f t="array" ref="E10">_xlfn.LET(_xlpm._m,MAX(FREQUENCY(IF(Absensi!C8:AG8&gt;7/24,COLUMN(Absensi!C8:AG8)),IF(Absensi!C8:AG8&lt;=7/24,COLUMN(Absensi!C8:AG8)))),IF(_xlpm._m&gt;=2,_xlpm._m,0))</f>
        <v>0</v>
      </c>
      <c r="F10" s="13" cm="1">
        <f t="array" ref="F10">SUMPRODUCT((FREQUENCY(IF(Absensi!C8:AG8&gt;7/24,COLUMN(Absensi!C8:AG8)),IF(Absensi!C8:AG8&lt;=7/24,COLUMN(Absensi!C8:AG8)))&gt;=2)*1)</f>
        <v>0</v>
      </c>
      <c r="G10" s="13" cm="1">
        <f t="array" ref="G10">SUMPRODUCT((Absensi!C8:AG8&gt;7/24)*1)+SUMPRODUCT((Absensi!C8:AG8&gt;7/24)*(Absensi!D8:AH8&gt;7/24)*1)</f>
        <v>6</v>
      </c>
    </row>
    <row r="11" spans="2:7" ht="19.899999999999999" customHeight="1">
      <c r="B11" s="6" t="s">
        <v>14</v>
      </c>
      <c r="C11" s="13">
        <f>COUNTIF(Absensi!C9:AG9,"&lt;=7.00")</f>
        <v>12</v>
      </c>
      <c r="D11" s="13">
        <f>COUNTIF(Absensi!C9:AG9,"&gt;7.00")</f>
        <v>11</v>
      </c>
      <c r="E11" s="13" cm="1">
        <f t="array" ref="E11">_xlfn.LET(_xlpm._m,MAX(FREQUENCY(IF(Absensi!C9:AG9&gt;7/24,COLUMN(Absensi!C9:AG9)),IF(Absensi!C9:AG9&lt;=7/24,COLUMN(Absensi!C9:AG9)))),IF(_xlpm._m&gt;=2,_xlpm._m,0))</f>
        <v>3</v>
      </c>
      <c r="F11" s="13" cm="1">
        <f t="array" ref="F11">SUMPRODUCT((FREQUENCY(IF(Absensi!C9:AG9&gt;7/24,COLUMN(Absensi!C9:AG9)),IF(Absensi!C9:AG9&lt;=7/24,COLUMN(Absensi!C9:AG9)))&gt;=2)*1)</f>
        <v>3</v>
      </c>
      <c r="G11" s="13" cm="1">
        <f t="array" ref="G11">SUMPRODUCT((Absensi!C9:AG9&gt;7/24)*1)+SUMPRODUCT((Absensi!C9:AG9&gt;7/24)*(Absensi!D9:AH9&gt;7/24)*1)</f>
        <v>17</v>
      </c>
    </row>
    <row r="12" spans="2:7" ht="19.899999999999999" customHeight="1">
      <c r="B12" s="6" t="s">
        <v>15</v>
      </c>
      <c r="C12" s="13">
        <f>COUNTIF(Absensi!C10:AG10,"&lt;=7.00")</f>
        <v>12</v>
      </c>
      <c r="D12" s="13">
        <f>COUNTIF(Absensi!C10:AG10,"&gt;7.00")</f>
        <v>10</v>
      </c>
      <c r="E12" s="13" cm="1">
        <f t="array" ref="E12">_xlfn.LET(_xlpm._m,MAX(FREQUENCY(IF(Absensi!C10:AG10&gt;7/24,COLUMN(Absensi!C10:AG10)),IF(Absensi!C10:AG10&lt;=7/24,COLUMN(Absensi!C10:AG10)))),IF(_xlpm._m&gt;=2,_xlpm._m,0))</f>
        <v>3</v>
      </c>
      <c r="F12" s="13" cm="1">
        <f t="array" ref="F12">SUMPRODUCT((FREQUENCY(IF(Absensi!C10:AG10&gt;7/24,COLUMN(Absensi!C10:AG10)),IF(Absensi!C10:AG10&lt;=7/24,COLUMN(Absensi!C10:AG10)))&gt;=2)*1)</f>
        <v>3</v>
      </c>
      <c r="G12" s="13" cm="1">
        <f t="array" ref="G12">SUMPRODUCT((Absensi!C10:AG10&gt;7/24)*1)+SUMPRODUCT((Absensi!C10:AG10&gt;7/24)*(Absensi!D10:AH10&gt;7/24)*1)</f>
        <v>14</v>
      </c>
    </row>
    <row r="13" spans="2:7" ht="19.899999999999999" customHeight="1">
      <c r="B13" s="6" t="s">
        <v>16</v>
      </c>
      <c r="C13" s="13">
        <f>COUNTIF(Absensi!C11:AG11,"&lt;=7.00")</f>
        <v>17</v>
      </c>
      <c r="D13" s="13">
        <f>COUNTIF(Absensi!C11:AG11,"&gt;7.00")</f>
        <v>6</v>
      </c>
      <c r="E13" s="13" cm="1">
        <f t="array" ref="E13">_xlfn.LET(_xlpm._m,MAX(FREQUENCY(IF(Absensi!C11:AG11&gt;7/24,COLUMN(Absensi!C11:AG11)),IF(Absensi!C11:AG11&lt;=7/24,COLUMN(Absensi!C11:AG11)))),IF(_xlpm._m&gt;=2,_xlpm._m,0))</f>
        <v>2</v>
      </c>
      <c r="F13" s="13" cm="1">
        <f t="array" ref="F13">SUMPRODUCT((FREQUENCY(IF(Absensi!C11:AG11&gt;7/24,COLUMN(Absensi!C11:AG11)),IF(Absensi!C11:AG11&lt;=7/24,COLUMN(Absensi!C11:AG11)))&gt;=2)*1)</f>
        <v>2</v>
      </c>
      <c r="G13" s="13" cm="1">
        <f t="array" ref="G13">SUMPRODUCT((Absensi!C11:AG11&gt;7/24)*1)+SUMPRODUCT((Absensi!C11:AG11&gt;7/24)*(Absensi!D11:AH11&gt;7/24)*1)</f>
        <v>8</v>
      </c>
    </row>
    <row r="15" spans="2:7">
      <c r="B15" t="s">
        <v>17</v>
      </c>
    </row>
    <row r="17" spans="2:7">
      <c r="B17" s="7" t="s">
        <v>18</v>
      </c>
    </row>
    <row r="18" spans="2:7">
      <c r="B18">
        <v>1</v>
      </c>
      <c r="C18" s="11" t="s">
        <v>19</v>
      </c>
    </row>
    <row r="19" spans="2:7">
      <c r="C19" t="s">
        <v>20</v>
      </c>
    </row>
    <row r="20" spans="2:7">
      <c r="C20" t="s">
        <v>21</v>
      </c>
    </row>
    <row r="22" spans="2:7">
      <c r="B22">
        <v>2</v>
      </c>
      <c r="C22" s="11" t="s">
        <v>22</v>
      </c>
    </row>
    <row r="23" spans="2:7">
      <c r="C23" t="s">
        <v>23</v>
      </c>
    </row>
    <row r="24" spans="2:7">
      <c r="C24" t="s">
        <v>24</v>
      </c>
    </row>
    <row r="25" spans="2:7">
      <c r="G25" s="14" t="s">
        <v>25</v>
      </c>
    </row>
    <row r="26" spans="2:7">
      <c r="B26">
        <v>3</v>
      </c>
      <c r="C26" s="11" t="s">
        <v>26</v>
      </c>
    </row>
    <row r="27" spans="2:7">
      <c r="C27" t="s">
        <v>23</v>
      </c>
    </row>
    <row r="28" spans="2:7">
      <c r="C28" t="s">
        <v>27</v>
      </c>
    </row>
    <row r="29" spans="2:7">
      <c r="C29" t="s">
        <v>28</v>
      </c>
    </row>
    <row r="31" spans="2:7" ht="14.45" customHeight="1">
      <c r="B31">
        <v>4</v>
      </c>
      <c r="C31" s="11" t="s">
        <v>29</v>
      </c>
      <c r="D31" s="10"/>
      <c r="E31" s="10"/>
      <c r="F31" s="10"/>
      <c r="G31" s="10"/>
    </row>
    <row r="32" spans="2:7">
      <c r="C32" t="s">
        <v>23</v>
      </c>
    </row>
    <row r="33" spans="2:3">
      <c r="C33" t="s">
        <v>27</v>
      </c>
    </row>
    <row r="34" spans="2:3">
      <c r="C34" t="s">
        <v>30</v>
      </c>
    </row>
    <row r="36" spans="2:3">
      <c r="B36">
        <v>5</v>
      </c>
      <c r="C36" s="12" t="s">
        <v>31</v>
      </c>
    </row>
    <row r="37" spans="2:3">
      <c r="C37" t="s">
        <v>32</v>
      </c>
    </row>
    <row r="38" spans="2:3">
      <c r="C38" t="s">
        <v>23</v>
      </c>
    </row>
    <row r="39" spans="2:3">
      <c r="C39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B269-1F6A-4E84-A008-A8C85ED6C670}">
  <dimension ref="B1:AG11"/>
  <sheetViews>
    <sheetView showGridLines="0" topLeftCell="B1" workbookViewId="0">
      <selection activeCell="F4" sqref="F4"/>
    </sheetView>
  </sheetViews>
  <sheetFormatPr defaultRowHeight="14.45"/>
  <cols>
    <col min="2" max="2" width="10.140625" customWidth="1"/>
    <col min="3" max="33" width="5.85546875" customWidth="1"/>
  </cols>
  <sheetData>
    <row r="1" spans="2:33" ht="25.9" customHeight="1">
      <c r="B1" s="15" t="s">
        <v>34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2:33" ht="20.45" customHeight="1"/>
    <row r="3" spans="2:33" ht="16.149999999999999" customHeight="1">
      <c r="B3" s="1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</row>
    <row r="4" spans="2:33">
      <c r="B4" s="1" t="s">
        <v>9</v>
      </c>
      <c r="C4" s="3">
        <v>0.28125</v>
      </c>
      <c r="D4" s="3">
        <v>0.28888888888888886</v>
      </c>
      <c r="E4" s="3">
        <v>0.2986111111111111</v>
      </c>
      <c r="F4" s="3"/>
      <c r="G4" s="3"/>
      <c r="H4" s="3">
        <v>0.28472222222222221</v>
      </c>
      <c r="I4" s="3">
        <v>0.2951388888888889</v>
      </c>
      <c r="J4" s="3">
        <v>0.28958333333333336</v>
      </c>
      <c r="K4" s="3">
        <v>0.30208333333333331</v>
      </c>
      <c r="L4" s="3">
        <v>0.27083333333333331</v>
      </c>
      <c r="M4" s="3"/>
      <c r="N4" s="3"/>
      <c r="O4" s="3">
        <v>0.29166666666666669</v>
      </c>
      <c r="P4" s="3">
        <v>0.28611111111111109</v>
      </c>
      <c r="Q4" s="3">
        <v>0.30902777777777779</v>
      </c>
      <c r="R4" s="3">
        <v>0.30416666666666664</v>
      </c>
      <c r="S4" s="3">
        <v>0.27916666666666667</v>
      </c>
      <c r="T4" s="3"/>
      <c r="U4" s="3"/>
      <c r="V4" s="3">
        <v>0.27291666666666664</v>
      </c>
      <c r="W4" s="3">
        <v>0.3</v>
      </c>
      <c r="X4" s="3">
        <v>0.30833333333333335</v>
      </c>
      <c r="Y4" s="3">
        <v>0.30486111111111114</v>
      </c>
      <c r="Z4" s="3">
        <v>0.28333333333333333</v>
      </c>
      <c r="AA4" s="3"/>
      <c r="AB4" s="3"/>
      <c r="AC4" s="3">
        <v>0.27430555555555558</v>
      </c>
      <c r="AD4" s="3">
        <v>0.28055555555555556</v>
      </c>
      <c r="AE4" s="3">
        <v>0.30138888888888887</v>
      </c>
      <c r="AF4" s="3">
        <v>0.28541666666666665</v>
      </c>
      <c r="AG4" s="3">
        <v>0.29652777777777778</v>
      </c>
    </row>
    <row r="5" spans="2:33">
      <c r="B5" s="1" t="s">
        <v>10</v>
      </c>
      <c r="C5" s="3">
        <v>0.27291666666666664</v>
      </c>
      <c r="D5" s="3">
        <v>0.3</v>
      </c>
      <c r="E5" s="3">
        <v>0.30833333333333335</v>
      </c>
      <c r="F5" s="3"/>
      <c r="G5" s="3"/>
      <c r="H5" s="3">
        <v>0.27916666666666667</v>
      </c>
      <c r="I5" s="3">
        <v>0.27638888888888891</v>
      </c>
      <c r="J5" s="3">
        <v>0.28402777777777777</v>
      </c>
      <c r="K5" s="3">
        <v>0.29791666666666666</v>
      </c>
      <c r="L5" s="3">
        <v>0.29236111111111113</v>
      </c>
      <c r="M5" s="3"/>
      <c r="N5" s="3"/>
      <c r="O5" s="3">
        <v>0.28263888888888888</v>
      </c>
      <c r="P5" s="3">
        <v>0.29722222222222222</v>
      </c>
      <c r="Q5" s="3">
        <v>0.27083333333333331</v>
      </c>
      <c r="R5" s="3">
        <v>0.29375000000000001</v>
      </c>
      <c r="S5" s="3">
        <v>0.28819444444444442</v>
      </c>
      <c r="T5" s="3"/>
      <c r="U5" s="3"/>
      <c r="V5" s="3">
        <v>0.2986111111111111</v>
      </c>
      <c r="W5" s="3">
        <v>0.27777777777777779</v>
      </c>
      <c r="X5" s="3">
        <v>0.27986111111111112</v>
      </c>
      <c r="Y5" s="3">
        <v>0.28611111111111109</v>
      </c>
      <c r="Z5" s="3">
        <v>0.30277777777777776</v>
      </c>
      <c r="AA5" s="3"/>
      <c r="AB5" s="3"/>
      <c r="AC5" s="3">
        <v>0.2902777777777778</v>
      </c>
      <c r="AD5" s="3">
        <v>0.27847222222222223</v>
      </c>
      <c r="AE5" s="3">
        <v>0.27430555555555558</v>
      </c>
      <c r="AF5" s="3"/>
      <c r="AG5" s="3">
        <v>0.27361111111111114</v>
      </c>
    </row>
    <row r="6" spans="2:33">
      <c r="B6" s="1" t="s">
        <v>11</v>
      </c>
      <c r="C6" s="3">
        <v>0.30208333333333331</v>
      </c>
      <c r="D6" s="3">
        <v>0.30486111111111114</v>
      </c>
      <c r="E6" s="3">
        <v>0.27291666666666664</v>
      </c>
      <c r="F6" s="3"/>
      <c r="G6" s="3"/>
      <c r="H6" s="3">
        <v>0.29722222222222222</v>
      </c>
      <c r="I6" s="3">
        <v>0.28263888888888888</v>
      </c>
      <c r="J6" s="3">
        <v>0.28749999999999998</v>
      </c>
      <c r="K6" s="3">
        <v>0.27638888888888891</v>
      </c>
      <c r="L6" s="3">
        <v>0.28888888888888886</v>
      </c>
      <c r="M6" s="3"/>
      <c r="N6" s="3"/>
      <c r="O6" s="3">
        <v>0.2951388888888889</v>
      </c>
      <c r="P6" s="3">
        <v>0.3</v>
      </c>
      <c r="Q6" s="3">
        <v>0.2986111111111111</v>
      </c>
      <c r="R6" s="3">
        <v>0.28958333333333336</v>
      </c>
      <c r="S6" s="3">
        <v>0.27777777777777779</v>
      </c>
      <c r="T6" s="3"/>
      <c r="U6" s="3"/>
      <c r="V6" s="3">
        <v>0.28125</v>
      </c>
      <c r="W6" s="3">
        <v>0.29236111111111113</v>
      </c>
      <c r="X6" s="3">
        <v>0.28611111111111109</v>
      </c>
      <c r="Y6" s="3">
        <v>0.3034722222222222</v>
      </c>
      <c r="Z6" s="3">
        <v>0.27083333333333331</v>
      </c>
      <c r="AA6" s="3"/>
      <c r="AB6" s="3"/>
      <c r="AC6" s="3">
        <v>0.28819444444444442</v>
      </c>
      <c r="AD6" s="3">
        <v>0.30555555555555558</v>
      </c>
      <c r="AE6" s="3">
        <v>0.30277777777777776</v>
      </c>
      <c r="AF6" s="3">
        <v>0.27430555555555558</v>
      </c>
      <c r="AG6" s="3">
        <v>0.28402777777777777</v>
      </c>
    </row>
    <row r="7" spans="2:33">
      <c r="B7" s="1" t="s">
        <v>12</v>
      </c>
      <c r="C7" s="3">
        <v>0.3</v>
      </c>
      <c r="D7" s="3">
        <v>0.27291666666666664</v>
      </c>
      <c r="E7" s="3">
        <v>0.28819444444444442</v>
      </c>
      <c r="F7" s="3"/>
      <c r="G7" s="3"/>
      <c r="H7" s="3">
        <v>0.2951388888888889</v>
      </c>
      <c r="I7" s="3">
        <v>0.28611111111111109</v>
      </c>
      <c r="J7" s="3">
        <v>0.27083333333333331</v>
      </c>
      <c r="K7" s="3">
        <v>0.29236111111111113</v>
      </c>
      <c r="L7" s="3">
        <v>0.29791666666666666</v>
      </c>
      <c r="M7" s="3"/>
      <c r="N7" s="3"/>
      <c r="O7" s="3">
        <v>0.30208333333333331</v>
      </c>
      <c r="P7" s="3">
        <v>0.29930555555555555</v>
      </c>
      <c r="Q7" s="3">
        <v>0.28749999999999998</v>
      </c>
      <c r="R7" s="3">
        <v>0.27916666666666667</v>
      </c>
      <c r="S7" s="3">
        <v>0.2902777777777778</v>
      </c>
      <c r="T7" s="3"/>
      <c r="U7" s="3"/>
      <c r="V7" s="3">
        <v>0.28541666666666665</v>
      </c>
      <c r="W7" s="3">
        <v>0.30902777777777779</v>
      </c>
      <c r="X7" s="3">
        <v>0.27777777777777779</v>
      </c>
      <c r="Y7" s="3">
        <v>0.28263888888888888</v>
      </c>
      <c r="Z7" s="3">
        <v>0.27638888888888891</v>
      </c>
      <c r="AA7" s="3"/>
      <c r="AB7" s="3"/>
      <c r="AC7" s="3">
        <v>0.27569444444444446</v>
      </c>
      <c r="AD7" s="3">
        <v>0.29722222222222222</v>
      </c>
      <c r="AE7" s="3">
        <v>0.28333333333333333</v>
      </c>
      <c r="AF7" s="3">
        <v>0.27986111111111112</v>
      </c>
      <c r="AG7" s="3">
        <v>0.27847222222222223</v>
      </c>
    </row>
    <row r="8" spans="2:33">
      <c r="B8" s="1" t="s">
        <v>13</v>
      </c>
      <c r="C8" s="3">
        <v>0.27638888888888891</v>
      </c>
      <c r="D8" s="3">
        <v>0.28125</v>
      </c>
      <c r="E8" s="3">
        <v>0.27500000000000002</v>
      </c>
      <c r="F8" s="3"/>
      <c r="G8" s="3"/>
      <c r="H8" s="3">
        <v>0.27083333333333331</v>
      </c>
      <c r="I8" s="3">
        <v>0.28402777777777777</v>
      </c>
      <c r="J8" s="3">
        <v>0.29305555555555557</v>
      </c>
      <c r="K8" s="3">
        <v>0.27569444444444446</v>
      </c>
      <c r="L8" s="3">
        <v>0.27916666666666667</v>
      </c>
      <c r="M8" s="3"/>
      <c r="N8" s="3"/>
      <c r="O8" s="3">
        <v>0.27708333333333335</v>
      </c>
      <c r="P8" s="3">
        <v>0.28541666666666665</v>
      </c>
      <c r="Q8" s="3">
        <v>0.29652777777777778</v>
      </c>
      <c r="R8" s="3">
        <v>0.28819444444444442</v>
      </c>
      <c r="S8" s="3">
        <v>0.29375000000000001</v>
      </c>
      <c r="T8" s="3"/>
      <c r="U8" s="3"/>
      <c r="V8" s="3">
        <v>0.27777777777777779</v>
      </c>
      <c r="W8" s="3">
        <v>0.28749999999999998</v>
      </c>
      <c r="X8" s="3">
        <v>0.27430555555555558</v>
      </c>
      <c r="Y8" s="3">
        <v>0.29583333333333334</v>
      </c>
      <c r="Z8" s="3">
        <v>0.28680555555555554</v>
      </c>
      <c r="AA8" s="3"/>
      <c r="AB8" s="3"/>
      <c r="AC8" s="3">
        <v>0.29236111111111113</v>
      </c>
      <c r="AD8" s="3">
        <v>0.27986111111111112</v>
      </c>
      <c r="AE8" s="3">
        <v>0.27361111111111114</v>
      </c>
      <c r="AF8" s="3">
        <v>0.28888888888888886</v>
      </c>
      <c r="AG8" s="3">
        <v>0.29722222222222222</v>
      </c>
    </row>
    <row r="9" spans="2:33">
      <c r="B9" s="1" t="s">
        <v>14</v>
      </c>
      <c r="C9" s="3">
        <v>0.28402777777777777</v>
      </c>
      <c r="D9" s="3">
        <v>0.27083333333333331</v>
      </c>
      <c r="E9" s="3">
        <v>0.30208333333333331</v>
      </c>
      <c r="F9" s="3"/>
      <c r="G9" s="3"/>
      <c r="H9" s="3">
        <v>0.3034722222222222</v>
      </c>
      <c r="I9" s="3">
        <v>0.30694444444444446</v>
      </c>
      <c r="J9" s="3">
        <v>0.2951388888888889</v>
      </c>
      <c r="K9" s="3">
        <v>0.27291666666666664</v>
      </c>
      <c r="L9" s="3">
        <v>0.28541666666666665</v>
      </c>
      <c r="M9" s="3"/>
      <c r="N9" s="3"/>
      <c r="O9" s="3">
        <v>0.27638888888888891</v>
      </c>
      <c r="P9" s="3">
        <v>0.28819444444444442</v>
      </c>
      <c r="Q9" s="3">
        <v>0.29375000000000001</v>
      </c>
      <c r="R9" s="3">
        <v>0.29236111111111113</v>
      </c>
      <c r="S9" s="3">
        <v>0.3</v>
      </c>
      <c r="T9" s="3"/>
      <c r="U9" s="3"/>
      <c r="V9" s="3">
        <v>0.30069444444444443</v>
      </c>
      <c r="W9" s="3">
        <v>0.2986111111111111</v>
      </c>
      <c r="X9" s="3">
        <v>0.29652777777777778</v>
      </c>
      <c r="Y9" s="3">
        <v>0.27152777777777776</v>
      </c>
      <c r="Z9" s="3">
        <v>0.28749999999999998</v>
      </c>
      <c r="AA9" s="3"/>
      <c r="AB9" s="3"/>
      <c r="AC9" s="3">
        <v>0.27500000000000002</v>
      </c>
      <c r="AD9" s="3">
        <v>0.28263888888888888</v>
      </c>
      <c r="AE9" s="3">
        <v>0.29722222222222222</v>
      </c>
      <c r="AF9" s="3">
        <v>0.28611111111111109</v>
      </c>
      <c r="AG9" s="3">
        <v>0.28125</v>
      </c>
    </row>
    <row r="10" spans="2:33">
      <c r="B10" s="1" t="s">
        <v>15</v>
      </c>
      <c r="C10" s="3">
        <v>0.27083333333333331</v>
      </c>
      <c r="D10" s="3">
        <v>0.29236111111111113</v>
      </c>
      <c r="E10" s="3">
        <v>0.27638888888888891</v>
      </c>
      <c r="F10" s="3"/>
      <c r="G10" s="3"/>
      <c r="H10" s="3">
        <v>0.28402777777777777</v>
      </c>
      <c r="I10" s="3">
        <v>0.29722222222222222</v>
      </c>
      <c r="J10" s="3">
        <v>0.27291666666666664</v>
      </c>
      <c r="K10" s="3">
        <v>0.3034722222222222</v>
      </c>
      <c r="L10" s="3">
        <v>0.30138888888888887</v>
      </c>
      <c r="M10" s="3"/>
      <c r="N10" s="3"/>
      <c r="O10" s="3">
        <v>0.27569444444444446</v>
      </c>
      <c r="P10" s="3"/>
      <c r="Q10" s="3">
        <v>0.28611111111111109</v>
      </c>
      <c r="R10" s="3">
        <v>0.2902777777777778</v>
      </c>
      <c r="S10" s="3">
        <v>0.28263888888888888</v>
      </c>
      <c r="T10" s="3"/>
      <c r="U10" s="3"/>
      <c r="V10" s="3">
        <v>0.29375000000000001</v>
      </c>
      <c r="W10" s="3">
        <v>0.27430555555555558</v>
      </c>
      <c r="X10" s="3">
        <v>0.2986111111111111</v>
      </c>
      <c r="Y10" s="3">
        <v>0.30069444444444443</v>
      </c>
      <c r="Z10" s="3">
        <v>0.27777777777777779</v>
      </c>
      <c r="AA10" s="3"/>
      <c r="AB10" s="3"/>
      <c r="AC10" s="3">
        <v>0.28541666666666665</v>
      </c>
      <c r="AD10" s="3">
        <v>0.2951388888888889</v>
      </c>
      <c r="AE10" s="3">
        <v>0.30208333333333331</v>
      </c>
      <c r="AF10" s="3">
        <v>0.29930555555555555</v>
      </c>
      <c r="AG10" s="3">
        <v>0.28958333333333336</v>
      </c>
    </row>
    <row r="11" spans="2:33">
      <c r="B11" s="1" t="s">
        <v>16</v>
      </c>
      <c r="C11" s="3">
        <v>0.27986111111111112</v>
      </c>
      <c r="D11" s="3">
        <v>0.27500000000000002</v>
      </c>
      <c r="E11" s="3">
        <v>0.29236111111111113</v>
      </c>
      <c r="F11" s="3"/>
      <c r="G11" s="3"/>
      <c r="H11" s="3">
        <v>0.28125</v>
      </c>
      <c r="I11" s="3">
        <v>0.28333333333333333</v>
      </c>
      <c r="J11" s="3">
        <v>0.27777777777777779</v>
      </c>
      <c r="K11" s="3">
        <v>0.3</v>
      </c>
      <c r="L11" s="3">
        <v>0.29375000000000001</v>
      </c>
      <c r="M11" s="3"/>
      <c r="N11" s="3"/>
      <c r="O11" s="3">
        <v>0.28194444444444444</v>
      </c>
      <c r="P11" s="3">
        <v>0.28402777777777777</v>
      </c>
      <c r="Q11" s="3">
        <v>0.27638888888888891</v>
      </c>
      <c r="R11" s="3">
        <v>0.27152777777777776</v>
      </c>
      <c r="S11" s="3">
        <v>0.27083333333333331</v>
      </c>
      <c r="T11" s="3"/>
      <c r="U11" s="3"/>
      <c r="V11" s="3">
        <v>0.29166666666666669</v>
      </c>
      <c r="W11" s="3">
        <v>0.28888888888888886</v>
      </c>
      <c r="X11" s="3">
        <v>0.28749999999999998</v>
      </c>
      <c r="Y11" s="3">
        <v>0.2986111111111111</v>
      </c>
      <c r="Z11" s="3">
        <v>0.29930555555555555</v>
      </c>
      <c r="AA11" s="3"/>
      <c r="AB11" s="3"/>
      <c r="AC11" s="3">
        <v>0.29930555555555555</v>
      </c>
      <c r="AD11" s="3">
        <v>0.28680555555555554</v>
      </c>
      <c r="AE11" s="3">
        <v>0.27916666666666667</v>
      </c>
      <c r="AF11" s="3">
        <v>0.28472222222222221</v>
      </c>
      <c r="AG11" s="3">
        <v>0.2902777777777778</v>
      </c>
    </row>
  </sheetData>
  <mergeCells count="1">
    <mergeCell ref="B1:AG1"/>
  </mergeCells>
  <conditionalFormatting sqref="C4:AG11">
    <cfRule type="expression" dxfId="0" priority="1">
      <formula>C4&gt;7/24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3FE6-07A8-411A-BEDA-3F8F1704C6EA}">
  <dimension ref="A1:P8"/>
  <sheetViews>
    <sheetView workbookViewId="0">
      <selection activeCell="A3" sqref="A3"/>
    </sheetView>
  </sheetViews>
  <sheetFormatPr defaultRowHeight="14.45"/>
  <sheetData>
    <row r="1" spans="1:16">
      <c r="A1" t="s">
        <v>35</v>
      </c>
      <c r="C1" t="s">
        <v>36</v>
      </c>
      <c r="H1" t="s">
        <v>37</v>
      </c>
      <c r="I1" t="b">
        <v>1</v>
      </c>
      <c r="J1" t="b">
        <v>0</v>
      </c>
      <c r="K1" t="s">
        <v>38</v>
      </c>
    </row>
    <row r="2" spans="1:16">
      <c r="A2" t="s">
        <v>39</v>
      </c>
      <c r="C2">
        <f>'XL-test'!C6</f>
        <v>13</v>
      </c>
      <c r="D2">
        <f>'XL-test'!C9</f>
        <v>15</v>
      </c>
      <c r="E2">
        <f>'XL-test'!C13</f>
        <v>17</v>
      </c>
      <c r="F2">
        <f>SUM('XL-test'!C6:C13)</f>
        <v>113</v>
      </c>
      <c r="G2" t="str">
        <f ca="1">IF(C2=0,"AB10",DEC2HEX(SUM(C2:F2)*200)&amp;H2)</f>
        <v>7B701</v>
      </c>
      <c r="H2">
        <f ca="1">AND(ISNUMBER(FIND("C4",SUBSTITUTE(P2,"$",""))),ISNUMBER(FIND("(",P2)),ISNUMBER(FIND("=",P2)))+0</f>
        <v>1</v>
      </c>
      <c r="I2" t="str">
        <f ca="1">MID(G2,3,1)&amp;MID(G2,2,1)&amp;RIGHT(G2,2)</f>
        <v>7B01</v>
      </c>
      <c r="J2" t="str">
        <f ca="1">LEFT(G2,3)</f>
        <v>7B7</v>
      </c>
      <c r="K2" t="str">
        <f ca="1">IF(ISNUMBER(FIND("NTI",P2)),I2,J2)</f>
        <v>7B01</v>
      </c>
      <c r="L2" t="str">
        <f ca="1">K2&amp;"-"&amp;G2&amp;";"</f>
        <v>7B01-7B701;</v>
      </c>
      <c r="P2" t="str">
        <f ca="1">_xlfn.FORMULATEXT('XL-test'!C6)</f>
        <v>=COUNTIF(Absensi!C4:AG4;"&lt;=7.00")</v>
      </c>
    </row>
    <row r="3" spans="1:16">
      <c r="C3">
        <f>'XL-test'!D6</f>
        <v>10</v>
      </c>
      <c r="D3">
        <f>'XL-test'!D9</f>
        <v>8</v>
      </c>
      <c r="E3">
        <f>'XL-test'!D13</f>
        <v>6</v>
      </c>
      <c r="F3">
        <f>SUM('XL-test'!D6:D13)</f>
        <v>69</v>
      </c>
      <c r="G3" t="str">
        <f ca="1">IF(C3=0,"BC10",DEC2HEX(SUM(C3:F3)*200)&amp;H3)</f>
        <v>48A81</v>
      </c>
      <c r="H3">
        <f t="shared" ref="H3:H6" ca="1" si="0">AND(ISNUMBER(FIND("C4",SUBSTITUTE(P3,"$",""))),ISNUMBER(FIND("(",P3)),ISNUMBER(FIND("=",P3)))+0</f>
        <v>1</v>
      </c>
      <c r="I3" t="str">
        <f t="shared" ref="I3:I6" ca="1" si="1">MID(G3,3,1)&amp;MID(G3,2,1)&amp;RIGHT(G3,2)</f>
        <v>A881</v>
      </c>
      <c r="J3" t="str">
        <f t="shared" ref="J3:J6" ca="1" si="2">LEFT(G3,3)</f>
        <v>48A</v>
      </c>
      <c r="K3" t="str">
        <f ca="1">IF(ISNUMBER(FIND("NTI",P3)),I3,J3)</f>
        <v>A881</v>
      </c>
      <c r="L3" t="str">
        <f t="shared" ref="L3:L5" ca="1" si="3">K3&amp;"-"&amp;G3&amp;";"</f>
        <v>A881-48A81;</v>
      </c>
      <c r="P3" t="str">
        <f ca="1">_xlfn.FORMULATEXT('XL-test'!D6)</f>
        <v>=COUNTIF(Absensi!C4:AG4;"&gt;7.00")</v>
      </c>
    </row>
    <row r="4" spans="1:16">
      <c r="C4">
        <f>'XL-test'!E6</f>
        <v>3</v>
      </c>
      <c r="D4">
        <f>'XL-test'!E9</f>
        <v>2</v>
      </c>
      <c r="E4">
        <f>'XL-test'!E13</f>
        <v>2</v>
      </c>
      <c r="F4">
        <f>SUM('XL-test'!E6:E13)</f>
        <v>18</v>
      </c>
      <c r="G4" t="str">
        <f ca="1">IF(C4=0,"CB10",DEC2HEX(SUM(C4:F4)*200)&amp;H4)</f>
        <v>13881</v>
      </c>
      <c r="H4">
        <f t="shared" ca="1" si="0"/>
        <v>1</v>
      </c>
      <c r="I4" t="str">
        <f t="shared" ca="1" si="1"/>
        <v>8381</v>
      </c>
      <c r="J4" t="str">
        <f t="shared" ca="1" si="2"/>
        <v>138</v>
      </c>
      <c r="K4" t="str">
        <f ca="1">IF(ISNUMBER(FIND("ENC",P4)),I4,J4)</f>
        <v>8381</v>
      </c>
      <c r="L4" t="str">
        <f t="shared" ca="1" si="3"/>
        <v>8381-13881;</v>
      </c>
      <c r="P4" t="str">
        <f ca="1">_xlfn.FORMULATEXT('XL-test'!E6)</f>
        <v>=LET(_m;MAX(FREQUENCY(IF(Absensi!C4:AG4&gt;7/24;COLUMN(Absensi!C4:AG4));IF(Absensi!C4:AG4&lt;=7/24;COLUMN(Absensi!C4:AG4))));IF(_m&gt;=2;_m;0))</v>
      </c>
    </row>
    <row r="5" spans="1:16">
      <c r="C5">
        <f>'XL-test'!F6</f>
        <v>2</v>
      </c>
      <c r="D5">
        <f>'XL-test'!F9</f>
        <v>2</v>
      </c>
      <c r="E5">
        <f>'XL-test'!F13</f>
        <v>2</v>
      </c>
      <c r="F5">
        <f>SUM('XL-test'!F6:F13)</f>
        <v>17</v>
      </c>
      <c r="G5" t="str">
        <f ca="1">IF(C5=0,"FB10",DEC2HEX(SUM(C5:F5)*200)&amp;H5)</f>
        <v>11F81</v>
      </c>
      <c r="H5">
        <f t="shared" ca="1" si="0"/>
        <v>1</v>
      </c>
      <c r="I5" t="str">
        <f t="shared" ca="1" si="1"/>
        <v>F181</v>
      </c>
      <c r="J5" t="str">
        <f t="shared" ca="1" si="2"/>
        <v>11F</v>
      </c>
      <c r="K5" t="str">
        <f t="shared" ref="K5:K6" ca="1" si="4">IF(ISNUMBER(FIND("ENC",P5)),I5,J5)</f>
        <v>F181</v>
      </c>
      <c r="L5" t="str">
        <f t="shared" ca="1" si="3"/>
        <v>F181-11F81;</v>
      </c>
      <c r="P5" t="str">
        <f ca="1">_xlfn.FORMULATEXT('XL-test'!F6)</f>
        <v>=SUMPRODUCT((FREQUENCY(IF(Absensi!C4:AG4&gt;7/24;COLUMN(Absensi!C4:AG4));IF(Absensi!C4:AG4&lt;=7/24;COLUMN(Absensi!C4:AG4)))&gt;=2)*1)</v>
      </c>
    </row>
    <row r="6" spans="1:16">
      <c r="C6">
        <f>'XL-test'!G6</f>
        <v>13</v>
      </c>
      <c r="D6">
        <f>'XL-test'!G9</f>
        <v>10</v>
      </c>
      <c r="E6">
        <f>'XL-test'!G13</f>
        <v>8</v>
      </c>
      <c r="F6">
        <f>SUM('XL-test'!G6:G13)</f>
        <v>92</v>
      </c>
      <c r="G6" t="str">
        <f ca="1">IF(C6=0,"ED10",DEC2HEX(SUM(C6:F6)*200)&amp;H6)</f>
        <v>60181</v>
      </c>
      <c r="H6">
        <f t="shared" ca="1" si="0"/>
        <v>1</v>
      </c>
      <c r="I6" t="str">
        <f t="shared" ca="1" si="1"/>
        <v>1081</v>
      </c>
      <c r="J6" t="str">
        <f t="shared" ca="1" si="2"/>
        <v>601</v>
      </c>
      <c r="K6" t="str">
        <f ca="1">IF(ISNUMBER(FIND("UM",P6)),I6,J6)</f>
        <v>1081</v>
      </c>
      <c r="L6" t="str">
        <f ca="1">K6&amp;"-"&amp;G6</f>
        <v>1081-60181</v>
      </c>
      <c r="P6" t="str">
        <f ca="1">_xlfn.FORMULATEXT('XL-test'!G6)</f>
        <v>=SUMPRODUCT((Absensi!C4:AG4&gt;7/24)*1)+SUMPRODUCT((Absensi!C4:AG4&gt;7/24)*(Absensi!D4:AH4&gt;7/24)*1)</v>
      </c>
    </row>
    <row r="8" spans="1:16">
      <c r="C8" t="str">
        <f ca="1">A2&amp;"|"&amp;L2&amp;L3&amp;L4&amp;L5&amp;L6</f>
        <v>DEF2|7B01-7B701;A881-48A81;8381-13881;F181-11F81;1081-60181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2025-06-01T14:33:59Z</dcterms:created>
  <dcterms:modified xsi:type="dcterms:W3CDTF">2026-06-16T07:24:08Z</dcterms:modified>
  <cp:category/>
  <cp:contentStatus/>
</cp:coreProperties>
</file>