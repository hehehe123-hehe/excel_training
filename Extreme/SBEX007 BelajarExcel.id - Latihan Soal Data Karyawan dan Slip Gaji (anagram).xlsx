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338" documentId="8_{2A1B8E81-60CE-4F1C-8D96-5470F6222246}" xr6:coauthVersionLast="47" xr6:coauthVersionMax="47" xr10:uidLastSave="{629D5190-BB1D-4E50-A94B-FD301BF93BDB}"/>
  <workbookProtection workbookAlgorithmName="SHA-512" workbookHashValue="ckB885N7g1wkWiYXJ/9YhboM3OA9BV9ljBREwY/gFWOVs+rQ4wuIcB9A+L13mHUuDUtekCx9heFsTQ47Juw0Cg==" workbookSaltValue="i7LKokEF3Yf18+CIIlMgrg==" workbookSpinCount="100000" lockStructure="1"/>
  <bookViews>
    <workbookView xWindow="28692" yWindow="-108" windowWidth="29016" windowHeight="15696" xr2:uid="{00000000-000D-0000-FFFF-FFFF00000000}"/>
  </bookViews>
  <sheets>
    <sheet name="XL-Test" sheetId="2" r:id="rId1"/>
    <sheet name="DF" sheetId="4" state="veryHidden" r:id="rId2"/>
    <sheet name="Data Pegawai" sheetId="3" r:id="rId3"/>
    <sheet name="About" sheetId="5" r:id="rId4"/>
  </sheets>
  <definedNames>
    <definedName name="kode_jawaban">DF!$C$66</definedName>
    <definedName name="XGHJ" localSheetId="1">DF!$C$63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2" l="1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47" i="2"/>
  <c r="J48" i="2" a="1"/>
  <c r="J48" i="2"/>
  <c r="J49" i="2" a="1"/>
  <c r="J49" i="2"/>
  <c r="J50" i="2" a="1"/>
  <c r="J50" i="2"/>
  <c r="J51" i="2" a="1"/>
  <c r="J51" i="2"/>
  <c r="J52" i="2" a="1"/>
  <c r="J52" i="2"/>
  <c r="J53" i="2" a="1"/>
  <c r="J53" i="2"/>
  <c r="J54" i="2" a="1"/>
  <c r="J54" i="2"/>
  <c r="J55" i="2" a="1"/>
  <c r="J55" i="2"/>
  <c r="J56" i="2" a="1"/>
  <c r="J56" i="2"/>
  <c r="J57" i="2" a="1"/>
  <c r="J57" i="2"/>
  <c r="J58" i="2" a="1"/>
  <c r="J58" i="2"/>
  <c r="J59" i="2" a="1"/>
  <c r="J59" i="2"/>
  <c r="J60" i="2" a="1"/>
  <c r="J60" i="2"/>
  <c r="J61" i="2" a="1"/>
  <c r="J61" i="2"/>
  <c r="J62" i="2" a="1"/>
  <c r="J62" i="2"/>
  <c r="J47" i="2" a="1"/>
  <c r="J47" i="2"/>
  <c r="I48" i="2" a="1"/>
  <c r="I48" i="2"/>
  <c r="I49" i="2" a="1"/>
  <c r="I49" i="2"/>
  <c r="I50" i="2" a="1"/>
  <c r="I50" i="2"/>
  <c r="I51" i="2" a="1"/>
  <c r="I51" i="2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/>
  <c r="I58" i="2" a="1"/>
  <c r="I58" i="2"/>
  <c r="I59" i="2" a="1"/>
  <c r="I59" i="2"/>
  <c r="I60" i="2" a="1"/>
  <c r="I60" i="2"/>
  <c r="I61" i="2" a="1"/>
  <c r="I61" i="2"/>
  <c r="I62" i="2" a="1"/>
  <c r="I62" i="2"/>
  <c r="I47" i="2" a="1"/>
  <c r="I47" i="2"/>
  <c r="G47" i="2" a="1"/>
  <c r="G47" i="2"/>
  <c r="G48" i="2" a="1"/>
  <c r="G48" i="2"/>
  <c r="G49" i="2" a="1"/>
  <c r="G49" i="2"/>
  <c r="G50" i="2" a="1"/>
  <c r="G50" i="2"/>
  <c r="G51" i="2" a="1"/>
  <c r="G51" i="2"/>
  <c r="G52" i="2" a="1"/>
  <c r="G52" i="2"/>
  <c r="G53" i="2" a="1"/>
  <c r="G53" i="2"/>
  <c r="G54" i="2" a="1"/>
  <c r="G54" i="2"/>
  <c r="G55" i="2" a="1"/>
  <c r="G55" i="2"/>
  <c r="G56" i="2" a="1"/>
  <c r="G56" i="2"/>
  <c r="G57" i="2" a="1"/>
  <c r="G57" i="2"/>
  <c r="G58" i="2" a="1"/>
  <c r="G58" i="2"/>
  <c r="G59" i="2" a="1"/>
  <c r="G59" i="2"/>
  <c r="G60" i="2" a="1"/>
  <c r="G60" i="2"/>
  <c r="G61" i="2" a="1"/>
  <c r="G61" i="2"/>
  <c r="G62" i="2" a="1"/>
  <c r="G62" i="2"/>
  <c r="H60" i="2" a="1"/>
  <c r="H60" i="2"/>
  <c r="H61" i="2" a="1"/>
  <c r="H61" i="2"/>
  <c r="H62" i="2" a="1"/>
  <c r="H62" i="2"/>
  <c r="H48" i="2" a="1"/>
  <c r="H48" i="2"/>
  <c r="H49" i="2" a="1"/>
  <c r="H49" i="2"/>
  <c r="H50" i="2" a="1"/>
  <c r="H50" i="2"/>
  <c r="H51" i="2" a="1"/>
  <c r="H51" i="2"/>
  <c r="H52" i="2" a="1"/>
  <c r="H52" i="2"/>
  <c r="H53" i="2" a="1"/>
  <c r="H53" i="2"/>
  <c r="H54" i="2" a="1"/>
  <c r="H54" i="2"/>
  <c r="H55" i="2" a="1"/>
  <c r="H55" i="2"/>
  <c r="H56" i="2" a="1"/>
  <c r="H56" i="2"/>
  <c r="H57" i="2" a="1"/>
  <c r="H57" i="2"/>
  <c r="H58" i="2" a="1"/>
  <c r="H58" i="2"/>
  <c r="H59" i="2" a="1"/>
  <c r="H59" i="2"/>
  <c r="H47" i="2" a="1"/>
  <c r="H47" i="2"/>
  <c r="F47" i="2" a="1"/>
  <c r="F47" i="2"/>
  <c r="F48" i="2" a="1"/>
  <c r="F48" i="2"/>
  <c r="F49" i="2" a="1"/>
  <c r="F49" i="2"/>
  <c r="F50" i="2" a="1"/>
  <c r="F50" i="2"/>
  <c r="F51" i="2" a="1"/>
  <c r="F51" i="2"/>
  <c r="F52" i="2" a="1"/>
  <c r="F52" i="2"/>
  <c r="F53" i="2" a="1"/>
  <c r="F53" i="2"/>
  <c r="F54" i="2" a="1"/>
  <c r="F54" i="2"/>
  <c r="F55" i="2" a="1"/>
  <c r="F55" i="2"/>
  <c r="F56" i="2" a="1"/>
  <c r="F56" i="2"/>
  <c r="F57" i="2" a="1"/>
  <c r="F57" i="2"/>
  <c r="F58" i="2" a="1"/>
  <c r="F58" i="2"/>
  <c r="F59" i="2" a="1"/>
  <c r="F59" i="2"/>
  <c r="F60" i="2" a="1"/>
  <c r="F60" i="2"/>
  <c r="F61" i="2" a="1"/>
  <c r="F61" i="2"/>
  <c r="F62" i="2" a="1"/>
  <c r="F62" i="2"/>
  <c r="E48" i="2" a="1"/>
  <c r="E48" i="2"/>
  <c r="E49" i="2" a="1"/>
  <c r="E49" i="2"/>
  <c r="E50" i="2" a="1"/>
  <c r="E50" i="2"/>
  <c r="E51" i="2" a="1"/>
  <c r="E51" i="2"/>
  <c r="E52" i="2" a="1"/>
  <c r="E52" i="2"/>
  <c r="E53" i="2" a="1"/>
  <c r="E53" i="2"/>
  <c r="E54" i="2" a="1"/>
  <c r="E54" i="2"/>
  <c r="E55" i="2" a="1"/>
  <c r="E55" i="2"/>
  <c r="E56" i="2" a="1"/>
  <c r="E56" i="2"/>
  <c r="E57" i="2" a="1"/>
  <c r="E57" i="2"/>
  <c r="E58" i="2" a="1"/>
  <c r="E58" i="2"/>
  <c r="E59" i="2" a="1"/>
  <c r="E59" i="2"/>
  <c r="E60" i="2" a="1"/>
  <c r="E60" i="2"/>
  <c r="E61" i="2" a="1"/>
  <c r="E61" i="2"/>
  <c r="E62" i="2" a="1"/>
  <c r="E62" i="2"/>
  <c r="E47" i="2" a="1"/>
  <c r="E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47" i="2" a="1"/>
  <c r="D47" i="2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7" i="4" s="1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J50" i="4"/>
  <c r="I50" i="4"/>
  <c r="H50" i="4"/>
  <c r="G50" i="4"/>
  <c r="F50" i="4"/>
  <c r="E50" i="4"/>
  <c r="D50" i="4"/>
  <c r="C50" i="4"/>
  <c r="J49" i="4"/>
  <c r="I49" i="4"/>
  <c r="H49" i="4"/>
  <c r="G49" i="4"/>
  <c r="F49" i="4"/>
  <c r="E49" i="4"/>
  <c r="D49" i="4"/>
  <c r="C49" i="4"/>
  <c r="J48" i="4"/>
  <c r="I48" i="4"/>
  <c r="H48" i="4"/>
  <c r="G48" i="4"/>
  <c r="F48" i="4"/>
  <c r="E48" i="4"/>
  <c r="D48" i="4"/>
  <c r="C48" i="4"/>
  <c r="J47" i="4"/>
  <c r="I47" i="4"/>
  <c r="H47" i="4"/>
  <c r="G47" i="4"/>
  <c r="F47" i="4"/>
  <c r="E47" i="4"/>
  <c r="D47" i="4"/>
  <c r="C47" i="4"/>
  <c r="J46" i="4"/>
  <c r="I46" i="4"/>
  <c r="H46" i="4"/>
  <c r="G46" i="4"/>
  <c r="F46" i="4"/>
  <c r="E46" i="4"/>
  <c r="D46" i="4"/>
  <c r="C46" i="4"/>
  <c r="J45" i="4"/>
  <c r="I45" i="4"/>
  <c r="H45" i="4"/>
  <c r="G45" i="4"/>
  <c r="F45" i="4"/>
  <c r="E45" i="4"/>
  <c r="D45" i="4"/>
  <c r="C45" i="4"/>
  <c r="J44" i="4"/>
  <c r="I44" i="4"/>
  <c r="H44" i="4"/>
  <c r="G44" i="4"/>
  <c r="F44" i="4"/>
  <c r="E44" i="4"/>
  <c r="D44" i="4"/>
  <c r="C44" i="4"/>
  <c r="J43" i="4"/>
  <c r="I43" i="4"/>
  <c r="H43" i="4"/>
  <c r="G43" i="4"/>
  <c r="F43" i="4"/>
  <c r="E43" i="4"/>
  <c r="D43" i="4"/>
  <c r="C43" i="4"/>
  <c r="J42" i="4"/>
  <c r="I42" i="4"/>
  <c r="H42" i="4"/>
  <c r="G42" i="4"/>
  <c r="F42" i="4"/>
  <c r="E42" i="4"/>
  <c r="D42" i="4"/>
  <c r="C42" i="4"/>
  <c r="J41" i="4"/>
  <c r="I41" i="4"/>
  <c r="H41" i="4"/>
  <c r="G41" i="4"/>
  <c r="F41" i="4"/>
  <c r="E41" i="4"/>
  <c r="D41" i="4"/>
  <c r="C41" i="4"/>
  <c r="J40" i="4"/>
  <c r="I40" i="4"/>
  <c r="H40" i="4"/>
  <c r="G40" i="4"/>
  <c r="F40" i="4"/>
  <c r="E40" i="4"/>
  <c r="D40" i="4"/>
  <c r="C40" i="4"/>
  <c r="J39" i="4"/>
  <c r="I39" i="4"/>
  <c r="H39" i="4"/>
  <c r="G39" i="4"/>
  <c r="F39" i="4"/>
  <c r="E39" i="4"/>
  <c r="D39" i="4"/>
  <c r="C39" i="4"/>
  <c r="J38" i="4"/>
  <c r="I38" i="4"/>
  <c r="H38" i="4"/>
  <c r="G38" i="4"/>
  <c r="F38" i="4"/>
  <c r="E38" i="4"/>
  <c r="D38" i="4"/>
  <c r="C38" i="4"/>
  <c r="J37" i="4"/>
  <c r="I37" i="4"/>
  <c r="H37" i="4"/>
  <c r="G37" i="4"/>
  <c r="F37" i="4"/>
  <c r="E37" i="4"/>
  <c r="D37" i="4"/>
  <c r="C37" i="4"/>
  <c r="J36" i="4"/>
  <c r="I36" i="4"/>
  <c r="H36" i="4"/>
  <c r="G36" i="4"/>
  <c r="F36" i="4"/>
  <c r="E36" i="4"/>
  <c r="D36" i="4"/>
  <c r="C36" i="4"/>
  <c r="J35" i="4"/>
  <c r="J53" i="4" s="1"/>
  <c r="I35" i="4"/>
  <c r="I53" i="4" s="1"/>
  <c r="H35" i="4"/>
  <c r="H53" i="4" s="1"/>
  <c r="G35" i="4"/>
  <c r="F35" i="4"/>
  <c r="F53" i="4" s="1"/>
  <c r="E35" i="4"/>
  <c r="D35" i="4"/>
  <c r="C35" i="4"/>
  <c r="B48" i="4"/>
  <c r="B49" i="4"/>
  <c r="B50" i="4"/>
  <c r="B36" i="4"/>
  <c r="B37" i="4"/>
  <c r="B38" i="4"/>
  <c r="B39" i="4"/>
  <c r="B40" i="4"/>
  <c r="B41" i="4"/>
  <c r="B42" i="4"/>
  <c r="B43" i="4"/>
  <c r="B44" i="4"/>
  <c r="B45" i="4"/>
  <c r="B46" i="4"/>
  <c r="B47" i="4"/>
  <c r="B35" i="4"/>
  <c r="P2" i="4"/>
  <c r="Q2" i="4"/>
  <c r="R2" i="4"/>
  <c r="S2" i="4"/>
  <c r="T2" i="4"/>
  <c r="U2" i="4"/>
  <c r="V2" i="4"/>
  <c r="J32" i="4" s="1"/>
  <c r="O3" i="4"/>
  <c r="O4" i="4"/>
  <c r="O5" i="4"/>
  <c r="O6" i="4"/>
  <c r="O7" i="4"/>
  <c r="O8" i="4"/>
  <c r="O9" i="4"/>
  <c r="O2" i="4"/>
  <c r="C28" i="4" s="1"/>
  <c r="D25" i="4"/>
  <c r="E25" i="4"/>
  <c r="F25" i="4"/>
  <c r="G25" i="4"/>
  <c r="H25" i="4"/>
  <c r="I25" i="4"/>
  <c r="J25" i="4"/>
  <c r="C25" i="4"/>
  <c r="D24" i="4"/>
  <c r="E24" i="4"/>
  <c r="F24" i="4"/>
  <c r="G24" i="4"/>
  <c r="H24" i="4"/>
  <c r="I24" i="4"/>
  <c r="J24" i="4"/>
  <c r="C24" i="4"/>
  <c r="D32" i="4" l="1"/>
  <c r="D61" i="4" s="1"/>
  <c r="D28" i="4"/>
  <c r="E32" i="4"/>
  <c r="E61" i="4" s="1"/>
  <c r="E28" i="4"/>
  <c r="F32" i="4"/>
  <c r="F61" i="4" s="1"/>
  <c r="F28" i="4"/>
  <c r="G32" i="4"/>
  <c r="G61" i="4" s="1"/>
  <c r="G28" i="4"/>
  <c r="H32" i="4"/>
  <c r="H61" i="4" s="1"/>
  <c r="H28" i="4"/>
  <c r="I32" i="4"/>
  <c r="I61" i="4" s="1"/>
  <c r="I28" i="4"/>
  <c r="C32" i="4"/>
  <c r="C61" i="4" s="1"/>
  <c r="J61" i="4"/>
  <c r="G55" i="4"/>
  <c r="G53" i="4"/>
  <c r="E55" i="4"/>
  <c r="E53" i="4"/>
  <c r="D55" i="4"/>
  <c r="D53" i="4"/>
  <c r="C55" i="4"/>
  <c r="C53" i="4"/>
  <c r="I3" i="4"/>
  <c r="G3" i="4"/>
  <c r="I4" i="4"/>
  <c r="I55" i="4" s="1"/>
  <c r="I57" i="4" s="1"/>
  <c r="I29" i="4" s="1"/>
  <c r="G4" i="4"/>
  <c r="I5" i="4"/>
  <c r="G5" i="4"/>
  <c r="I6" i="4"/>
  <c r="G6" i="4"/>
  <c r="I7" i="4"/>
  <c r="G7" i="4"/>
  <c r="I8" i="4"/>
  <c r="G8" i="4"/>
  <c r="I9" i="4"/>
  <c r="G9" i="4"/>
  <c r="I10" i="4"/>
  <c r="G10" i="4"/>
  <c r="I11" i="4"/>
  <c r="G11" i="4"/>
  <c r="I12" i="4"/>
  <c r="G12" i="4"/>
  <c r="I13" i="4"/>
  <c r="G13" i="4"/>
  <c r="I14" i="4"/>
  <c r="G14" i="4"/>
  <c r="I15" i="4"/>
  <c r="G15" i="4"/>
  <c r="I16" i="4"/>
  <c r="G16" i="4"/>
  <c r="I17" i="4"/>
  <c r="G17" i="4"/>
  <c r="I2" i="4"/>
  <c r="I27" i="4" s="1"/>
  <c r="G2" i="4"/>
  <c r="E19" i="4"/>
  <c r="E20" i="4" s="1"/>
  <c r="D19" i="4"/>
  <c r="D20" i="4" s="1"/>
  <c r="D27" i="4"/>
  <c r="C27" i="4"/>
  <c r="C19" i="4"/>
  <c r="C20" i="4" s="1"/>
  <c r="J28" i="4"/>
  <c r="F3" i="4"/>
  <c r="F4" i="4"/>
  <c r="F55" i="4" s="1"/>
  <c r="F57" i="4" s="1"/>
  <c r="F29" i="4" s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C57" i="4" l="1"/>
  <c r="C29" i="4" s="1"/>
  <c r="C30" i="4" s="1"/>
  <c r="C60" i="4" s="1"/>
  <c r="C62" i="4" s="1"/>
  <c r="D57" i="4"/>
  <c r="D29" i="4" s="1"/>
  <c r="D30" i="4" s="1"/>
  <c r="D60" i="4" s="1"/>
  <c r="D62" i="4" s="1"/>
  <c r="E57" i="4"/>
  <c r="E29" i="4" s="1"/>
  <c r="E30" i="4" s="1"/>
  <c r="E60" i="4" s="1"/>
  <c r="E62" i="4" s="1"/>
  <c r="G57" i="4"/>
  <c r="G29" i="4" s="1"/>
  <c r="J12" i="4"/>
  <c r="J10" i="4"/>
  <c r="J2" i="4"/>
  <c r="J27" i="4" s="1"/>
  <c r="J11" i="4"/>
  <c r="J6" i="4"/>
  <c r="J14" i="4"/>
  <c r="J15" i="4"/>
  <c r="J16" i="4"/>
  <c r="J17" i="4"/>
  <c r="J7" i="4"/>
  <c r="G27" i="4"/>
  <c r="G19" i="4"/>
  <c r="G20" i="4" s="1"/>
  <c r="F27" i="4"/>
  <c r="F30" i="4" s="1"/>
  <c r="F19" i="4"/>
  <c r="F20" i="4" s="1"/>
  <c r="I30" i="4"/>
  <c r="J3" i="4"/>
  <c r="H3" i="4"/>
  <c r="H4" i="4"/>
  <c r="H55" i="4" s="1"/>
  <c r="H57" i="4" s="1"/>
  <c r="H29" i="4" s="1"/>
  <c r="J4" i="4"/>
  <c r="J55" i="4" s="1"/>
  <c r="J57" i="4" s="1"/>
  <c r="J29" i="4" s="1"/>
  <c r="H5" i="4"/>
  <c r="J5" i="4"/>
  <c r="H6" i="4"/>
  <c r="H7" i="4"/>
  <c r="J8" i="4"/>
  <c r="H8" i="4"/>
  <c r="J9" i="4"/>
  <c r="H9" i="4"/>
  <c r="H10" i="4"/>
  <c r="H11" i="4"/>
  <c r="H12" i="4"/>
  <c r="J13" i="4"/>
  <c r="H13" i="4"/>
  <c r="H14" i="4"/>
  <c r="H15" i="4"/>
  <c r="H16" i="4"/>
  <c r="H17" i="4"/>
  <c r="H2" i="4"/>
  <c r="H27" i="4" s="1"/>
  <c r="I19" i="4"/>
  <c r="I20" i="4" s="1"/>
  <c r="G30" i="4" l="1"/>
  <c r="G60" i="4" s="1"/>
  <c r="G62" i="4" s="1"/>
  <c r="I60" i="4"/>
  <c r="I62" i="4" s="1"/>
  <c r="F60" i="4"/>
  <c r="F62" i="4" s="1"/>
  <c r="J30" i="4"/>
  <c r="H30" i="4"/>
  <c r="H19" i="4"/>
  <c r="H20" i="4" s="1"/>
  <c r="J19" i="4"/>
  <c r="J20" i="4" s="1"/>
  <c r="J60" i="4" l="1"/>
  <c r="J62" i="4" s="1"/>
  <c r="H60" i="4"/>
  <c r="H62" i="4" s="1"/>
  <c r="C63" i="4" l="1"/>
  <c r="C66" i="4" s="1" a="1"/>
  <c r="C66" i="4" s="1"/>
  <c r="G1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<sst xmlns="http://schemas.openxmlformats.org/spreadsheetml/2006/main" count="283" uniqueCount="225">
  <si>
    <t>KODE SOAL</t>
  </si>
  <si>
    <t>SBEX007</t>
  </si>
  <si>
    <t>KODE JAWABAN</t>
  </si>
  <si>
    <t>Intruksi</t>
  </si>
  <si>
    <r>
      <rPr>
        <b/>
        <sz val="12"/>
        <color rgb="FF00B050"/>
        <rFont val="Calibri"/>
        <family val="2"/>
        <scheme val="minor"/>
      </rPr>
      <t>Extreme Level</t>
    </r>
    <r>
      <rPr>
        <b/>
        <sz val="12"/>
        <color theme="1"/>
        <rFont val="Calibri"/>
        <family val="2"/>
        <scheme val="minor"/>
      </rPr>
      <t xml:space="preserve"> - Latihan Soal Data Karyawa dan Slip Gaji (Anagram)</t>
    </r>
  </si>
  <si>
    <t>Contoh</t>
  </si>
  <si>
    <t>Soal  :</t>
  </si>
  <si>
    <t>Gunakan Fungsi Excel (Function) untuk menyelsaikan kasus dibawah ini</t>
  </si>
  <si>
    <t>Normal</t>
  </si>
  <si>
    <t>Text Normal dari Nama farhan Akbar</t>
  </si>
  <si>
    <t>Isi kolom Asal berdasarkan Anagram Nama karyawan dari table Data Pegawai</t>
  </si>
  <si>
    <t>Farhan Akbar</t>
  </si>
  <si>
    <t>Isi kolom Tanggal Lahir berdasarkan Anagram Nama karyawan dari table Data Pegawai</t>
  </si>
  <si>
    <t>Isi kolom Tanggal Join berdasarkan Anagram dari Nama karyawan dari table Data Pegawai</t>
  </si>
  <si>
    <t>Anagram</t>
  </si>
  <si>
    <t>Anagram adalah permainan kata dengan cara mengacak urutan huruf, tanpa menambah atau mengurangi huruf apa pun.</t>
  </si>
  <si>
    <t>Isi kolom Jabatan berdasarkan Anagram dari Nama karyawan, Jabatan adalah sebuah anagram Caesar Cipher</t>
  </si>
  <si>
    <t>aaFhbArra kn</t>
  </si>
  <si>
    <t>dimana A menjadi B, B menjadi C dan seterusnya dengan menggeser 1 hurup</t>
  </si>
  <si>
    <t>Isi kolom Kode jabatan berdasarkan  Jabatan dari Table Gaji</t>
  </si>
  <si>
    <t xml:space="preserve"> Caesar Cipher</t>
  </si>
  <si>
    <t>Caesar Cipher menggeeser 1 hurup dari hurup awal, misalnya A menjadi B, B menjdi C dan seterusnya sesuai dengan urutan Kode ANSI</t>
  </si>
  <si>
    <t>Isi Gaji Pokok Berdasarkan Jabatan dari Table Gaji, Ubah ke nilai number jika Gaji masih berupa text Exponen</t>
  </si>
  <si>
    <t>bbGicBssb!lo</t>
  </si>
  <si>
    <t>Isi Bonus Berdasarkan Jabatan dari table gaji, Ubah ke nilai number jika Bonus masih berupa text Exponen</t>
  </si>
  <si>
    <t>isi kolom Total Gaji dari Gaji Pokok ditambah Bonus</t>
  </si>
  <si>
    <t>Exponen</t>
  </si>
  <si>
    <t>G2E5</t>
  </si>
  <si>
    <t>G Merupakan Kode Gaji dan 2E5 adalah Exponen</t>
  </si>
  <si>
    <t>Gunakan table (data pegawai) yang disediakan!</t>
  </si>
  <si>
    <t>B2E5</t>
  </si>
  <si>
    <t>B Merupakan Kode Bonus dan 2E5 adalah Exponen</t>
  </si>
  <si>
    <r>
      <rPr>
        <b/>
        <i/>
        <sz val="11"/>
        <color rgb="FF0070C0"/>
        <rFont val="Calibri"/>
        <family val="2"/>
        <scheme val="minor"/>
      </rPr>
      <t>Sudah selesai mengerjakan?</t>
    </r>
    <r>
      <rPr>
        <i/>
        <sz val="11"/>
        <color rgb="FF0070C0"/>
        <rFont val="Calibri"/>
        <family val="2"/>
        <scheme val="minor"/>
      </rPr>
      <t xml:space="preserve"> kirim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hasilnya</t>
    </r>
  </si>
  <si>
    <t>atau klik tombol disamping</t>
  </si>
  <si>
    <t>No</t>
  </si>
  <si>
    <t>Nama Karyawan</t>
  </si>
  <si>
    <t>Asal</t>
  </si>
  <si>
    <t>Tanggal Lahir</t>
  </si>
  <si>
    <t>Tanggal Join</t>
  </si>
  <si>
    <t>Kode Jabatan</t>
  </si>
  <si>
    <t>Jabatan</t>
  </si>
  <si>
    <t>Gaji Pokok</t>
  </si>
  <si>
    <t>Bonus</t>
  </si>
  <si>
    <t>Total Gaji</t>
  </si>
  <si>
    <t>Denpasar</t>
  </si>
  <si>
    <t>SPV</t>
  </si>
  <si>
    <t>Supervisor</t>
  </si>
  <si>
    <t>imuaPri etlA</t>
  </si>
  <si>
    <t>si roAanQni</t>
  </si>
  <si>
    <t>arimtnA adPa</t>
  </si>
  <si>
    <t>him aotlroPaG</t>
  </si>
  <si>
    <t>MnIula rfnaaa</t>
  </si>
  <si>
    <t>hAzar hzaJian</t>
  </si>
  <si>
    <t>aa URwmithail</t>
  </si>
  <si>
    <t>laad mmhhMcImao</t>
  </si>
  <si>
    <t>liaa StferlBi</t>
  </si>
  <si>
    <t>rud kisoPaYo</t>
  </si>
  <si>
    <t>aWi iSnrlaardu</t>
  </si>
  <si>
    <t>rnaD tikaaiK</t>
  </si>
  <si>
    <t>uboogSona Ty</t>
  </si>
  <si>
    <t>krotsyPeO ai</t>
  </si>
  <si>
    <t>uoatkar SpE</t>
  </si>
  <si>
    <t>amkikma HunL</t>
  </si>
  <si>
    <t>Dilarang mengubah Table atau Menambah Table Baru atau Menambah Kolom Bantuan !!, Gunakan Table seperti yang sudah di sediakan soal.</t>
  </si>
  <si>
    <t>DF</t>
  </si>
  <si>
    <t>XG2</t>
  </si>
  <si>
    <t>x</t>
  </si>
  <si>
    <t>cek</t>
  </si>
  <si>
    <t>Cek F</t>
  </si>
  <si>
    <t>Cek Drag</t>
  </si>
  <si>
    <t>Arra</t>
  </si>
  <si>
    <t>GB</t>
  </si>
  <si>
    <t>UK</t>
  </si>
  <si>
    <t>HJ</t>
  </si>
  <si>
    <t>KO</t>
  </si>
  <si>
    <t>Nama</t>
  </si>
  <si>
    <t>Andi Pratama</t>
  </si>
  <si>
    <t>Surabaya</t>
  </si>
  <si>
    <t>pvuqTsJ!qU</t>
  </si>
  <si>
    <t>IT</t>
  </si>
  <si>
    <t>IT Support</t>
  </si>
  <si>
    <t>G3E6</t>
  </si>
  <si>
    <t>B5E5</t>
  </si>
  <si>
    <t>Budi Santoso</t>
  </si>
  <si>
    <t>Makassar</t>
  </si>
  <si>
    <t>djdhvBoopu</t>
  </si>
  <si>
    <t>ACC</t>
  </si>
  <si>
    <t>Accounting</t>
  </si>
  <si>
    <t>G35E5</t>
  </si>
  <si>
    <t>Citra Lestari</t>
  </si>
  <si>
    <t>Malang</t>
  </si>
  <si>
    <t>uNblosfjh</t>
  </si>
  <si>
    <t>MKT</t>
  </si>
  <si>
    <t>Marketing</t>
  </si>
  <si>
    <t>G45E5</t>
  </si>
  <si>
    <t>B1E5</t>
  </si>
  <si>
    <t>Dewi Anggraini</t>
  </si>
  <si>
    <t>Yogyakarta</t>
  </si>
  <si>
    <t>qtspTfwjvs</t>
  </si>
  <si>
    <t>G5E6</t>
  </si>
  <si>
    <t>B15E4</t>
  </si>
  <si>
    <t>Eko Saputra</t>
  </si>
  <si>
    <t>Medan</t>
  </si>
  <si>
    <t>vwsqjsfTpt</t>
  </si>
  <si>
    <t>ADM</t>
  </si>
  <si>
    <t>Admin</t>
  </si>
  <si>
    <t>G25E5</t>
  </si>
  <si>
    <t>B5E4</t>
  </si>
  <si>
    <t>Fajar Hidayat</t>
  </si>
  <si>
    <t>Palembang</t>
  </si>
  <si>
    <t>Bejno</t>
  </si>
  <si>
    <t>Gita Permata</t>
  </si>
  <si>
    <t>jfulobhsN</t>
  </si>
  <si>
    <t>Hadi Kurniawan</t>
  </si>
  <si>
    <t>Semarang</t>
  </si>
  <si>
    <t>wqsjTstpfv</t>
  </si>
  <si>
    <t>Indah Puspita</t>
  </si>
  <si>
    <t>slfuNhbjo</t>
  </si>
  <si>
    <t>Joko Widodo</t>
  </si>
  <si>
    <t>jsohfNulb</t>
  </si>
  <si>
    <t>Kartika Sari</t>
  </si>
  <si>
    <t>pq!TJUqvsu</t>
  </si>
  <si>
    <t>Lukman Hakim</t>
  </si>
  <si>
    <t>Bandung</t>
  </si>
  <si>
    <t>houdjvodBp</t>
  </si>
  <si>
    <t>Maya Salsabila</t>
  </si>
  <si>
    <t>T!pUuqsJqv</t>
  </si>
  <si>
    <t>Nur Aini</t>
  </si>
  <si>
    <t>fjublshoN</t>
  </si>
  <si>
    <t>Oka Mahendra</t>
  </si>
  <si>
    <t>oeBjn</t>
  </si>
  <si>
    <t>Putri Amelia</t>
  </si>
  <si>
    <t>Boenj</t>
  </si>
  <si>
    <t>Qori Annisa</t>
  </si>
  <si>
    <t>blNufjhos</t>
  </si>
  <si>
    <t>Rizki Ramadhan</t>
  </si>
  <si>
    <t>Jakarta</t>
  </si>
  <si>
    <t>pTqjfwsvst</t>
  </si>
  <si>
    <t>Sari Wulandari</t>
  </si>
  <si>
    <t>lbNhfsouj</t>
  </si>
  <si>
    <t>Tono Subagyo</t>
  </si>
  <si>
    <t>osfulhNjb</t>
  </si>
  <si>
    <t>Umar Fauzi</t>
  </si>
  <si>
    <t>tqfsspTvjw</t>
  </si>
  <si>
    <t>Vina Oktaviani</t>
  </si>
  <si>
    <t>hopdvBdjuo</t>
  </si>
  <si>
    <t>Wahyu Setiawan</t>
  </si>
  <si>
    <t>Uu!TsqJpqv</t>
  </si>
  <si>
    <t>Xenia Putri</t>
  </si>
  <si>
    <t>vhdjoBpudo</t>
  </si>
  <si>
    <t>Yudi Prakoso</t>
  </si>
  <si>
    <t>vq!JUTqusp</t>
  </si>
  <si>
    <t>Zahra Nabila</t>
  </si>
  <si>
    <t>bsfNjhlou</t>
  </si>
  <si>
    <t>Agus Firmansyah</t>
  </si>
  <si>
    <t>jeBon</t>
  </si>
  <si>
    <t>Bella Safitri</t>
  </si>
  <si>
    <t>Bnejo</t>
  </si>
  <si>
    <t>Cahyo Nugroho</t>
  </si>
  <si>
    <t>Dian Kartika</t>
  </si>
  <si>
    <t>Tsvjswtfqp</t>
  </si>
  <si>
    <t>Evi Susanti</t>
  </si>
  <si>
    <t>vqsuqUT!Jp</t>
  </si>
  <si>
    <t>fvwpsqjstT</t>
  </si>
  <si>
    <t>Galih Pratomo</t>
  </si>
  <si>
    <t>qUTupJvsq!</t>
  </si>
  <si>
    <t>Hendra Wijaya</t>
  </si>
  <si>
    <t>jhNfsoulb</t>
  </si>
  <si>
    <t>Irfan Maulana</t>
  </si>
  <si>
    <t>sU!JvTuqqp</t>
  </si>
  <si>
    <t>Jihan Azzahra</t>
  </si>
  <si>
    <t>Nbohuljsf</t>
  </si>
  <si>
    <t>Kiki Febrianti</t>
  </si>
  <si>
    <t>jhNbufsol</t>
  </si>
  <si>
    <t>Lina Marlina</t>
  </si>
  <si>
    <t>odphjdoBuv</t>
  </si>
  <si>
    <t>Mochammad Ilham</t>
  </si>
  <si>
    <t>!vpsUJqqTu</t>
  </si>
  <si>
    <t>Nina Rosalina</t>
  </si>
  <si>
    <t>qTwssftjvp</t>
  </si>
  <si>
    <t>Oki Prasetyo</t>
  </si>
  <si>
    <t>JUqu!sTqpv</t>
  </si>
  <si>
    <t>Putra Alamsyah</t>
  </si>
  <si>
    <t>pojuodvhBd</t>
  </si>
  <si>
    <t>Rani Aprilia</t>
  </si>
  <si>
    <t>vqTptswjfs</t>
  </si>
  <si>
    <t>Slamet Riyadi</t>
  </si>
  <si>
    <t>Bneoj</t>
  </si>
  <si>
    <t>Tari Laksmi</t>
  </si>
  <si>
    <t>wvpssqTjft</t>
  </si>
  <si>
    <t>Uli Rahmawati</t>
  </si>
  <si>
    <t>usbjNflho</t>
  </si>
  <si>
    <t>Vicky Aditya</t>
  </si>
  <si>
    <t>vpqsTjftws</t>
  </si>
  <si>
    <t>Wulan Permadi</t>
  </si>
  <si>
    <t>vqpwtTfjss</t>
  </si>
  <si>
    <t>Yanto Gunawan</t>
  </si>
  <si>
    <t>!qUvupqJsT</t>
  </si>
  <si>
    <t>Zaki Fadhillah</t>
  </si>
  <si>
    <t>ouhjdpBvdo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</si>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</sst>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#,##0;\(#,##0\);\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ROBOTECH GP"/>
      <family val="2"/>
    </font>
    <font>
      <i/>
      <sz val="11"/>
      <color rgb="FFFF0000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2"/>
      <color theme="0"/>
      <name val="Roboto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0" fontId="0" fillId="3" borderId="1" xfId="0" applyFill="1" applyBorder="1" applyAlignment="1">
      <alignment horizontal="left" indent="1"/>
    </xf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0" fillId="8" borderId="0" xfId="0" applyNumberFormat="1" applyFill="1"/>
    <xf numFmtId="14" fontId="0" fillId="4" borderId="1" xfId="0" applyNumberFormat="1" applyFill="1" applyBorder="1"/>
    <xf numFmtId="0" fontId="0" fillId="4" borderId="1" xfId="0" applyFill="1" applyBorder="1" applyAlignment="1">
      <alignment horizontal="left" indent="1"/>
    </xf>
    <xf numFmtId="166" fontId="0" fillId="4" borderId="1" xfId="1" applyNumberFormat="1" applyFont="1" applyFill="1" applyBorder="1"/>
    <xf numFmtId="166" fontId="0" fillId="4" borderId="1" xfId="0" applyNumberFormat="1" applyFill="1" applyBorder="1"/>
    <xf numFmtId="0" fontId="0" fillId="3" borderId="0" xfId="0" applyFill="1" applyAlignment="1">
      <alignment horizontal="left" indent="1"/>
    </xf>
    <xf numFmtId="0" fontId="0" fillId="10" borderId="0" xfId="0" applyFill="1"/>
    <xf numFmtId="165" fontId="0" fillId="10" borderId="0" xfId="0" applyNumberFormat="1" applyFill="1"/>
    <xf numFmtId="167" fontId="10" fillId="12" borderId="0" xfId="0" applyNumberFormat="1" applyFont="1" applyFill="1" applyAlignment="1">
      <alignment horizontal="center" vertical="center"/>
    </xf>
    <xf numFmtId="167" fontId="10" fillId="12" borderId="3" xfId="0" applyNumberFormat="1" applyFont="1" applyFill="1" applyBorder="1" applyAlignment="1">
      <alignment horizontal="left" vertical="center"/>
    </xf>
    <xf numFmtId="167" fontId="11" fillId="12" borderId="0" xfId="0" applyNumberFormat="1" applyFont="1" applyFill="1" applyAlignment="1">
      <alignment horizontal="left" vertical="center"/>
    </xf>
    <xf numFmtId="0" fontId="13" fillId="13" borderId="7" xfId="0" applyFont="1" applyFill="1" applyBorder="1" applyAlignment="1">
      <alignment vertical="top" wrapText="1"/>
    </xf>
    <xf numFmtId="0" fontId="13" fillId="13" borderId="0" xfId="0" applyFont="1" applyFill="1" applyAlignment="1">
      <alignment vertical="top" wrapText="1"/>
    </xf>
    <xf numFmtId="0" fontId="13" fillId="13" borderId="8" xfId="0" applyFont="1" applyFill="1" applyBorder="1" applyAlignment="1">
      <alignment vertical="top" wrapText="1"/>
    </xf>
    <xf numFmtId="0" fontId="13" fillId="13" borderId="9" xfId="0" applyFont="1" applyFill="1" applyBorder="1" applyAlignment="1">
      <alignment vertical="top" wrapText="1"/>
    </xf>
    <xf numFmtId="0" fontId="0" fillId="13" borderId="0" xfId="0" applyFill="1"/>
    <xf numFmtId="0" fontId="14" fillId="13" borderId="0" xfId="0" applyFont="1" applyFill="1" applyAlignment="1">
      <alignment horizontal="left" vertical="top"/>
    </xf>
    <xf numFmtId="0" fontId="13" fillId="13" borderId="10" xfId="0" applyFont="1" applyFill="1" applyBorder="1" applyAlignment="1">
      <alignment vertical="top" wrapText="1"/>
    </xf>
    <xf numFmtId="0" fontId="14" fillId="13" borderId="0" xfId="0" applyFont="1" applyFill="1" applyAlignment="1">
      <alignment vertical="top"/>
    </xf>
    <xf numFmtId="0" fontId="16" fillId="13" borderId="0" xfId="0" applyFont="1" applyFill="1" applyAlignment="1">
      <alignment horizontal="right"/>
    </xf>
    <xf numFmtId="0" fontId="17" fillId="13" borderId="0" xfId="0" applyFont="1" applyFill="1" applyAlignment="1">
      <alignment vertical="top"/>
    </xf>
    <xf numFmtId="0" fontId="6" fillId="13" borderId="0" xfId="0" applyFont="1" applyFill="1" applyAlignment="1">
      <alignment horizontal="center" vertical="center"/>
    </xf>
    <xf numFmtId="0" fontId="2" fillId="13" borderId="0" xfId="0" applyFont="1" applyFill="1"/>
    <xf numFmtId="0" fontId="6" fillId="13" borderId="0" xfId="0" applyFont="1" applyFill="1"/>
    <xf numFmtId="0" fontId="5" fillId="0" borderId="0" xfId="0" applyFont="1" applyAlignment="1">
      <alignment wrapText="1"/>
    </xf>
    <xf numFmtId="0" fontId="7" fillId="9" borderId="0" xfId="0" applyFont="1" applyFill="1" applyAlignment="1">
      <alignment horizontal="left" indent="1"/>
    </xf>
    <xf numFmtId="0" fontId="0" fillId="14" borderId="0" xfId="0" applyFill="1"/>
    <xf numFmtId="0" fontId="0" fillId="6" borderId="0" xfId="0" applyFill="1" applyAlignment="1">
      <alignment horizontal="center"/>
    </xf>
    <xf numFmtId="0" fontId="5" fillId="13" borderId="0" xfId="0" applyFont="1" applyFill="1" applyAlignment="1">
      <alignment wrapText="1"/>
    </xf>
    <xf numFmtId="0" fontId="5" fillId="13" borderId="10" xfId="0" applyFont="1" applyFill="1" applyBorder="1" applyAlignment="1">
      <alignment wrapText="1"/>
    </xf>
    <xf numFmtId="0" fontId="20" fillId="13" borderId="0" xfId="0" applyFont="1" applyFill="1"/>
    <xf numFmtId="0" fontId="1" fillId="0" borderId="0" xfId="3"/>
    <xf numFmtId="0" fontId="1" fillId="0" borderId="1" xfId="3" applyBorder="1"/>
    <xf numFmtId="0" fontId="1" fillId="0" borderId="12" xfId="3" applyBorder="1"/>
    <xf numFmtId="0" fontId="1" fillId="0" borderId="13" xfId="3" applyBorder="1"/>
    <xf numFmtId="0" fontId="21" fillId="0" borderId="1" xfId="3" applyFont="1" applyBorder="1"/>
    <xf numFmtId="0" fontId="23" fillId="0" borderId="1" xfId="3" applyFont="1" applyBorder="1"/>
    <xf numFmtId="0" fontId="24" fillId="0" borderId="12" xfId="0" applyFont="1" applyBorder="1" applyAlignment="1">
      <alignment horizontal="left" vertical="top" wrapText="1"/>
    </xf>
    <xf numFmtId="0" fontId="26" fillId="0" borderId="12" xfId="0" applyFont="1" applyBorder="1" applyAlignment="1">
      <alignment horizontal="left" vertical="top" wrapText="1"/>
    </xf>
    <xf numFmtId="0" fontId="4" fillId="0" borderId="1" xfId="4" applyBorder="1" applyAlignment="1">
      <alignment vertical="top"/>
    </xf>
    <xf numFmtId="0" fontId="7" fillId="0" borderId="0" xfId="3" applyFont="1"/>
    <xf numFmtId="0" fontId="27" fillId="0" borderId="0" xfId="3" applyFont="1"/>
    <xf numFmtId="0" fontId="4" fillId="0" borderId="0" xfId="2"/>
    <xf numFmtId="0" fontId="27" fillId="0" borderId="0" xfId="3" quotePrefix="1" applyFont="1"/>
    <xf numFmtId="0" fontId="0" fillId="12" borderId="0" xfId="0" applyFill="1"/>
    <xf numFmtId="0" fontId="28" fillId="12" borderId="0" xfId="0" applyFont="1" applyFill="1"/>
    <xf numFmtId="0" fontId="8" fillId="12" borderId="0" xfId="0" applyFont="1" applyFill="1"/>
    <xf numFmtId="0" fontId="29" fillId="12" borderId="0" xfId="0" applyFont="1" applyFill="1"/>
    <xf numFmtId="0" fontId="30" fillId="12" borderId="0" xfId="2" applyFont="1" applyFill="1"/>
    <xf numFmtId="167" fontId="31" fillId="12" borderId="15" xfId="0" applyNumberFormat="1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wrapText="1" indent="1"/>
    </xf>
    <xf numFmtId="0" fontId="23" fillId="0" borderId="1" xfId="3" applyFont="1" applyBorder="1" applyAlignment="1">
      <alignment horizontal="left"/>
    </xf>
    <xf numFmtId="0" fontId="5" fillId="13" borderId="0" xfId="0" applyFont="1" applyFill="1" applyAlignment="1">
      <alignment horizontal="left" wrapText="1"/>
    </xf>
    <xf numFmtId="0" fontId="5" fillId="13" borderId="10" xfId="0" applyFont="1" applyFill="1" applyBorder="1" applyAlignment="1">
      <alignment horizontal="left" wrapText="1"/>
    </xf>
    <xf numFmtId="0" fontId="19" fillId="11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5" fillId="0" borderId="14" xfId="0" applyFont="1" applyBorder="1" applyAlignment="1">
      <alignment horizontal="left" vertical="top" wrapText="1"/>
    </xf>
    <xf numFmtId="0" fontId="19" fillId="11" borderId="7" xfId="0" applyFont="1" applyFill="1" applyBorder="1" applyAlignment="1">
      <alignment horizontal="center" vertical="center"/>
    </xf>
    <xf numFmtId="0" fontId="22" fillId="0" borderId="1" xfId="3" applyFont="1" applyBorder="1" applyAlignment="1">
      <alignment horizontal="left"/>
    </xf>
    <xf numFmtId="0" fontId="23" fillId="0" borderId="1" xfId="3" applyFont="1" applyBorder="1" applyAlignment="1">
      <alignment horizontal="left"/>
    </xf>
  </cellXfs>
  <cellStyles count="5">
    <cellStyle name="Comma" xfId="1" builtinId="3"/>
    <cellStyle name="Hyperlink" xfId="2" builtinId="8"/>
    <cellStyle name="Hyperlink 2" xfId="4" xr:uid="{3E3783B5-1011-45E7-8382-B466560F885C}"/>
    <cellStyle name="Normal" xfId="0" builtinId="0"/>
    <cellStyle name="Normal 2" xfId="3" xr:uid="{241E5439-5B9A-4F69-9F49-CE5D7253E16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922021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AD0C1-BD7E-4C20-B5A4-ED2ABBA4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927080" cy="2731770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12</xdr:row>
      <xdr:rowOff>91440</xdr:rowOff>
    </xdr:from>
    <xdr:to>
      <xdr:col>7</xdr:col>
      <xdr:colOff>711200</xdr:colOff>
      <xdr:row>16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D9DC89-DEBE-48F2-8FA9-321EA98B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0340" y="2286000"/>
          <a:ext cx="1511300" cy="647700"/>
        </a:xfrm>
        <a:prstGeom prst="rect">
          <a:avLst/>
        </a:prstGeom>
      </xdr:spPr>
    </xdr:pic>
    <xdr:clientData/>
  </xdr:twoCellAnchor>
  <xdr:twoCellAnchor>
    <xdr:from>
      <xdr:col>3</xdr:col>
      <xdr:colOff>213360</xdr:colOff>
      <xdr:row>36</xdr:row>
      <xdr:rowOff>68580</xdr:rowOff>
    </xdr:from>
    <xdr:to>
      <xdr:col>4</xdr:col>
      <xdr:colOff>762000</xdr:colOff>
      <xdr:row>38</xdr:row>
      <xdr:rowOff>22860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0D0EA0-62DE-418D-A1F9-BB3630195F82}"/>
            </a:ext>
          </a:extLst>
        </xdr:cNvPr>
        <xdr:cNvSpPr/>
      </xdr:nvSpPr>
      <xdr:spPr>
        <a:xfrm>
          <a:off x="2834640" y="6736080"/>
          <a:ext cx="180594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9</xdr:col>
      <xdr:colOff>937261</xdr:colOff>
      <xdr:row>0</xdr:row>
      <xdr:rowOff>0</xdr:rowOff>
    </xdr:from>
    <xdr:to>
      <xdr:col>11</xdr:col>
      <xdr:colOff>2831</xdr:colOff>
      <xdr:row>15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DF200-7133-4044-98EA-840DA8CC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2321" y="0"/>
          <a:ext cx="1770670" cy="2758440"/>
        </a:xfrm>
        <a:prstGeom prst="rect">
          <a:avLst/>
        </a:prstGeom>
      </xdr:spPr>
    </xdr:pic>
    <xdr:clientData/>
  </xdr:twoCellAnchor>
  <xdr:oneCellAnchor>
    <xdr:from>
      <xdr:col>8</xdr:col>
      <xdr:colOff>800100</xdr:colOff>
      <xdr:row>0</xdr:row>
      <xdr:rowOff>68580</xdr:rowOff>
    </xdr:from>
    <xdr:ext cx="1198149" cy="280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8516BC-06D4-45CA-88C0-37075BA04FE5}"/>
            </a:ext>
          </a:extLst>
        </xdr:cNvPr>
        <xdr:cNvSpPr txBox="1"/>
      </xdr:nvSpPr>
      <xdr:spPr>
        <a:xfrm>
          <a:off x="9654540" y="68580"/>
          <a:ext cx="1198149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EXTREME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F1AA2D66-3902-46BE-833A-9B9060D4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6D381FBB-E210-42B9-BE7C-A69BED7D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563880</xdr:colOff>
      <xdr:row>0</xdr:row>
      <xdr:rowOff>121920</xdr:rowOff>
    </xdr:from>
    <xdr:to>
      <xdr:col>4</xdr:col>
      <xdr:colOff>358140</xdr:colOff>
      <xdr:row>15</xdr:row>
      <xdr:rowOff>25914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AA99A4-A157-40DB-B405-075F8D5A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" y="121920"/>
          <a:ext cx="1699260" cy="2647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F2D6-8999-4908-8838-286266F72B86}">
  <sheetPr codeName="Sheet1"/>
  <dimension ref="A17:M67"/>
  <sheetViews>
    <sheetView tabSelected="1" topLeftCell="A24" workbookViewId="0">
      <selection activeCell="G17" sqref="G17"/>
    </sheetView>
  </sheetViews>
  <sheetFormatPr defaultRowHeight="14.45"/>
  <cols>
    <col min="1" max="1" width="7" customWidth="1"/>
    <col min="2" max="2" width="8.7109375" customWidth="1"/>
    <col min="3" max="3" width="22.42578125" customWidth="1"/>
    <col min="4" max="4" width="18.28515625" customWidth="1"/>
    <col min="5" max="5" width="17.7109375" customWidth="1"/>
    <col min="6" max="6" width="16.7109375" customWidth="1"/>
    <col min="7" max="7" width="16.85546875" customWidth="1"/>
    <col min="8" max="8" width="21.28515625" customWidth="1"/>
    <col min="9" max="9" width="16.7109375" customWidth="1"/>
    <col min="10" max="10" width="19.42578125" customWidth="1"/>
    <col min="11" max="11" width="20" customWidth="1"/>
  </cols>
  <sheetData>
    <row r="17" spans="1:13" ht="23.45">
      <c r="A17" s="65" t="s">
        <v>0</v>
      </c>
      <c r="B17" s="65"/>
      <c r="C17" s="15" t="s">
        <v>1</v>
      </c>
      <c r="E17" s="65" t="s">
        <v>2</v>
      </c>
      <c r="F17" s="66"/>
      <c r="G17" s="16" t="str">
        <f ca="1">kode_jawaban</f>
        <v>XG2|25-748;21-C6178;1E-F4727;A8-68C;24-723;21-155CC;7F-157C;14-178F4</v>
      </c>
      <c r="H17" s="17"/>
      <c r="I17" s="17"/>
      <c r="J17" s="17"/>
      <c r="K17" s="17"/>
    </row>
    <row r="19" spans="1:13" ht="22.9">
      <c r="A19" s="67" t="s">
        <v>3</v>
      </c>
      <c r="B19" s="68"/>
      <c r="C19" s="68"/>
      <c r="D19" s="68"/>
      <c r="E19" s="68"/>
      <c r="F19" s="68"/>
      <c r="G19" s="68"/>
      <c r="H19" s="68"/>
      <c r="I19" s="68"/>
      <c r="J19" s="68"/>
      <c r="K19" s="69"/>
    </row>
    <row r="20" spans="1:13" ht="15.6">
      <c r="A20" s="18"/>
      <c r="B20" s="19"/>
      <c r="C20" s="19"/>
      <c r="D20" s="19"/>
      <c r="E20" s="19"/>
      <c r="F20" s="19"/>
      <c r="G20" s="19"/>
      <c r="H20" s="19"/>
      <c r="I20" s="19"/>
      <c r="J20" s="20"/>
      <c r="K20" s="21"/>
    </row>
    <row r="21" spans="1:13" ht="15.6">
      <c r="A21" s="22"/>
      <c r="B21" s="23" t="s">
        <v>4</v>
      </c>
      <c r="C21" s="22"/>
      <c r="D21" s="22"/>
      <c r="E21" s="19"/>
      <c r="F21" s="19"/>
      <c r="G21" s="19"/>
      <c r="H21" s="19"/>
      <c r="I21" s="19"/>
      <c r="J21" s="19"/>
      <c r="K21" s="24"/>
    </row>
    <row r="22" spans="1:13" ht="15.6">
      <c r="A22" s="22"/>
      <c r="B22" s="22"/>
      <c r="C22" s="25"/>
      <c r="D22" s="22"/>
      <c r="E22" s="19"/>
      <c r="F22" s="19"/>
      <c r="G22" s="19"/>
      <c r="H22" s="57" t="s">
        <v>5</v>
      </c>
      <c r="I22" s="19"/>
      <c r="J22" s="19"/>
      <c r="K22" s="24"/>
    </row>
    <row r="23" spans="1:13" ht="15.6" customHeight="1">
      <c r="A23" s="22"/>
      <c r="B23" s="26" t="s">
        <v>6</v>
      </c>
      <c r="C23" s="27" t="s">
        <v>7</v>
      </c>
      <c r="D23" s="22"/>
      <c r="E23" s="22"/>
      <c r="F23" s="19"/>
      <c r="G23" s="22"/>
      <c r="H23" s="32" t="s">
        <v>8</v>
      </c>
      <c r="I23" s="62" t="s">
        <v>9</v>
      </c>
      <c r="J23" s="62"/>
      <c r="K23" s="63"/>
      <c r="L23" s="31"/>
      <c r="M23" s="31"/>
    </row>
    <row r="24" spans="1:13" ht="15.6">
      <c r="A24" s="22"/>
      <c r="B24" s="30">
        <v>1</v>
      </c>
      <c r="C24" s="22" t="s">
        <v>10</v>
      </c>
      <c r="D24" s="22"/>
      <c r="E24" s="22"/>
      <c r="F24" s="19"/>
      <c r="G24" s="22"/>
      <c r="H24" s="12" t="s">
        <v>11</v>
      </c>
      <c r="I24" s="62"/>
      <c r="J24" s="62"/>
      <c r="K24" s="63"/>
      <c r="L24" s="31"/>
      <c r="M24" s="31"/>
    </row>
    <row r="25" spans="1:13" ht="15.6">
      <c r="A25" s="22"/>
      <c r="B25" s="30">
        <v>2</v>
      </c>
      <c r="C25" s="22" t="s">
        <v>12</v>
      </c>
      <c r="D25" s="22"/>
      <c r="E25" s="22"/>
      <c r="F25" s="19"/>
      <c r="G25" s="22"/>
      <c r="H25" s="22"/>
      <c r="I25" s="19"/>
      <c r="J25" s="19"/>
      <c r="K25" s="24"/>
    </row>
    <row r="26" spans="1:13" ht="15.6" customHeight="1">
      <c r="A26" s="22"/>
      <c r="B26" s="30">
        <v>3</v>
      </c>
      <c r="C26" s="22" t="s">
        <v>13</v>
      </c>
      <c r="D26" s="22"/>
      <c r="E26" s="22"/>
      <c r="F26" s="19"/>
      <c r="G26" s="22"/>
      <c r="H26" s="32" t="s">
        <v>14</v>
      </c>
      <c r="I26" s="62" t="s">
        <v>15</v>
      </c>
      <c r="J26" s="62"/>
      <c r="K26" s="63"/>
    </row>
    <row r="27" spans="1:13" ht="15.6">
      <c r="A27" s="22"/>
      <c r="B27" s="30">
        <v>4</v>
      </c>
      <c r="C27" s="22" t="s">
        <v>16</v>
      </c>
      <c r="D27" s="22"/>
      <c r="E27" s="22"/>
      <c r="F27" s="19"/>
      <c r="G27" s="22"/>
      <c r="H27" s="12" t="s">
        <v>17</v>
      </c>
      <c r="I27" s="62"/>
      <c r="J27" s="62"/>
      <c r="K27" s="63"/>
    </row>
    <row r="28" spans="1:13" ht="15.6">
      <c r="A28" s="22"/>
      <c r="B28" s="22"/>
      <c r="C28" s="22" t="s">
        <v>18</v>
      </c>
      <c r="D28" s="22"/>
      <c r="E28" s="22"/>
      <c r="F28" s="19"/>
      <c r="G28" s="22"/>
      <c r="H28" s="22"/>
      <c r="I28" s="19"/>
      <c r="J28" s="19"/>
      <c r="K28" s="24"/>
    </row>
    <row r="29" spans="1:13" ht="15.6">
      <c r="A29" s="22"/>
      <c r="B29" s="30">
        <v>5</v>
      </c>
      <c r="C29" s="22" t="s">
        <v>19</v>
      </c>
      <c r="D29" s="22"/>
      <c r="E29" s="22"/>
      <c r="F29" s="19"/>
      <c r="G29" s="22"/>
      <c r="H29" s="32" t="s">
        <v>20</v>
      </c>
      <c r="I29" s="62" t="s">
        <v>21</v>
      </c>
      <c r="J29" s="62"/>
      <c r="K29" s="63"/>
    </row>
    <row r="30" spans="1:13" ht="15.6">
      <c r="A30" s="22"/>
      <c r="B30" s="30">
        <v>6</v>
      </c>
      <c r="C30" s="22" t="s">
        <v>22</v>
      </c>
      <c r="D30" s="22"/>
      <c r="E30" s="22"/>
      <c r="F30" s="19"/>
      <c r="G30" s="22"/>
      <c r="H30" s="12" t="s">
        <v>23</v>
      </c>
      <c r="I30" s="62"/>
      <c r="J30" s="62"/>
      <c r="K30" s="63"/>
    </row>
    <row r="31" spans="1:13" ht="15.6">
      <c r="A31" s="22"/>
      <c r="B31" s="30">
        <v>7</v>
      </c>
      <c r="C31" s="22" t="s">
        <v>24</v>
      </c>
      <c r="D31" s="22"/>
      <c r="E31" s="22"/>
      <c r="F31" s="19"/>
      <c r="G31" s="22"/>
      <c r="H31" s="22"/>
      <c r="I31" s="19"/>
      <c r="J31" s="19"/>
      <c r="K31" s="24"/>
    </row>
    <row r="32" spans="1:13" ht="15.6" customHeight="1">
      <c r="A32" s="22"/>
      <c r="B32" s="30">
        <v>8</v>
      </c>
      <c r="C32" s="22" t="s">
        <v>25</v>
      </c>
      <c r="D32" s="22"/>
      <c r="E32" s="22"/>
      <c r="F32" s="19"/>
      <c r="G32" s="22"/>
      <c r="H32" s="32" t="s">
        <v>26</v>
      </c>
      <c r="I32" s="35"/>
      <c r="J32" s="35"/>
      <c r="K32" s="36"/>
    </row>
    <row r="33" spans="1:11" ht="16.149999999999999">
      <c r="A33" s="22"/>
      <c r="B33" s="28"/>
      <c r="C33" s="22"/>
      <c r="D33" s="22"/>
      <c r="E33" s="22"/>
      <c r="F33" s="19"/>
      <c r="G33" s="22"/>
      <c r="H33" s="12" t="s">
        <v>27</v>
      </c>
      <c r="I33" s="62" t="s">
        <v>28</v>
      </c>
      <c r="J33" s="62"/>
      <c r="K33" s="63"/>
    </row>
    <row r="34" spans="1:11" ht="16.149999999999999" customHeight="1">
      <c r="A34" s="22"/>
      <c r="B34" s="28"/>
      <c r="C34" s="37" t="s">
        <v>29</v>
      </c>
      <c r="D34" s="22"/>
      <c r="E34" s="22"/>
      <c r="F34" s="19"/>
      <c r="G34" s="22"/>
      <c r="H34" s="12" t="s">
        <v>30</v>
      </c>
      <c r="I34" s="62" t="s">
        <v>31</v>
      </c>
      <c r="J34" s="62"/>
      <c r="K34" s="63"/>
    </row>
    <row r="35" spans="1:11" ht="15.6">
      <c r="A35" s="22"/>
      <c r="B35" s="28"/>
      <c r="C35" s="22"/>
      <c r="D35" s="22"/>
      <c r="E35" s="22"/>
      <c r="F35" s="19"/>
      <c r="G35" s="22"/>
      <c r="H35" s="22"/>
      <c r="I35" s="19"/>
      <c r="J35" s="19"/>
      <c r="K35" s="24"/>
    </row>
    <row r="36" spans="1:11" ht="15.6">
      <c r="A36" s="22"/>
      <c r="B36" s="22"/>
      <c r="C36" s="29" t="s">
        <v>32</v>
      </c>
      <c r="D36" s="22"/>
      <c r="E36" s="22"/>
      <c r="F36" s="19"/>
      <c r="G36" s="22"/>
      <c r="H36" s="22"/>
      <c r="I36" s="19"/>
      <c r="J36" s="19"/>
      <c r="K36" s="24"/>
    </row>
    <row r="37" spans="1:11" ht="15.6">
      <c r="A37" s="22"/>
      <c r="B37" s="22"/>
      <c r="C37" s="29" t="s">
        <v>33</v>
      </c>
      <c r="D37" s="22"/>
      <c r="E37" s="19"/>
      <c r="F37" s="19"/>
      <c r="G37" s="22"/>
      <c r="H37" s="22"/>
      <c r="I37" s="19"/>
      <c r="J37" s="19"/>
      <c r="K37" s="24"/>
    </row>
    <row r="38" spans="1:11" ht="15.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4"/>
    </row>
    <row r="39" spans="1:11" ht="15.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4"/>
    </row>
    <row r="40" spans="1:11" ht="22.9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2"/>
    </row>
    <row r="42" spans="1:11" ht="15" thickBot="1"/>
    <row r="43" spans="1:11" ht="16.149999999999999" thickBot="1">
      <c r="D43" s="56">
        <v>1</v>
      </c>
      <c r="E43" s="56">
        <v>2</v>
      </c>
      <c r="F43" s="56">
        <v>3</v>
      </c>
      <c r="G43" s="56">
        <v>4</v>
      </c>
      <c r="H43" s="56">
        <v>5</v>
      </c>
      <c r="I43" s="56">
        <v>6</v>
      </c>
      <c r="J43" s="56">
        <v>7</v>
      </c>
      <c r="K43" s="56">
        <v>8</v>
      </c>
    </row>
    <row r="44" spans="1:11" ht="35.450000000000003" customHeight="1">
      <c r="B44" s="58" t="s">
        <v>34</v>
      </c>
      <c r="C44" s="58" t="s">
        <v>35</v>
      </c>
      <c r="D44" s="58" t="s">
        <v>36</v>
      </c>
      <c r="E44" s="58" t="s">
        <v>37</v>
      </c>
      <c r="F44" s="58" t="s">
        <v>38</v>
      </c>
      <c r="G44" s="58" t="s">
        <v>39</v>
      </c>
      <c r="H44" s="58" t="s">
        <v>40</v>
      </c>
      <c r="I44" s="58" t="s">
        <v>41</v>
      </c>
      <c r="J44" s="58" t="s">
        <v>42</v>
      </c>
      <c r="K44" s="58" t="s">
        <v>43</v>
      </c>
    </row>
    <row r="45" spans="1:11" ht="19.899999999999999" customHeight="1">
      <c r="B45" s="59" t="s">
        <v>5</v>
      </c>
      <c r="C45" s="1" t="s">
        <v>17</v>
      </c>
      <c r="D45" s="9" t="s">
        <v>44</v>
      </c>
      <c r="E45" s="8">
        <v>31554</v>
      </c>
      <c r="F45" s="8">
        <v>44528</v>
      </c>
      <c r="G45" s="9" t="s">
        <v>45</v>
      </c>
      <c r="H45" s="9" t="s">
        <v>46</v>
      </c>
      <c r="I45" s="10">
        <v>5000000</v>
      </c>
      <c r="J45" s="10">
        <v>150000</v>
      </c>
      <c r="K45" s="11">
        <v>5150000</v>
      </c>
    </row>
    <row r="46" spans="1:11" ht="6" customHeight="1"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 spans="1:11" ht="19.899999999999999" customHeight="1">
      <c r="B47" s="2">
        <v>1</v>
      </c>
      <c r="C47" s="1" t="s">
        <v>47</v>
      </c>
      <c r="D47" s="60" t="str" cm="1">
        <f t="array" ref="D47">_xlfn.LET(
  _xlpm._src,SUBSTITUTE(C47,"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Semarang</v>
      </c>
      <c r="E47" s="8" cm="1">
        <f t="array" ref="E47">_xlfn.LET(
  _xlpm._src,SUBSTITUTE(C47,"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38606</v>
      </c>
      <c r="F47" s="8" cm="1">
        <f t="array" ref="F47">_xlfn.LET(
  _xlpm._src,SUBSTITUTE(C47,"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44871</v>
      </c>
      <c r="G47" s="9" t="str" cm="1">
        <f t="array" ref="G47">_xlfn.LET(
  _xlpm._src,SUBSTITUTE(C47,"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ADM</v>
      </c>
      <c r="H47" s="9" t="str" cm="1">
        <f t="array" ref="H47">_xlfn.LET(
  _xlpm._src,SUBSTITUTE(C47,"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Admin</v>
      </c>
      <c r="I47" s="10" cm="1">
        <f t="array" ref="I47">_xlfn.LET(
  _xlpm._raw,VLOOKUP(H47,'Data Pegawai'!$J$4:$L$8,2,0),
  _xlpm._e,FIND("E",_xlpm._raw),
  VALUE(MID(_xlpm._raw,2,_xlpm._e-2))*10^VALUE(RIGHT(_xlpm._raw,LEN(_xlpm._raw)-_xlpm._e))
)</f>
        <v>2500000</v>
      </c>
      <c r="J47" s="10" cm="1">
        <f t="array" ref="J47">_xlfn.LET(
  _xlpm._raw,VLOOKUP(H47,'Data Pegawai'!$J$4:$L$8,3,0),
  _xlpm._e,FIND("E",_xlpm._raw),
  VALUE(MID(_xlpm._raw,2,_xlpm._e-2))*10^VALUE(RIGHT(_xlpm._raw,LEN(_xlpm._raw)-_xlpm._e))
)</f>
        <v>50000</v>
      </c>
      <c r="K47" s="11">
        <f>SUM(I47:J47)</f>
        <v>2550000</v>
      </c>
    </row>
    <row r="48" spans="1:11" ht="19.899999999999999" customHeight="1">
      <c r="B48" s="2">
        <v>2</v>
      </c>
      <c r="C48" s="1" t="s">
        <v>48</v>
      </c>
      <c r="D48" s="60" t="str" cm="1">
        <f t="array" ref="D48">_xlfn.LET(
  _xlpm._src,SUBSTITUTE(C48,"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Palembang</v>
      </c>
      <c r="E48" s="8" cm="1">
        <f t="array" ref="E48">_xlfn.LET(
  _xlpm._src,SUBSTITUTE(C48,"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33862</v>
      </c>
      <c r="F48" s="8" cm="1">
        <f t="array" ref="F48">_xlfn.LET(
  _xlpm._src,SUBSTITUTE(C48,"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42777</v>
      </c>
      <c r="G48" s="9" t="str" cm="1">
        <f t="array" ref="G48">_xlfn.LET(
  _xlpm._src,SUBSTITUTE(C48,"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MKT</v>
      </c>
      <c r="H48" s="9" t="str" cm="1">
        <f t="array" ref="H48">_xlfn.LET(
  _xlpm._src,SUBSTITUTE(C48,"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Marketing</v>
      </c>
      <c r="I48" s="10" cm="1">
        <f t="array" ref="I48">_xlfn.LET(
  _xlpm._raw,VLOOKUP(H48,'Data Pegawai'!$J$4:$L$8,2,0),
  _xlpm._e,FIND("E",_xlpm._raw),
  VALUE(MID(_xlpm._raw,2,_xlpm._e-2))*10^VALUE(RIGHT(_xlpm._raw,LEN(_xlpm._raw)-_xlpm._e))
)</f>
        <v>4500000</v>
      </c>
      <c r="J48" s="10" cm="1">
        <f t="array" ref="J48">_xlfn.LET(
  _xlpm._raw,VLOOKUP(H48,'Data Pegawai'!$J$4:$L$8,3,0),
  _xlpm._e,FIND("E",_xlpm._raw),
  VALUE(MID(_xlpm._raw,2,_xlpm._e-2))*10^VALUE(RIGHT(_xlpm._raw,LEN(_xlpm._raw)-_xlpm._e))
)</f>
        <v>100000</v>
      </c>
      <c r="K48" s="11">
        <f t="shared" ref="K48:K62" si="0">SUM(I48:J48)</f>
        <v>4600000</v>
      </c>
    </row>
    <row r="49" spans="2:11" ht="19.899999999999999" customHeight="1">
      <c r="B49" s="2">
        <v>3</v>
      </c>
      <c r="C49" s="1" t="s">
        <v>49</v>
      </c>
      <c r="D49" s="60" t="str" cm="1">
        <f t="array" ref="D49">_xlfn.LET(
  _xlpm._src,SUBSTITUTE(C49,"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Surabaya</v>
      </c>
      <c r="E49" s="8" cm="1">
        <f t="array" ref="E49">_xlfn.LET(
  _xlpm._src,SUBSTITUTE(C49,"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36308</v>
      </c>
      <c r="F49" s="8" cm="1">
        <f t="array" ref="F49">_xlfn.LET(
  _xlpm._src,SUBSTITUTE(C49,"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44626</v>
      </c>
      <c r="G49" s="9" t="str" cm="1">
        <f t="array" ref="G49">_xlfn.LET(
  _xlpm._src,SUBSTITUTE(C49,"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49" s="9" t="str" cm="1">
        <f t="array" ref="H49">_xlfn.LET(
  _xlpm._src,SUBSTITUTE(C49,"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49" s="10" cm="1">
        <f t="array" ref="I49">_xlfn.LET(
  _xlpm._raw,VLOOKUP(H49,'Data Pegawai'!$J$4:$L$8,2,0),
  _xlpm._e,FIND("E",_xlpm._raw),
  VALUE(MID(_xlpm._raw,2,_xlpm._e-2))*10^VALUE(RIGHT(_xlpm._raw,LEN(_xlpm._raw)-_xlpm._e))
)</f>
        <v>3000000</v>
      </c>
      <c r="J49" s="10" cm="1">
        <f t="array" ref="J49">_xlfn.LET(
  _xlpm._raw,VLOOKUP(H49,'Data Pegawai'!$J$4:$L$8,3,0),
  _xlpm._e,FIND("E",_xlpm._raw),
  VALUE(MID(_xlpm._raw,2,_xlpm._e-2))*10^VALUE(RIGHT(_xlpm._raw,LEN(_xlpm._raw)-_xlpm._e))
)</f>
        <v>500000</v>
      </c>
      <c r="K49" s="11">
        <f t="shared" si="0"/>
        <v>3500000</v>
      </c>
    </row>
    <row r="50" spans="2:11" ht="19.899999999999999" customHeight="1">
      <c r="B50" s="2">
        <v>4</v>
      </c>
      <c r="C50" s="1" t="s">
        <v>50</v>
      </c>
      <c r="D50" s="60" t="str" cm="1">
        <f t="array" ref="D50">_xlfn.LET(
  _xlpm._src,SUBSTITUTE(C50,"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Bandung</v>
      </c>
      <c r="E50" s="8" cm="1">
        <f t="array" ref="E50">_xlfn.LET(
  _xlpm._src,SUBSTITUTE(C50,"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37155</v>
      </c>
      <c r="F50" s="8" cm="1">
        <f t="array" ref="F50">_xlfn.LET(
  _xlpm._src,SUBSTITUTE(C50,"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44109</v>
      </c>
      <c r="G50" s="9" t="str" cm="1">
        <f t="array" ref="G50">_xlfn.LET(
  _xlpm._src,SUBSTITUTE(C50,"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50" s="9" t="str" cm="1">
        <f t="array" ref="H50">_xlfn.LET(
  _xlpm._src,SUBSTITUTE(C50,"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50" s="10" cm="1">
        <f t="array" ref="I50">_xlfn.LET(
  _xlpm._raw,VLOOKUP(H50,'Data Pegawai'!$J$4:$L$8,2,0),
  _xlpm._e,FIND("E",_xlpm._raw),
  VALUE(MID(_xlpm._raw,2,_xlpm._e-2))*10^VALUE(RIGHT(_xlpm._raw,LEN(_xlpm._raw)-_xlpm._e))
)</f>
        <v>3000000</v>
      </c>
      <c r="J50" s="10" cm="1">
        <f t="array" ref="J50">_xlfn.LET(
  _xlpm._raw,VLOOKUP(H50,'Data Pegawai'!$J$4:$L$8,3,0),
  _xlpm._e,FIND("E",_xlpm._raw),
  VALUE(MID(_xlpm._raw,2,_xlpm._e-2))*10^VALUE(RIGHT(_xlpm._raw,LEN(_xlpm._raw)-_xlpm._e))
)</f>
        <v>500000</v>
      </c>
      <c r="K50" s="11">
        <f t="shared" si="0"/>
        <v>3500000</v>
      </c>
    </row>
    <row r="51" spans="2:11" ht="19.899999999999999" customHeight="1">
      <c r="B51" s="2">
        <v>5</v>
      </c>
      <c r="C51" s="1" t="s">
        <v>51</v>
      </c>
      <c r="D51" s="60" t="str" cm="1">
        <f t="array" ref="D51">_xlfn.LET(
  _xlpm._src,SUBSTITUTE(C51,"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Medan</v>
      </c>
      <c r="E51" s="8" cm="1">
        <f t="array" ref="E51">_xlfn.LET(
  _xlpm._src,SUBSTITUTE(C51,"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36381</v>
      </c>
      <c r="F51" s="8" cm="1">
        <f t="array" ref="F51">_xlfn.LET(
  _xlpm._src,SUBSTITUTE(C51,"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42023</v>
      </c>
      <c r="G51" s="9" t="str" cm="1">
        <f t="array" ref="G51">_xlfn.LET(
  _xlpm._src,SUBSTITUTE(C51,"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51" s="9" t="str" cm="1">
        <f t="array" ref="H51">_xlfn.LET(
  _xlpm._src,SUBSTITUTE(C51,"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51" s="10" cm="1">
        <f t="array" ref="I51">_xlfn.LET(
  _xlpm._raw,VLOOKUP(H51,'Data Pegawai'!$J$4:$L$8,2,0),
  _xlpm._e,FIND("E",_xlpm._raw),
  VALUE(MID(_xlpm._raw,2,_xlpm._e-2))*10^VALUE(RIGHT(_xlpm._raw,LEN(_xlpm._raw)-_xlpm._e))
)</f>
        <v>3000000</v>
      </c>
      <c r="J51" s="10" cm="1">
        <f t="array" ref="J51">_xlfn.LET(
  _xlpm._raw,VLOOKUP(H51,'Data Pegawai'!$J$4:$L$8,3,0),
  _xlpm._e,FIND("E",_xlpm._raw),
  VALUE(MID(_xlpm._raw,2,_xlpm._e-2))*10^VALUE(RIGHT(_xlpm._raw,LEN(_xlpm._raw)-_xlpm._e))
)</f>
        <v>500000</v>
      </c>
      <c r="K51" s="11">
        <f t="shared" si="0"/>
        <v>3500000</v>
      </c>
    </row>
    <row r="52" spans="2:11" ht="19.899999999999999" customHeight="1">
      <c r="B52" s="2">
        <v>6</v>
      </c>
      <c r="C52" s="1" t="s">
        <v>52</v>
      </c>
      <c r="D52" s="60" t="str" cm="1">
        <f t="array" ref="D52">_xlfn.LET(
  _xlpm._src,SUBSTITUTE(C52,"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Makassar</v>
      </c>
      <c r="E52" s="8" cm="1">
        <f t="array" ref="E52">_xlfn.LET(
  _xlpm._src,SUBSTITUTE(C52,"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34830</v>
      </c>
      <c r="F52" s="8" cm="1">
        <f t="array" ref="F52">_xlfn.LET(
  _xlpm._src,SUBSTITUTE(C52,"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43794</v>
      </c>
      <c r="G52" s="9" t="str" cm="1">
        <f t="array" ref="G52">_xlfn.LET(
  _xlpm._src,SUBSTITUTE(C52,"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MKT</v>
      </c>
      <c r="H52" s="9" t="str" cm="1">
        <f t="array" ref="H52">_xlfn.LET(
  _xlpm._src,SUBSTITUTE(C52,"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Marketing</v>
      </c>
      <c r="I52" s="10" cm="1">
        <f t="array" ref="I52">_xlfn.LET(
  _xlpm._raw,VLOOKUP(H52,'Data Pegawai'!$J$4:$L$8,2,0),
  _xlpm._e,FIND("E",_xlpm._raw),
  VALUE(MID(_xlpm._raw,2,_xlpm._e-2))*10^VALUE(RIGHT(_xlpm._raw,LEN(_xlpm._raw)-_xlpm._e))
)</f>
        <v>4500000</v>
      </c>
      <c r="J52" s="10" cm="1">
        <f t="array" ref="J52">_xlfn.LET(
  _xlpm._raw,VLOOKUP(H52,'Data Pegawai'!$J$4:$L$8,3,0),
  _xlpm._e,FIND("E",_xlpm._raw),
  VALUE(MID(_xlpm._raw,2,_xlpm._e-2))*10^VALUE(RIGHT(_xlpm._raw,LEN(_xlpm._raw)-_xlpm._e))
)</f>
        <v>100000</v>
      </c>
      <c r="K52" s="11">
        <f t="shared" si="0"/>
        <v>4600000</v>
      </c>
    </row>
    <row r="53" spans="2:11" ht="19.899999999999999" customHeight="1">
      <c r="B53" s="2">
        <v>7</v>
      </c>
      <c r="C53" s="1" t="s">
        <v>53</v>
      </c>
      <c r="D53" s="60" t="str" cm="1">
        <f t="array" ref="D53">_xlfn.LET(
  _xlpm._src,SUBSTITUTE(C53,"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Denpasar</v>
      </c>
      <c r="E53" s="8" cm="1">
        <f t="array" ref="E53">_xlfn.LET(
  _xlpm._src,SUBSTITUTE(C53,"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32287</v>
      </c>
      <c r="F53" s="8" cm="1">
        <f t="array" ref="F53">_xlfn.LET(
  _xlpm._src,SUBSTITUTE(C53,"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42466</v>
      </c>
      <c r="G53" s="9" t="str" cm="1">
        <f t="array" ref="G53">_xlfn.LET(
  _xlpm._src,SUBSTITUTE(C53,"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MKT</v>
      </c>
      <c r="H53" s="9" t="str" cm="1">
        <f t="array" ref="H53">_xlfn.LET(
  _xlpm._src,SUBSTITUTE(C53,"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Marketing</v>
      </c>
      <c r="I53" s="10" cm="1">
        <f t="array" ref="I53">_xlfn.LET(
  _xlpm._raw,VLOOKUP(H53,'Data Pegawai'!$J$4:$L$8,2,0),
  _xlpm._e,FIND("E",_xlpm._raw),
  VALUE(MID(_xlpm._raw,2,_xlpm._e-2))*10^VALUE(RIGHT(_xlpm._raw,LEN(_xlpm._raw)-_xlpm._e))
)</f>
        <v>4500000</v>
      </c>
      <c r="J53" s="10" cm="1">
        <f t="array" ref="J53">_xlfn.LET(
  _xlpm._raw,VLOOKUP(H53,'Data Pegawai'!$J$4:$L$8,3,0),
  _xlpm._e,FIND("E",_xlpm._raw),
  VALUE(MID(_xlpm._raw,2,_xlpm._e-2))*10^VALUE(RIGHT(_xlpm._raw,LEN(_xlpm._raw)-_xlpm._e))
)</f>
        <v>100000</v>
      </c>
      <c r="K53" s="11">
        <f t="shared" si="0"/>
        <v>4600000</v>
      </c>
    </row>
    <row r="54" spans="2:11" ht="19.899999999999999" customHeight="1">
      <c r="B54" s="2">
        <v>8</v>
      </c>
      <c r="C54" s="1" t="s">
        <v>54</v>
      </c>
      <c r="D54" s="60" t="str" cm="1">
        <f t="array" ref="D54">_xlfn.LET(
  _xlpm._src,SUBSTITUTE(C54,"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Medan</v>
      </c>
      <c r="E54" s="8" cm="1">
        <f t="array" ref="E54">_xlfn.LET(
  _xlpm._src,SUBSTITUTE(C54,"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36331</v>
      </c>
      <c r="F54" s="8" cm="1">
        <f t="array" ref="F54">_xlfn.LET(
  _xlpm._src,SUBSTITUTE(C54,"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45147</v>
      </c>
      <c r="G54" s="9" t="str" cm="1">
        <f t="array" ref="G54">_xlfn.LET(
  _xlpm._src,SUBSTITUTE(C54,"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54" s="9" t="str" cm="1">
        <f t="array" ref="H54">_xlfn.LET(
  _xlpm._src,SUBSTITUTE(C54,"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54" s="10" cm="1">
        <f t="array" ref="I54">_xlfn.LET(
  _xlpm._raw,VLOOKUP(H54,'Data Pegawai'!$J$4:$L$8,2,0),
  _xlpm._e,FIND("E",_xlpm._raw),
  VALUE(MID(_xlpm._raw,2,_xlpm._e-2))*10^VALUE(RIGHT(_xlpm._raw,LEN(_xlpm._raw)-_xlpm._e))
)</f>
        <v>3000000</v>
      </c>
      <c r="J54" s="10" cm="1">
        <f t="array" ref="J54">_xlfn.LET(
  _xlpm._raw,VLOOKUP(H54,'Data Pegawai'!$J$4:$L$8,3,0),
  _xlpm._e,FIND("E",_xlpm._raw),
  VALUE(MID(_xlpm._raw,2,_xlpm._e-2))*10^VALUE(RIGHT(_xlpm._raw,LEN(_xlpm._raw)-_xlpm._e))
)</f>
        <v>500000</v>
      </c>
      <c r="K54" s="11">
        <f t="shared" si="0"/>
        <v>3500000</v>
      </c>
    </row>
    <row r="55" spans="2:11" ht="19.899999999999999" customHeight="1">
      <c r="B55" s="2">
        <v>9</v>
      </c>
      <c r="C55" s="1" t="s">
        <v>55</v>
      </c>
      <c r="D55" s="60" t="str" cm="1">
        <f t="array" ref="D55">_xlfn.LET(
  _xlpm._src,SUBSTITUTE(C55,"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Semarang</v>
      </c>
      <c r="E55" s="8" cm="1">
        <f t="array" ref="E55">_xlfn.LET(
  _xlpm._src,SUBSTITUTE(C55,"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37890</v>
      </c>
      <c r="F55" s="8" cm="1">
        <f t="array" ref="F55">_xlfn.LET(
  _xlpm._src,SUBSTITUTE(C55,"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43361</v>
      </c>
      <c r="G55" s="9" t="str" cm="1">
        <f t="array" ref="G55">_xlfn.LET(
  _xlpm._src,SUBSTITUTE(C55,"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ADM</v>
      </c>
      <c r="H55" s="9" t="str" cm="1">
        <f t="array" ref="H55">_xlfn.LET(
  _xlpm._src,SUBSTITUTE(C55,"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Admin</v>
      </c>
      <c r="I55" s="10" cm="1">
        <f t="array" ref="I55">_xlfn.LET(
  _xlpm._raw,VLOOKUP(H55,'Data Pegawai'!$J$4:$L$8,2,0),
  _xlpm._e,FIND("E",_xlpm._raw),
  VALUE(MID(_xlpm._raw,2,_xlpm._e-2))*10^VALUE(RIGHT(_xlpm._raw,LEN(_xlpm._raw)-_xlpm._e))
)</f>
        <v>2500000</v>
      </c>
      <c r="J55" s="10" cm="1">
        <f t="array" ref="J55">_xlfn.LET(
  _xlpm._raw,VLOOKUP(H55,'Data Pegawai'!$J$4:$L$8,3,0),
  _xlpm._e,FIND("E",_xlpm._raw),
  VALUE(MID(_xlpm._raw,2,_xlpm._e-2))*10^VALUE(RIGHT(_xlpm._raw,LEN(_xlpm._raw)-_xlpm._e))
)</f>
        <v>50000</v>
      </c>
      <c r="K55" s="11">
        <f t="shared" si="0"/>
        <v>2550000</v>
      </c>
    </row>
    <row r="56" spans="2:11" ht="19.899999999999999" customHeight="1">
      <c r="B56" s="2">
        <v>10</v>
      </c>
      <c r="C56" s="1" t="s">
        <v>56</v>
      </c>
      <c r="D56" s="60" t="str" cm="1">
        <f t="array" ref="D56">_xlfn.LET(
  _xlpm._src,SUBSTITUTE(C56,"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Semarang</v>
      </c>
      <c r="E56" s="8" cm="1">
        <f t="array" ref="E56">_xlfn.LET(
  _xlpm._src,SUBSTITUTE(C56,"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33236</v>
      </c>
      <c r="F56" s="8" cm="1">
        <f t="array" ref="F56">_xlfn.LET(
  _xlpm._src,SUBSTITUTE(C56,"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44761</v>
      </c>
      <c r="G56" s="9" t="str" cm="1">
        <f t="array" ref="G56">_xlfn.LET(
  _xlpm._src,SUBSTITUTE(C56,"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56" s="9" t="str" cm="1">
        <f t="array" ref="H56">_xlfn.LET(
  _xlpm._src,SUBSTITUTE(C56,"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56" s="10" cm="1">
        <f t="array" ref="I56">_xlfn.LET(
  _xlpm._raw,VLOOKUP(H56,'Data Pegawai'!$J$4:$L$8,2,0),
  _xlpm._e,FIND("E",_xlpm._raw),
  VALUE(MID(_xlpm._raw,2,_xlpm._e-2))*10^VALUE(RIGHT(_xlpm._raw,LEN(_xlpm._raw)-_xlpm._e))
)</f>
        <v>3000000</v>
      </c>
      <c r="J56" s="10" cm="1">
        <f t="array" ref="J56">_xlfn.LET(
  _xlpm._raw,VLOOKUP(H56,'Data Pegawai'!$J$4:$L$8,3,0),
  _xlpm._e,FIND("E",_xlpm._raw),
  VALUE(MID(_xlpm._raw,2,_xlpm._e-2))*10^VALUE(RIGHT(_xlpm._raw,LEN(_xlpm._raw)-_xlpm._e))
)</f>
        <v>500000</v>
      </c>
      <c r="K56" s="11">
        <f t="shared" si="0"/>
        <v>3500000</v>
      </c>
    </row>
    <row r="57" spans="2:11" ht="19.899999999999999" customHeight="1">
      <c r="B57" s="2">
        <v>11</v>
      </c>
      <c r="C57" s="1" t="s">
        <v>57</v>
      </c>
      <c r="D57" s="60" t="str" cm="1">
        <f t="array" ref="D57">_xlfn.LET(
  _xlpm._src,SUBSTITUTE(C57,"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Palembang</v>
      </c>
      <c r="E57" s="8" cm="1">
        <f t="array" ref="E57">_xlfn.LET(
  _xlpm._src,SUBSTITUTE(C57,"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33698</v>
      </c>
      <c r="F57" s="8" cm="1">
        <f t="array" ref="F57">_xlfn.LET(
  _xlpm._src,SUBSTITUTE(C57,"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45148</v>
      </c>
      <c r="G57" s="9" t="str" cm="1">
        <f t="array" ref="G57">_xlfn.LET(
  _xlpm._src,SUBSTITUTE(C57,"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MKT</v>
      </c>
      <c r="H57" s="9" t="str" cm="1">
        <f t="array" ref="H57">_xlfn.LET(
  _xlpm._src,SUBSTITUTE(C57,"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Marketing</v>
      </c>
      <c r="I57" s="10" cm="1">
        <f t="array" ref="I57">_xlfn.LET(
  _xlpm._raw,VLOOKUP(H57,'Data Pegawai'!$J$4:$L$8,2,0),
  _xlpm._e,FIND("E",_xlpm._raw),
  VALUE(MID(_xlpm._raw,2,_xlpm._e-2))*10^VALUE(RIGHT(_xlpm._raw,LEN(_xlpm._raw)-_xlpm._e))
)</f>
        <v>4500000</v>
      </c>
      <c r="J57" s="10" cm="1">
        <f t="array" ref="J57">_xlfn.LET(
  _xlpm._raw,VLOOKUP(H57,'Data Pegawai'!$J$4:$L$8,3,0),
  _xlpm._e,FIND("E",_xlpm._raw),
  VALUE(MID(_xlpm._raw,2,_xlpm._e-2))*10^VALUE(RIGHT(_xlpm._raw,LEN(_xlpm._raw)-_xlpm._e))
)</f>
        <v>100000</v>
      </c>
      <c r="K57" s="11">
        <f t="shared" si="0"/>
        <v>4600000</v>
      </c>
    </row>
    <row r="58" spans="2:11" ht="19.899999999999999" customHeight="1">
      <c r="B58" s="2">
        <v>12</v>
      </c>
      <c r="C58" s="1" t="s">
        <v>58</v>
      </c>
      <c r="D58" s="60" t="str" cm="1">
        <f t="array" ref="D58">_xlfn.LET(
  _xlpm._src,SUBSTITUTE(C58,"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Medan</v>
      </c>
      <c r="E58" s="8" cm="1">
        <f t="array" ref="E58">_xlfn.LET(
  _xlpm._src,SUBSTITUTE(C58,"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31930</v>
      </c>
      <c r="F58" s="8" cm="1">
        <f t="array" ref="F58">_xlfn.LET(
  _xlpm._src,SUBSTITUTE(C58,"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42136</v>
      </c>
      <c r="G58" s="9" t="str" cm="1">
        <f t="array" ref="G58">_xlfn.LET(
  _xlpm._src,SUBSTITUTE(C58,"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SPV</v>
      </c>
      <c r="H58" s="9" t="str" cm="1">
        <f t="array" ref="H58">_xlfn.LET(
  _xlpm._src,SUBSTITUTE(C58,"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Supervisor</v>
      </c>
      <c r="I58" s="10" cm="1">
        <f t="array" ref="I58">_xlfn.LET(
  _xlpm._raw,VLOOKUP(H58,'Data Pegawai'!$J$4:$L$8,2,0),
  _xlpm._e,FIND("E",_xlpm._raw),
  VALUE(MID(_xlpm._raw,2,_xlpm._e-2))*10^VALUE(RIGHT(_xlpm._raw,LEN(_xlpm._raw)-_xlpm._e))
)</f>
        <v>5000000</v>
      </c>
      <c r="J58" s="10" cm="1">
        <f t="array" ref="J58">_xlfn.LET(
  _xlpm._raw,VLOOKUP(H58,'Data Pegawai'!$J$4:$L$8,3,0),
  _xlpm._e,FIND("E",_xlpm._raw),
  VALUE(MID(_xlpm._raw,2,_xlpm._e-2))*10^VALUE(RIGHT(_xlpm._raw,LEN(_xlpm._raw)-_xlpm._e))
)</f>
        <v>150000</v>
      </c>
      <c r="K58" s="11">
        <f t="shared" si="0"/>
        <v>5150000</v>
      </c>
    </row>
    <row r="59" spans="2:11" ht="19.899999999999999" customHeight="1">
      <c r="B59" s="2">
        <v>13</v>
      </c>
      <c r="C59" s="1" t="s">
        <v>59</v>
      </c>
      <c r="D59" s="60" t="str" cm="1">
        <f t="array" ref="D59">_xlfn.LET(
  _xlpm._src,SUBSTITUTE(C59,"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Jakarta</v>
      </c>
      <c r="E59" s="8" cm="1">
        <f t="array" ref="E59">_xlfn.LET(
  _xlpm._src,SUBSTITUTE(C59,"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37140</v>
      </c>
      <c r="F59" s="8" cm="1">
        <f t="array" ref="F59">_xlfn.LET(
  _xlpm._src,SUBSTITUTE(C59,"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42395</v>
      </c>
      <c r="G59" s="9" t="str" cm="1">
        <f t="array" ref="G59">_xlfn.LET(
  _xlpm._src,SUBSTITUTE(C59,"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MKT</v>
      </c>
      <c r="H59" s="9" t="str" cm="1">
        <f t="array" ref="H59">_xlfn.LET(
  _xlpm._src,SUBSTITUTE(C59,"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Marketing</v>
      </c>
      <c r="I59" s="10" cm="1">
        <f t="array" ref="I59">_xlfn.LET(
  _xlpm._raw,VLOOKUP(H59,'Data Pegawai'!$J$4:$L$8,2,0),
  _xlpm._e,FIND("E",_xlpm._raw),
  VALUE(MID(_xlpm._raw,2,_xlpm._e-2))*10^VALUE(RIGHT(_xlpm._raw,LEN(_xlpm._raw)-_xlpm._e))
)</f>
        <v>4500000</v>
      </c>
      <c r="J59" s="10" cm="1">
        <f t="array" ref="J59">_xlfn.LET(
  _xlpm._raw,VLOOKUP(H59,'Data Pegawai'!$J$4:$L$8,3,0),
  _xlpm._e,FIND("E",_xlpm._raw),
  VALUE(MID(_xlpm._raw,2,_xlpm._e-2))*10^VALUE(RIGHT(_xlpm._raw,LEN(_xlpm._raw)-_xlpm._e))
)</f>
        <v>100000</v>
      </c>
      <c r="K59" s="11">
        <f t="shared" si="0"/>
        <v>4600000</v>
      </c>
    </row>
    <row r="60" spans="2:11" ht="19.899999999999999" customHeight="1">
      <c r="B60" s="2">
        <v>14</v>
      </c>
      <c r="C60" s="1" t="s">
        <v>60</v>
      </c>
      <c r="D60" s="60" t="str" cm="1">
        <f t="array" ref="D60">_xlfn.LET(
  _xlpm._src,SUBSTITUTE(C60,"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Surabaya</v>
      </c>
      <c r="E60" s="8" cm="1">
        <f t="array" ref="E60">_xlfn.LET(
  _xlpm._src,SUBSTITUTE(C60,"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32918</v>
      </c>
      <c r="F60" s="8" cm="1">
        <f t="array" ref="F60">_xlfn.LET(
  _xlpm._src,SUBSTITUTE(C60,"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44201</v>
      </c>
      <c r="G60" s="9" t="str" cm="1">
        <f t="array" ref="G60">_xlfn.LET(
  _xlpm._src,SUBSTITUTE(C60,"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IT</v>
      </c>
      <c r="H60" s="9" t="str" cm="1">
        <f t="array" ref="H60">_xlfn.LET(
  _xlpm._src,SUBSTITUTE(C60,"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IT Support</v>
      </c>
      <c r="I60" s="10" cm="1">
        <f t="array" ref="I60">_xlfn.LET(
  _xlpm._raw,VLOOKUP(H60,'Data Pegawai'!$J$4:$L$8,2,0),
  _xlpm._e,FIND("E",_xlpm._raw),
  VALUE(MID(_xlpm._raw,2,_xlpm._e-2))*10^VALUE(RIGHT(_xlpm._raw,LEN(_xlpm._raw)-_xlpm._e))
)</f>
        <v>3000000</v>
      </c>
      <c r="J60" s="10" cm="1">
        <f t="array" ref="J60">_xlfn.LET(
  _xlpm._raw,VLOOKUP(H60,'Data Pegawai'!$J$4:$L$8,3,0),
  _xlpm._e,FIND("E",_xlpm._raw),
  VALUE(MID(_xlpm._raw,2,_xlpm._e-2))*10^VALUE(RIGHT(_xlpm._raw,LEN(_xlpm._raw)-_xlpm._e))
)</f>
        <v>500000</v>
      </c>
      <c r="K60" s="11">
        <f t="shared" si="0"/>
        <v>3500000</v>
      </c>
    </row>
    <row r="61" spans="2:11" ht="19.899999999999999" customHeight="1">
      <c r="B61" s="2">
        <v>15</v>
      </c>
      <c r="C61" s="1" t="s">
        <v>61</v>
      </c>
      <c r="D61" s="60" t="str" cm="1">
        <f t="array" ref="D61">_xlfn.LET(
  _xlpm._src,SUBSTITUTE(C61,"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Medan</v>
      </c>
      <c r="E61" s="8" cm="1">
        <f t="array" ref="E61">_xlfn.LET(
  _xlpm._src,SUBSTITUTE(C61,"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35042</v>
      </c>
      <c r="F61" s="8" cm="1">
        <f t="array" ref="F61">_xlfn.LET(
  _xlpm._src,SUBSTITUTE(C61,"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43370</v>
      </c>
      <c r="G61" s="9" t="str" cm="1">
        <f t="array" ref="G61">_xlfn.LET(
  _xlpm._src,SUBSTITUTE(C61,"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SPV</v>
      </c>
      <c r="H61" s="9" t="str" cm="1">
        <f t="array" ref="H61">_xlfn.LET(
  _xlpm._src,SUBSTITUTE(C61,"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Supervisor</v>
      </c>
      <c r="I61" s="10" cm="1">
        <f t="array" ref="I61">_xlfn.LET(
  _xlpm._raw,VLOOKUP(H61,'Data Pegawai'!$J$4:$L$8,2,0),
  _xlpm._e,FIND("E",_xlpm._raw),
  VALUE(MID(_xlpm._raw,2,_xlpm._e-2))*10^VALUE(RIGHT(_xlpm._raw,LEN(_xlpm._raw)-_xlpm._e))
)</f>
        <v>5000000</v>
      </c>
      <c r="J61" s="10" cm="1">
        <f t="array" ref="J61">_xlfn.LET(
  _xlpm._raw,VLOOKUP(H61,'Data Pegawai'!$J$4:$L$8,3,0),
  _xlpm._e,FIND("E",_xlpm._raw),
  VALUE(MID(_xlpm._raw,2,_xlpm._e-2))*10^VALUE(RIGHT(_xlpm._raw,LEN(_xlpm._raw)-_xlpm._e))
)</f>
        <v>150000</v>
      </c>
      <c r="K61" s="11">
        <f t="shared" si="0"/>
        <v>5150000</v>
      </c>
    </row>
    <row r="62" spans="2:11" ht="19.899999999999999" customHeight="1">
      <c r="B62" s="2">
        <v>16</v>
      </c>
      <c r="C62" s="1" t="s">
        <v>62</v>
      </c>
      <c r="D62" s="60" t="str" cm="1">
        <f t="array" ref="D62">_xlfn.LET(
  _xlpm._src,SUBSTITUTE(C62,"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Pegawai'!$B$4:$B$53)
)</f>
        <v>Bandung</v>
      </c>
      <c r="E62" s="8" cm="1">
        <f t="array" ref="E62">_xlfn.LET(
  _xlpm._src,SUBSTITUTE(C62,"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Pegawai'!$C$4:$C$53)
)</f>
        <v>36696</v>
      </c>
      <c r="F62" s="8" cm="1">
        <f t="array" ref="F62">_xlfn.LET(
  _xlpm._src,SUBSTITUTE(C62,"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_xlfn.XLOOKUP(_xlpm._key,_xlpm._keys,'Data Pegawai'!$D$4:$D$53)
)</f>
        <v>42444</v>
      </c>
      <c r="G62" s="9" t="str" cm="1">
        <f t="array" ref="G62">_xlfn.LET(
  _xlpm._src,SUBSTITUTE(C62,"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_xlfn.XLOOKUP(_xlpm._deckey,_xlpm._jabkeys,'Data Pegawai'!$I$4:$I$8)
)</f>
        <v>ACC</v>
      </c>
      <c r="H62" s="9" t="str" cm="1">
        <f t="array" ref="H62">_xlfn.LET(
  _xlpm._src,SUBSTITUTE(C62," ",""),
  _xlpm._key,_xlfn.TEXTJOIN("",TRUE,_xlfn._xlws.SORT(MID(LOWER(_xlpm._src),_xlfn.SEQUENCE(LEN(_xlpm._src)),1))),
  _xlpm._names,'Data Pegawai'!$A$4:$A$53,
  _xlpm._keys,_xlfn.BYROW(_xlpm._names,_xlfn.LAMBDA(_xlpm.r,_xlfn.LET(_xlpm._s,SUBSTITUTE(_xlpm.r," ",""),_xlfn.TEXTJOIN("",TRUE,_xlfn._xlws.SORT(MID(LOWER(_xlpm._s),_xlfn.SEQUENCE(LEN(_xlpm._s)),1)))))),
  _xlpm._cipher,_xlfn.XLOOKUP(_xlpm._key,_xlpm._keys,'Data Pegawai'!$E$4:$E$53),
  _xlpm._chars,MID(_xlpm._cipher,_xlfn.SEQUENCE(LEN(_xlpm._cipher)),1),
  _xlpm._decoded,_xlfn.TEXTJOIN("",TRUE,_xlfn.MAP(_xlpm._chars,_xlfn.LAMBDA(_xlpm.c,IF(CODE(_xlpm.c)=33," ",IF(CODE(_xlpm.c)=65,CHAR(90),IF(CODE(_xlpm.c)=97,CHAR(122),IF(OR(AND(CODE(_xlpm.c)&gt;65,CODE(_xlpm.c)&lt;=90),AND(CODE(_xlpm.c)&gt;97,CODE(_xlpm.c)&lt;=122)),CHAR(CODE(_xlpm.c)-1),_xlpm.c))))))),
  _xlpm._deckey,_xlfn.LET(_xlpm._d,SUBSTITUTE(_xlpm._decoded," ",""),_xlfn.TEXTJOIN("",TRUE,_xlfn._xlws.SORT(MID(LOWER(_xlpm._d),_xlfn.SEQUENCE(LEN(_xlpm._d)),1)))),
  _xlpm._jabatan,'Data Pegawai'!$J$4:$J$8,
  _xlpm._jabkeys,_xlfn.BYROW(_xlpm._jabatan,_xlfn.LAMBDA(_xlpm.j,_xlfn.LET(_xlpm._s,SUBSTITUTE(_xlpm.j," ",""),_xlfn.TEXTJOIN("",TRUE,_xlfn._xlws.SORT(MID(LOWER(_xlpm._s),_xlfn.SEQUENCE(LEN(_xlpm._s)),1)))))),
  _xlfn.XLOOKUP(_xlpm._deckey,_xlpm._jabkeys,_xlpm._jabatan)
)</f>
        <v>Accounting</v>
      </c>
      <c r="I62" s="10" cm="1">
        <f t="array" ref="I62">_xlfn.LET(
  _xlpm._raw,VLOOKUP(H62,'Data Pegawai'!$J$4:$L$8,2,0),
  _xlpm._e,FIND("E",_xlpm._raw),
  VALUE(MID(_xlpm._raw,2,_xlpm._e-2))*10^VALUE(RIGHT(_xlpm._raw,LEN(_xlpm._raw)-_xlpm._e))
)</f>
        <v>3500000</v>
      </c>
      <c r="J62" s="10" cm="1">
        <f t="array" ref="J62">_xlfn.LET(
  _xlpm._raw,VLOOKUP(H62,'Data Pegawai'!$J$4:$L$8,3,0),
  _xlpm._e,FIND("E",_xlpm._raw),
  VALUE(MID(_xlpm._raw,2,_xlpm._e-2))*10^VALUE(RIGHT(_xlpm._raw,LEN(_xlpm._raw)-_xlpm._e))
)</f>
        <v>500000</v>
      </c>
      <c r="K62" s="11">
        <f t="shared" si="0"/>
        <v>4000000</v>
      </c>
    </row>
    <row r="67" spans="1:11">
      <c r="A67" s="64" t="s">
        <v>63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</row>
  </sheetData>
  <mergeCells count="10">
    <mergeCell ref="I33:K33"/>
    <mergeCell ref="I34:K34"/>
    <mergeCell ref="A67:K67"/>
    <mergeCell ref="A17:B17"/>
    <mergeCell ref="E17:F17"/>
    <mergeCell ref="A19:K19"/>
    <mergeCell ref="A40:K40"/>
    <mergeCell ref="I26:K27"/>
    <mergeCell ref="I23:K24"/>
    <mergeCell ref="I29:K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03C8-2E05-401B-8AC2-B928D7F1CA3B}">
  <sheetPr codeName="Sheet2"/>
  <dimension ref="A1:V66"/>
  <sheetViews>
    <sheetView topLeftCell="A46" workbookViewId="0">
      <selection activeCell="O71" sqref="O71"/>
    </sheetView>
  </sheetViews>
  <sheetFormatPr defaultRowHeight="14.45"/>
  <cols>
    <col min="3" max="3" width="11.7109375" customWidth="1"/>
    <col min="4" max="4" width="10.5703125" customWidth="1"/>
    <col min="5" max="5" width="9.28515625" customWidth="1"/>
    <col min="6" max="6" width="10.28515625" customWidth="1"/>
    <col min="7" max="7" width="13.7109375" customWidth="1"/>
    <col min="8" max="8" width="12.28515625" customWidth="1"/>
    <col min="9" max="9" width="11.7109375" customWidth="1"/>
    <col min="10" max="10" width="10.42578125" customWidth="1"/>
    <col min="15" max="15" width="72.28515625" customWidth="1"/>
  </cols>
  <sheetData>
    <row r="1" spans="1:22">
      <c r="A1" t="s">
        <v>64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</row>
    <row r="2" spans="1:22">
      <c r="A2" t="s">
        <v>65</v>
      </c>
      <c r="B2">
        <v>1</v>
      </c>
      <c r="C2" t="str">
        <f>'XL-Test'!D47</f>
        <v>Semarang</v>
      </c>
      <c r="D2">
        <f>'XL-Test'!E47</f>
        <v>38606</v>
      </c>
      <c r="E2">
        <f>'XL-Test'!F47</f>
        <v>44871</v>
      </c>
      <c r="F2" t="str">
        <f>'XL-Test'!G47</f>
        <v>ADM</v>
      </c>
      <c r="G2" t="str">
        <f>'XL-Test'!H47</f>
        <v>Admin</v>
      </c>
      <c r="H2">
        <f>'XL-Test'!I47</f>
        <v>2500000</v>
      </c>
      <c r="I2">
        <f>'XL-Test'!J47</f>
        <v>50000</v>
      </c>
      <c r="J2">
        <f>'XL-Test'!K47</f>
        <v>2550000</v>
      </c>
      <c r="N2">
        <v>1</v>
      </c>
      <c r="O2" t="str">
        <f ca="1">_xlfn.FORMULATEXT('XL-Test'!D47)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XLOOKUP(_key;_keys;'Data Pegawai'!$B$4:$B$53)
)</v>
      </c>
      <c r="P2" t="str">
        <f ca="1">_xlfn.FORMULATEXT('XL-Test'!E47)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XLOOKUP(_key;_keys;'Data Pegawai'!$C$4:$C$53)
)</v>
      </c>
      <c r="Q2" t="str">
        <f ca="1">_xlfn.FORMULATEXT('XL-Test'!F47)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XLOOKUP(_key;_keys;'Data Pegawai'!$D$4:$D$53)
)</v>
      </c>
      <c r="R2" t="str">
        <f ca="1">_xlfn.FORMULATEXT('XL-Test'!G47)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_cipher;XLOOKUP(_key;_keys;'Data Pegawai'!$E$4:$E$53);
  _chars;MID(_cipher;SEQUENCE(LEN(_cipher));1);
  _decoded;TEXTJOIN("";TRUE;MAP(_chars;LAMBDA(c;IF(CODE(c)=33;" ";IF(CODE(c)=65;CHAR(90);IF(CODE(c)=97;CHAR(122);IF(OR(AND(CODE(c)&gt;65;CODE(c)&lt;=90);AND(CODE(c)&gt;97;CODE(c)&lt;=122));CHAR(CODE(c)-1);c)))))));
  _deckey;LET(_d;SUBSTITUTE(_decoded;" ";"");TEXTJOIN("";TRUE;SORT(MID(LOWER(_d);SEQUENCE(LEN(_d));1))));
  _jabatan;'Data Pegawai'!$J$4:$J$8;
  _jabkeys;BYROW(_jabatan;LAMBDA(j;LET(_s;SUBSTITUTE(j;" ";"");TEXTJOIN("";TRUE;SORT(MID(LOWER(_s);SEQUENCE(LEN(_s));1))))));
  XLOOKUP(_deckey;_jabkeys;'Data Pegawai'!$I$4:$I$8)
)</v>
      </c>
      <c r="S2" t="str">
        <f ca="1">_xlfn.FORMULATEXT('XL-Test'!H47)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_cipher;XLOOKUP(_key;_keys;'Data Pegawai'!$E$4:$E$53);
  _chars;MID(_cipher;SEQUENCE(LEN(_cipher));1);
  _decoded;TEXTJOIN("";TRUE;MAP(_chars;LAMBDA(c;IF(CODE(c)=33;" ";IF(CODE(c)=65;CHAR(90);IF(CODE(c)=97;CHAR(122);IF(OR(AND(CODE(c)&gt;65;CODE(c)&lt;=90);AND(CODE(c)&gt;97;CODE(c)&lt;=122));CHAR(CODE(c)-1);c)))))));
  _deckey;LET(_d;SUBSTITUTE(_decoded;" ";"");TEXTJOIN("";TRUE;SORT(MID(LOWER(_d);SEQUENCE(LEN(_d));1))));
  _jabatan;'Data Pegawai'!$J$4:$J$8;
  _jabkeys;BYROW(_jabatan;LAMBDA(j;LET(_s;SUBSTITUTE(j;" ";"");TEXTJOIN("";TRUE;SORT(MID(LOWER(_s);SEQUENCE(LEN(_s));1))))));
  XLOOKUP(_deckey;_jabkeys;_jabatan)
)</v>
      </c>
      <c r="T2" t="str">
        <f ca="1">_xlfn.FORMULATEXT('XL-Test'!I47)</f>
        <v>=LET(
  _raw;VLOOKUP(H47;'Data Pegawai'!$J$4:$L$8;2;0);
  _e;FIND("E";_raw);
  VALUE(MID(_raw;2;_e-2))*10^VALUE(RIGHT(_raw;LEN(_raw)-_e))
)</v>
      </c>
      <c r="U2" t="str">
        <f ca="1">_xlfn.FORMULATEXT('XL-Test'!J47)</f>
        <v>=LET(
  _raw;VLOOKUP(H47;'Data Pegawai'!$J$4:$L$8;3;0);
  _e;FIND("E";_raw);
  VALUE(MID(_raw;2;_e-2))*10^VALUE(RIGHT(_raw;LEN(_raw)-_e))
)</v>
      </c>
      <c r="V2" t="str">
        <f ca="1">_xlfn.FORMULATEXT('XL-Test'!K47)</f>
        <v>=SUM(I47:J47)</v>
      </c>
    </row>
    <row r="3" spans="1:22">
      <c r="B3">
        <v>2</v>
      </c>
      <c r="C3" t="str">
        <f>'XL-Test'!D48</f>
        <v>Palembang</v>
      </c>
      <c r="D3">
        <f>'XL-Test'!E48</f>
        <v>33862</v>
      </c>
      <c r="E3">
        <f>'XL-Test'!F48</f>
        <v>42777</v>
      </c>
      <c r="F3" t="str">
        <f>'XL-Test'!G48</f>
        <v>MKT</v>
      </c>
      <c r="G3" t="str">
        <f>'XL-Test'!H48</f>
        <v>Marketing</v>
      </c>
      <c r="H3">
        <f>'XL-Test'!I48</f>
        <v>4500000</v>
      </c>
      <c r="I3">
        <f>'XL-Test'!J48</f>
        <v>100000</v>
      </c>
      <c r="J3">
        <f>'XL-Test'!K48</f>
        <v>4600000</v>
      </c>
      <c r="N3">
        <v>2</v>
      </c>
      <c r="O3" t="str">
        <f ca="1">_xlfn.FORMULATEXT('XL-Test'!E47)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XLOOKUP(_key;_keys;'Data Pegawai'!$C$4:$C$53)
)</v>
      </c>
    </row>
    <row r="4" spans="1:22">
      <c r="B4">
        <v>3</v>
      </c>
      <c r="C4" t="str">
        <f>'XL-Test'!D49</f>
        <v>Surabaya</v>
      </c>
      <c r="D4">
        <f>'XL-Test'!E49</f>
        <v>36308</v>
      </c>
      <c r="E4">
        <f>'XL-Test'!F49</f>
        <v>44626</v>
      </c>
      <c r="F4" t="str">
        <f>'XL-Test'!G49</f>
        <v>IT</v>
      </c>
      <c r="G4" t="str">
        <f>'XL-Test'!H49</f>
        <v>IT Support</v>
      </c>
      <c r="H4">
        <f>'XL-Test'!I49</f>
        <v>3000000</v>
      </c>
      <c r="I4">
        <f>'XL-Test'!J49</f>
        <v>500000</v>
      </c>
      <c r="J4">
        <f>'XL-Test'!K49</f>
        <v>3500000</v>
      </c>
      <c r="N4">
        <v>3</v>
      </c>
      <c r="O4" t="str">
        <f ca="1">_xlfn.FORMULATEXT('XL-Test'!F47)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XLOOKUP(_key;_keys;'Data Pegawai'!$D$4:$D$53)
)</v>
      </c>
    </row>
    <row r="5" spans="1:22">
      <c r="B5">
        <v>4</v>
      </c>
      <c r="C5" t="str">
        <f>'XL-Test'!D50</f>
        <v>Bandung</v>
      </c>
      <c r="D5">
        <f>'XL-Test'!E50</f>
        <v>37155</v>
      </c>
      <c r="E5">
        <f>'XL-Test'!F50</f>
        <v>44109</v>
      </c>
      <c r="F5" t="str">
        <f>'XL-Test'!G50</f>
        <v>IT</v>
      </c>
      <c r="G5" t="str">
        <f>'XL-Test'!H50</f>
        <v>IT Support</v>
      </c>
      <c r="H5">
        <f>'XL-Test'!I50</f>
        <v>3000000</v>
      </c>
      <c r="I5">
        <f>'XL-Test'!J50</f>
        <v>500000</v>
      </c>
      <c r="J5">
        <f>'XL-Test'!K50</f>
        <v>3500000</v>
      </c>
      <c r="N5">
        <v>4</v>
      </c>
      <c r="O5" t="str">
        <f ca="1">_xlfn.FORMULATEXT('XL-Test'!G47)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_cipher;XLOOKUP(_key;_keys;'Data Pegawai'!$E$4:$E$53);
  _chars;MID(_cipher;SEQUENCE(LEN(_cipher));1);
  _decoded;TEXTJOIN("";TRUE;MAP(_chars;LAMBDA(c;IF(CODE(c)=33;" ";IF(CODE(c)=65;CHAR(90);IF(CODE(c)=97;CHAR(122);IF(OR(AND(CODE(c)&gt;65;CODE(c)&lt;=90);AND(CODE(c)&gt;97;CODE(c)&lt;=122));CHAR(CODE(c)-1);c)))))));
  _deckey;LET(_d;SUBSTITUTE(_decoded;" ";"");TEXTJOIN("";TRUE;SORT(MID(LOWER(_d);SEQUENCE(LEN(_d));1))));
  _jabatan;'Data Pegawai'!$J$4:$J$8;
  _jabkeys;BYROW(_jabatan;LAMBDA(j;LET(_s;SUBSTITUTE(j;" ";"");TEXTJOIN("";TRUE;SORT(MID(LOWER(_s);SEQUENCE(LEN(_s));1))))));
  XLOOKUP(_deckey;_jabkeys;'Data Pegawai'!$I$4:$I$8)
)</v>
      </c>
    </row>
    <row r="6" spans="1:22">
      <c r="B6">
        <v>5</v>
      </c>
      <c r="C6" t="str">
        <f>'XL-Test'!D51</f>
        <v>Medan</v>
      </c>
      <c r="D6">
        <f>'XL-Test'!E51</f>
        <v>36381</v>
      </c>
      <c r="E6">
        <f>'XL-Test'!F51</f>
        <v>42023</v>
      </c>
      <c r="F6" t="str">
        <f>'XL-Test'!G51</f>
        <v>IT</v>
      </c>
      <c r="G6" t="str">
        <f>'XL-Test'!H51</f>
        <v>IT Support</v>
      </c>
      <c r="H6">
        <f>'XL-Test'!I51</f>
        <v>3000000</v>
      </c>
      <c r="I6">
        <f>'XL-Test'!J51</f>
        <v>500000</v>
      </c>
      <c r="J6">
        <f>'XL-Test'!K51</f>
        <v>3500000</v>
      </c>
      <c r="N6">
        <v>5</v>
      </c>
      <c r="O6" t="str">
        <f ca="1">_xlfn.FORMULATEXT('XL-Test'!H47)</f>
        <v>=LET(
  _src;SUBSTITUTE(C47;" ";"");
  _key;TEXTJOIN("";TRUE;SORT(MID(LOWER(_src);SEQUENCE(LEN(_src));1)));
  _names;'Data Pegawai'!$A$4:$A$53;
  _keys;BYROW(_names;LAMBDA(r;LET(_s;SUBSTITUTE(r;" ";"");TEXTJOIN("";TRUE;SORT(MID(LOWER(_s);SEQUENCE(LEN(_s));1))))));
  _cipher;XLOOKUP(_key;_keys;'Data Pegawai'!$E$4:$E$53);
  _chars;MID(_cipher;SEQUENCE(LEN(_cipher));1);
  _decoded;TEXTJOIN("";TRUE;MAP(_chars;LAMBDA(c;IF(CODE(c)=33;" ";IF(CODE(c)=65;CHAR(90);IF(CODE(c)=97;CHAR(122);IF(OR(AND(CODE(c)&gt;65;CODE(c)&lt;=90);AND(CODE(c)&gt;97;CODE(c)&lt;=122));CHAR(CODE(c)-1);c)))))));
  _deckey;LET(_d;SUBSTITUTE(_decoded;" ";"");TEXTJOIN("";TRUE;SORT(MID(LOWER(_d);SEQUENCE(LEN(_d));1))));
  _jabatan;'Data Pegawai'!$J$4:$J$8;
  _jabkeys;BYROW(_jabatan;LAMBDA(j;LET(_s;SUBSTITUTE(j;" ";"");TEXTJOIN("";TRUE;SORT(MID(LOWER(_s);SEQUENCE(LEN(_s));1))))));
  XLOOKUP(_deckey;_jabkeys;_jabatan)
)</v>
      </c>
    </row>
    <row r="7" spans="1:22">
      <c r="B7">
        <v>6</v>
      </c>
      <c r="C7" t="str">
        <f>'XL-Test'!D52</f>
        <v>Makassar</v>
      </c>
      <c r="D7">
        <f>'XL-Test'!E52</f>
        <v>34830</v>
      </c>
      <c r="E7">
        <f>'XL-Test'!F52</f>
        <v>43794</v>
      </c>
      <c r="F7" t="str">
        <f>'XL-Test'!G52</f>
        <v>MKT</v>
      </c>
      <c r="G7" t="str">
        <f>'XL-Test'!H52</f>
        <v>Marketing</v>
      </c>
      <c r="H7">
        <f>'XL-Test'!I52</f>
        <v>4500000</v>
      </c>
      <c r="I7">
        <f>'XL-Test'!J52</f>
        <v>100000</v>
      </c>
      <c r="J7">
        <f>'XL-Test'!K52</f>
        <v>4600000</v>
      </c>
      <c r="N7">
        <v>6</v>
      </c>
      <c r="O7" t="str">
        <f ca="1">_xlfn.FORMULATEXT('XL-Test'!I47)</f>
        <v>=LET(
  _raw;VLOOKUP(H47;'Data Pegawai'!$J$4:$L$8;2;0);
  _e;FIND("E";_raw);
  VALUE(MID(_raw;2;_e-2))*10^VALUE(RIGHT(_raw;LEN(_raw)-_e))
)</v>
      </c>
    </row>
    <row r="8" spans="1:22">
      <c r="B8">
        <v>7</v>
      </c>
      <c r="C8" t="str">
        <f>'XL-Test'!D53</f>
        <v>Denpasar</v>
      </c>
      <c r="D8">
        <f>'XL-Test'!E53</f>
        <v>32287</v>
      </c>
      <c r="E8">
        <f>'XL-Test'!F53</f>
        <v>42466</v>
      </c>
      <c r="F8" t="str">
        <f>'XL-Test'!G53</f>
        <v>MKT</v>
      </c>
      <c r="G8" t="str">
        <f>'XL-Test'!H53</f>
        <v>Marketing</v>
      </c>
      <c r="H8">
        <f>'XL-Test'!I53</f>
        <v>4500000</v>
      </c>
      <c r="I8">
        <f>'XL-Test'!J53</f>
        <v>100000</v>
      </c>
      <c r="J8">
        <f>'XL-Test'!K53</f>
        <v>4600000</v>
      </c>
      <c r="N8">
        <v>7</v>
      </c>
      <c r="O8" t="str">
        <f ca="1">_xlfn.FORMULATEXT('XL-Test'!J47)</f>
        <v>=LET(
  _raw;VLOOKUP(H47;'Data Pegawai'!$J$4:$L$8;3;0);
  _e;FIND("E";_raw);
  VALUE(MID(_raw;2;_e-2))*10^VALUE(RIGHT(_raw;LEN(_raw)-_e))
)</v>
      </c>
    </row>
    <row r="9" spans="1:22">
      <c r="B9">
        <v>8</v>
      </c>
      <c r="C9" t="str">
        <f>'XL-Test'!D54</f>
        <v>Medan</v>
      </c>
      <c r="D9">
        <f>'XL-Test'!E54</f>
        <v>36331</v>
      </c>
      <c r="E9">
        <f>'XL-Test'!F54</f>
        <v>45147</v>
      </c>
      <c r="F9" t="str">
        <f>'XL-Test'!G54</f>
        <v>IT</v>
      </c>
      <c r="G9" t="str">
        <f>'XL-Test'!H54</f>
        <v>IT Support</v>
      </c>
      <c r="H9">
        <f>'XL-Test'!I54</f>
        <v>3000000</v>
      </c>
      <c r="I9">
        <f>'XL-Test'!J54</f>
        <v>500000</v>
      </c>
      <c r="J9">
        <f>'XL-Test'!K54</f>
        <v>3500000</v>
      </c>
      <c r="N9">
        <v>8</v>
      </c>
      <c r="O9" t="str">
        <f ca="1">_xlfn.FORMULATEXT('XL-Test'!K47)</f>
        <v>=SUM(I47:J47)</v>
      </c>
    </row>
    <row r="10" spans="1:22">
      <c r="B10">
        <v>9</v>
      </c>
      <c r="C10" t="str">
        <f>'XL-Test'!D55</f>
        <v>Semarang</v>
      </c>
      <c r="D10">
        <f>'XL-Test'!E55</f>
        <v>37890</v>
      </c>
      <c r="E10">
        <f>'XL-Test'!F55</f>
        <v>43361</v>
      </c>
      <c r="F10" t="str">
        <f>'XL-Test'!G55</f>
        <v>ADM</v>
      </c>
      <c r="G10" t="str">
        <f>'XL-Test'!H55</f>
        <v>Admin</v>
      </c>
      <c r="H10">
        <f>'XL-Test'!I55</f>
        <v>2500000</v>
      </c>
      <c r="I10">
        <f>'XL-Test'!J55</f>
        <v>50000</v>
      </c>
      <c r="J10">
        <f>'XL-Test'!K55</f>
        <v>2550000</v>
      </c>
    </row>
    <row r="11" spans="1:22">
      <c r="B11">
        <v>10</v>
      </c>
      <c r="C11" t="str">
        <f>'XL-Test'!D56</f>
        <v>Semarang</v>
      </c>
      <c r="D11">
        <f>'XL-Test'!E56</f>
        <v>33236</v>
      </c>
      <c r="E11">
        <f>'XL-Test'!F56</f>
        <v>44761</v>
      </c>
      <c r="F11" t="str">
        <f>'XL-Test'!G56</f>
        <v>IT</v>
      </c>
      <c r="G11" t="str">
        <f>'XL-Test'!H56</f>
        <v>IT Support</v>
      </c>
      <c r="H11">
        <f>'XL-Test'!I56</f>
        <v>3000000</v>
      </c>
      <c r="I11">
        <f>'XL-Test'!J56</f>
        <v>500000</v>
      </c>
      <c r="J11">
        <f>'XL-Test'!K56</f>
        <v>3500000</v>
      </c>
    </row>
    <row r="12" spans="1:22">
      <c r="B12">
        <v>11</v>
      </c>
      <c r="C12" t="str">
        <f>'XL-Test'!D57</f>
        <v>Palembang</v>
      </c>
      <c r="D12">
        <f>'XL-Test'!E57</f>
        <v>33698</v>
      </c>
      <c r="E12">
        <f>'XL-Test'!F57</f>
        <v>45148</v>
      </c>
      <c r="F12" t="str">
        <f>'XL-Test'!G57</f>
        <v>MKT</v>
      </c>
      <c r="G12" t="str">
        <f>'XL-Test'!H57</f>
        <v>Marketing</v>
      </c>
      <c r="H12">
        <f>'XL-Test'!I57</f>
        <v>4500000</v>
      </c>
      <c r="I12">
        <f>'XL-Test'!J57</f>
        <v>100000</v>
      </c>
      <c r="J12">
        <f>'XL-Test'!K57</f>
        <v>4600000</v>
      </c>
    </row>
    <row r="13" spans="1:22">
      <c r="B13">
        <v>12</v>
      </c>
      <c r="C13" t="str">
        <f>'XL-Test'!D58</f>
        <v>Medan</v>
      </c>
      <c r="D13">
        <f>'XL-Test'!E58</f>
        <v>31930</v>
      </c>
      <c r="E13">
        <f>'XL-Test'!F58</f>
        <v>42136</v>
      </c>
      <c r="F13" t="str">
        <f>'XL-Test'!G58</f>
        <v>SPV</v>
      </c>
      <c r="G13" t="str">
        <f>'XL-Test'!H58</f>
        <v>Supervisor</v>
      </c>
      <c r="H13">
        <f>'XL-Test'!I58</f>
        <v>5000000</v>
      </c>
      <c r="I13">
        <f>'XL-Test'!J58</f>
        <v>150000</v>
      </c>
      <c r="J13">
        <f>'XL-Test'!K58</f>
        <v>5150000</v>
      </c>
    </row>
    <row r="14" spans="1:22">
      <c r="B14">
        <v>13</v>
      </c>
      <c r="C14" t="str">
        <f>'XL-Test'!D59</f>
        <v>Jakarta</v>
      </c>
      <c r="D14">
        <f>'XL-Test'!E59</f>
        <v>37140</v>
      </c>
      <c r="E14">
        <f>'XL-Test'!F59</f>
        <v>42395</v>
      </c>
      <c r="F14" t="str">
        <f>'XL-Test'!G59</f>
        <v>MKT</v>
      </c>
      <c r="G14" t="str">
        <f>'XL-Test'!H59</f>
        <v>Marketing</v>
      </c>
      <c r="H14">
        <f>'XL-Test'!I59</f>
        <v>4500000</v>
      </c>
      <c r="I14">
        <f>'XL-Test'!J59</f>
        <v>100000</v>
      </c>
      <c r="J14">
        <f>'XL-Test'!K59</f>
        <v>4600000</v>
      </c>
    </row>
    <row r="15" spans="1:22">
      <c r="B15">
        <v>14</v>
      </c>
      <c r="C15" t="str">
        <f>'XL-Test'!D60</f>
        <v>Surabaya</v>
      </c>
      <c r="D15">
        <f>'XL-Test'!E60</f>
        <v>32918</v>
      </c>
      <c r="E15">
        <f>'XL-Test'!F60</f>
        <v>44201</v>
      </c>
      <c r="F15" t="str">
        <f>'XL-Test'!G60</f>
        <v>IT</v>
      </c>
      <c r="G15" t="str">
        <f>'XL-Test'!H60</f>
        <v>IT Support</v>
      </c>
      <c r="H15">
        <f>'XL-Test'!I60</f>
        <v>3000000</v>
      </c>
      <c r="I15">
        <f>'XL-Test'!J60</f>
        <v>500000</v>
      </c>
      <c r="J15">
        <f>'XL-Test'!K60</f>
        <v>3500000</v>
      </c>
    </row>
    <row r="16" spans="1:22">
      <c r="B16">
        <v>15</v>
      </c>
      <c r="C16" t="str">
        <f>'XL-Test'!D61</f>
        <v>Medan</v>
      </c>
      <c r="D16">
        <f>'XL-Test'!E61</f>
        <v>35042</v>
      </c>
      <c r="E16">
        <f>'XL-Test'!F61</f>
        <v>43370</v>
      </c>
      <c r="F16" t="str">
        <f>'XL-Test'!G61</f>
        <v>SPV</v>
      </c>
      <c r="G16" t="str">
        <f>'XL-Test'!H61</f>
        <v>Supervisor</v>
      </c>
      <c r="H16">
        <f>'XL-Test'!I61</f>
        <v>5000000</v>
      </c>
      <c r="I16">
        <f>'XL-Test'!J61</f>
        <v>150000</v>
      </c>
      <c r="J16">
        <f>'XL-Test'!K61</f>
        <v>5150000</v>
      </c>
    </row>
    <row r="17" spans="2:10">
      <c r="B17">
        <v>16</v>
      </c>
      <c r="C17" t="str">
        <f>'XL-Test'!D62</f>
        <v>Bandung</v>
      </c>
      <c r="D17">
        <f>'XL-Test'!E62</f>
        <v>36696</v>
      </c>
      <c r="E17">
        <f>'XL-Test'!F62</f>
        <v>42444</v>
      </c>
      <c r="F17" t="str">
        <f>'XL-Test'!G62</f>
        <v>ACC</v>
      </c>
      <c r="G17" t="str">
        <f>'XL-Test'!H62</f>
        <v>Accounting</v>
      </c>
      <c r="H17">
        <f>'XL-Test'!I62</f>
        <v>3500000</v>
      </c>
      <c r="I17">
        <f>'XL-Test'!J62</f>
        <v>500000</v>
      </c>
      <c r="J17">
        <f>'XL-Test'!K62</f>
        <v>4000000</v>
      </c>
    </row>
    <row r="19" spans="2:10">
      <c r="C19">
        <f>CODE(LEFT(C2))+CODE(LEFT(C3))+CODE(LEFT(C4))+CODE(LEFT(C5))+CODE(LEFT(C6))+CODE(LEFT(C7))+CODE(LEFT(C8))+CODE(LEFT(C9))+CODE(LEFT(C10))+CODE(LEFT(C11))+CODE(LEFT(C12))+CODE(LEFT(C13))+CODE(LEFT(C14))+CODE(LEFT(C15))+CODE(LEFT(C16))+CODE(LEFT(C17))+CODE(RIGHT(C7))+CODE(RIGHT(C10))+CODE(RIGHT(C3))+CODE(RIGHT(C14))+CODE(RIGHT(C16))+CODE(RIGHT(C2))</f>
        <v>1864</v>
      </c>
      <c r="D19">
        <f>SUM(D2:D17)+D3+D5+D8+D10+D12+D14+D16</f>
        <v>811384</v>
      </c>
      <c r="E19">
        <f>SUM(E2:E17)+E3+E5+E8+E10+E12+E14+E16</f>
        <v>1001255</v>
      </c>
      <c r="F19">
        <f>CODE(LEFT(F2))+CODE(LEFT(F3))+CODE(LEFT(F4))+CODE(LEFT(F5))+CODE(LEFT(F6))+CODE(LEFT(F7))+CODE(LEFT(F8))+CODE(LEFT(F9))+CODE(LEFT(F10))+CODE(LEFT(F11))+CODE(LEFT(F12))+CODE(LEFT(F13))+CODE(LEFT(F14))+CODE(LEFT(F15))+CODE(LEFT(F16))+CODE(LEFT(F17))+CODE(RIGHT(F7))+CODE(RIGHT(F10))+CODE(RIGHT(F3))+CODE(RIGHT(F14))+CODE(RIGHT(F16))+CODE(RIGHT(F2))</f>
        <v>1676</v>
      </c>
      <c r="G19">
        <f>CODE(LEFT(G2))+CODE(LEFT(G3))+CODE(LEFT(G4))+CODE(LEFT(G5))+CODE(LEFT(G6))+CODE(LEFT(G7))+CODE(LEFT(G8))+CODE(LEFT(G9))+CODE(LEFT(G10))+CODE(LEFT(G11))+CODE(LEFT(G12))+CODE(LEFT(G13))+CODE(LEFT(G14))+CODE(LEFT(G15))+CODE(LEFT(G16))+CODE(LEFT(G17))+CODE(RIGHT(G7))+CODE(RIGHT(G10))+CODE(RIGHT(G3))+CODE(RIGHT(G14))+CODE(RIGHT(G16))+CODE(RIGHT(G2))</f>
        <v>1827</v>
      </c>
      <c r="H19">
        <f>SUM(H2:H17)+H3+H5+H8+H10+H12+H14+H16</f>
        <v>87500000</v>
      </c>
      <c r="I19">
        <f>SUM(I2:I17)+I3+I5+I8+I10+I12+I14+I16</f>
        <v>5500000</v>
      </c>
      <c r="J19">
        <f>SUM(J2:J17)+J3+J5+J8+J10+J12+J14+J16+J6</f>
        <v>96500000</v>
      </c>
    </row>
    <row r="20" spans="2:10">
      <c r="C20">
        <f>C19</f>
        <v>1864</v>
      </c>
      <c r="D20">
        <f t="shared" ref="D20:G20" si="0">D19</f>
        <v>811384</v>
      </c>
      <c r="E20">
        <f t="shared" si="0"/>
        <v>1001255</v>
      </c>
      <c r="F20">
        <f t="shared" si="0"/>
        <v>1676</v>
      </c>
      <c r="G20">
        <f t="shared" si="0"/>
        <v>1827</v>
      </c>
      <c r="H20">
        <f>H19/1000</f>
        <v>87500</v>
      </c>
      <c r="I20">
        <f>I19/1000</f>
        <v>5500</v>
      </c>
      <c r="J20">
        <f>J19/1000</f>
        <v>96500</v>
      </c>
    </row>
    <row r="22" spans="2:10">
      <c r="B22" t="s">
        <v>66</v>
      </c>
      <c r="C22">
        <v>9580</v>
      </c>
      <c r="D22">
        <v>8563</v>
      </c>
      <c r="E22">
        <v>7759</v>
      </c>
      <c r="F22">
        <v>2687</v>
      </c>
      <c r="G22">
        <v>9227</v>
      </c>
      <c r="H22">
        <v>8546</v>
      </c>
      <c r="I22">
        <v>2031</v>
      </c>
      <c r="J22">
        <v>5218</v>
      </c>
    </row>
    <row r="24" spans="2:10">
      <c r="B24" t="b">
        <v>1</v>
      </c>
      <c r="C24" t="str">
        <f>LEFT(DEC2HEX(C22+COLUMN()),2)</f>
        <v>25</v>
      </c>
      <c r="D24" t="str">
        <f t="shared" ref="D24:J24" si="1">LEFT(DEC2HEX(D22+COLUMN()),2)</f>
        <v>21</v>
      </c>
      <c r="E24" t="str">
        <f t="shared" si="1"/>
        <v>1E</v>
      </c>
      <c r="F24" t="str">
        <f t="shared" si="1"/>
        <v>A8</v>
      </c>
      <c r="G24" t="str">
        <f t="shared" si="1"/>
        <v>24</v>
      </c>
      <c r="H24" t="str">
        <f t="shared" si="1"/>
        <v>21</v>
      </c>
      <c r="I24" t="str">
        <f t="shared" si="1"/>
        <v>7F</v>
      </c>
      <c r="J24" t="str">
        <f t="shared" si="1"/>
        <v>14</v>
      </c>
    </row>
    <row r="25" spans="2:10">
      <c r="B25" t="b">
        <v>0</v>
      </c>
      <c r="C25" t="str">
        <f>RIGHT(DEC2HEX(C22+COLUMN()),2)</f>
        <v>6F</v>
      </c>
      <c r="D25" t="str">
        <f t="shared" ref="D25:J25" si="2">RIGHT(DEC2HEX(D22+COLUMN()),2)</f>
        <v>77</v>
      </c>
      <c r="E25" t="str">
        <f t="shared" si="2"/>
        <v>54</v>
      </c>
      <c r="F25" t="str">
        <f t="shared" si="2"/>
        <v>85</v>
      </c>
      <c r="G25" t="str">
        <f t="shared" si="2"/>
        <v>12</v>
      </c>
      <c r="H25" t="str">
        <f t="shared" si="2"/>
        <v>6A</v>
      </c>
      <c r="I25" t="str">
        <f t="shared" si="2"/>
        <v>F8</v>
      </c>
      <c r="J25" t="str">
        <f t="shared" si="2"/>
        <v>6C</v>
      </c>
    </row>
    <row r="27" spans="2:10">
      <c r="B27" t="s">
        <v>67</v>
      </c>
      <c r="C27" t="b">
        <f>NOT(OR(C2=0,C2=""))</f>
        <v>1</v>
      </c>
      <c r="D27" t="b">
        <f t="shared" ref="D27:J27" si="3">NOT(OR(D2=0,D2=""))</f>
        <v>1</v>
      </c>
      <c r="E27" t="b">
        <f t="shared" si="3"/>
        <v>1</v>
      </c>
      <c r="F27" t="b">
        <f t="shared" si="3"/>
        <v>1</v>
      </c>
      <c r="G27" t="b">
        <f t="shared" si="3"/>
        <v>1</v>
      </c>
      <c r="H27" t="b">
        <f t="shared" si="3"/>
        <v>1</v>
      </c>
      <c r="I27" t="b">
        <f t="shared" si="3"/>
        <v>1</v>
      </c>
      <c r="J27" t="b">
        <f t="shared" si="3"/>
        <v>1</v>
      </c>
    </row>
    <row r="28" spans="2:10">
      <c r="B28" t="s">
        <v>68</v>
      </c>
      <c r="C28" t="b">
        <f ca="1">AND(ISNUMBER(SEARCH("=",O2)),ISNUMBER(SEARCH("(",O2)),ISERROR(FIND(":F",SUBSTITUTE(O2,"$",""))),ISERROR(FIND(":G",SUBSTITUTE(O2,"$",""))),ISERROR(FIND(":H",SUBSTITUTE(O2,"$",""))),ISERROR(FIND(":M",SUBSTITUTE(O2,"$",""))),ISERROR(FIND(":N",SUBSTITUTE(O2,"$",""))),ISERROR(FIND(":O",SUBSTITUTE(O2,"$",""))))</f>
        <v>1</v>
      </c>
      <c r="D28" t="b">
        <f t="shared" ref="D28:I28" ca="1" si="4">AND(ISNUMBER(SEARCH("=",P2)),ISNUMBER(SEARCH("(",P2)),ISERROR(FIND(":F",SUBSTITUTE(P2,"$",""))),ISERROR(FIND(":G",SUBSTITUTE(P2,"$",""))),ISERROR(FIND(":H",SUBSTITUTE(P2,"$",""))),ISERROR(FIND(":M",SUBSTITUTE(P2,"$",""))),ISERROR(FIND(":N",SUBSTITUTE(P2,"$",""))),ISERROR(FIND(":O",SUBSTITUTE(P2,"$",""))))</f>
        <v>1</v>
      </c>
      <c r="E28" t="b">
        <f t="shared" ca="1" si="4"/>
        <v>1</v>
      </c>
      <c r="F28" t="b">
        <f t="shared" ca="1" si="4"/>
        <v>1</v>
      </c>
      <c r="G28" t="b">
        <f t="shared" ca="1" si="4"/>
        <v>1</v>
      </c>
      <c r="H28" t="b">
        <f t="shared" ca="1" si="4"/>
        <v>1</v>
      </c>
      <c r="I28" t="b">
        <f t="shared" ca="1" si="4"/>
        <v>1</v>
      </c>
      <c r="J28" t="b">
        <f ca="1">AND(ISNUMBER(SEARCH("=",V2)))</f>
        <v>1</v>
      </c>
    </row>
    <row r="29" spans="2:10">
      <c r="B29" t="s">
        <v>69</v>
      </c>
      <c r="C29" t="b">
        <f ca="1">C57</f>
        <v>1</v>
      </c>
      <c r="D29" t="b">
        <f t="shared" ref="D29:J29" ca="1" si="5">D57</f>
        <v>1</v>
      </c>
      <c r="E29" t="b">
        <f t="shared" ca="1" si="5"/>
        <v>1</v>
      </c>
      <c r="F29" t="b">
        <f t="shared" ca="1" si="5"/>
        <v>1</v>
      </c>
      <c r="G29" t="b">
        <f t="shared" ca="1" si="5"/>
        <v>1</v>
      </c>
      <c r="H29" t="b">
        <f t="shared" ca="1" si="5"/>
        <v>1</v>
      </c>
      <c r="I29" t="b">
        <f t="shared" ca="1" si="5"/>
        <v>1</v>
      </c>
      <c r="J29" t="b">
        <f t="shared" ca="1" si="5"/>
        <v>1</v>
      </c>
    </row>
    <row r="30" spans="2:10">
      <c r="C30" t="b">
        <f ca="1">AND(C27:C29)</f>
        <v>1</v>
      </c>
      <c r="D30" t="b">
        <f t="shared" ref="D30:J30" ca="1" si="6">AND(D27:D29)</f>
        <v>1</v>
      </c>
      <c r="E30" t="b">
        <f t="shared" ca="1" si="6"/>
        <v>1</v>
      </c>
      <c r="F30" t="b">
        <f t="shared" ca="1" si="6"/>
        <v>1</v>
      </c>
      <c r="G30" t="b">
        <f t="shared" ca="1" si="6"/>
        <v>1</v>
      </c>
      <c r="H30" t="b">
        <f t="shared" ca="1" si="6"/>
        <v>1</v>
      </c>
      <c r="I30" t="b">
        <f t="shared" ca="1" si="6"/>
        <v>1</v>
      </c>
      <c r="J30" t="b">
        <f t="shared" ca="1" si="6"/>
        <v>1</v>
      </c>
    </row>
    <row r="32" spans="2:10">
      <c r="B32" t="s">
        <v>68</v>
      </c>
      <c r="C32" t="b">
        <f ca="1">AND(OR(ISNUMBER(SEARCH("LOOK",O2)),ISNUMBER(SEARCH("NDE",O2))),OR(ISNUMBER(FIND(":A",SUBSTITUTE(O2,"$",""))),ISNUMBER(FIND(":B",SUBSTITUTE(O2,"$",""))),ISNUMBER(FIND(":C",SUBSTITUTE(O2,"$",""))),ISNUMBER(FIND(":D",SUBSTITUTE(O2,"$",""))),ISNUMBER(FIND(":E",SUBSTITUTE(O2,"$","")))))</f>
        <v>1</v>
      </c>
      <c r="D32" t="b">
        <f ca="1">AND(OR(ISNUMBER(SEARCH("LOOK",P2)),ISNUMBER(SEARCH("NDE",P2))),OR(ISNUMBER(FIND(":A",SUBSTITUTE(P2,"$",""))),ISNUMBER(FIND(":B",SUBSTITUTE(P2,"$",""))),ISNUMBER(FIND(":C",SUBSTITUTE(P2,"$",""))),ISNUMBER(FIND(":D",SUBSTITUTE(P2,"$",""))),ISNUMBER(FIND(":E",SUBSTITUTE(P2,"$","")))))</f>
        <v>1</v>
      </c>
      <c r="E32" t="b">
        <f ca="1">AND(OR(ISNUMBER(SEARCH("LOOK",Q2)),ISNUMBER(SEARCH("NDE",Q2))),OR(ISNUMBER(FIND(":A",SUBSTITUTE(Q2,"$",""))),ISNUMBER(FIND(":B",SUBSTITUTE(Q2,"$",""))),ISNUMBER(FIND(":C",SUBSTITUTE(Q2,"$",""))),ISNUMBER(FIND(":D",SUBSTITUTE(Q2,"$",""))),ISNUMBER(FIND(":E",SUBSTITUTE(Q2,"$","")))))</f>
        <v>1</v>
      </c>
      <c r="F32" t="b">
        <f ca="1">AND(OR(ISNUMBER(SEARCH("LOOK",R2)),ISNUMBER(SEARCH("NDE",R2))),OR(ISNUMBER(FIND(":A",SUBSTITUTE(R2,"$",""))),ISNUMBER(FIND(":B",SUBSTITUTE(R2,"$",""))),ISNUMBER(FIND(":C",SUBSTITUTE(R2,"$",""))),ISNUMBER(FIND(":D",SUBSTITUTE(R2,"$",""))),ISNUMBER(FIND(":E",SUBSTITUTE(R2,"$","")))))</f>
        <v>1</v>
      </c>
      <c r="G32" t="b">
        <f ca="1">AND(OR(ISNUMBER(SEARCH("LOOK",S2)),ISNUMBER(SEARCH("NDE",S2))),OR(ISNUMBER(FIND(":I",SUBSTITUTE(S2,"$",""))),ISNUMBER(FIND(":J",SUBSTITUTE(S2,"$",""))),ISNUMBER(FIND(":K",SUBSTITUTE(S2,"$",""))),ISNUMBER(FIND(":L",SUBSTITUTE(S2,"$","")))))</f>
        <v>1</v>
      </c>
      <c r="H32" t="b">
        <f ca="1">AND(OR(ISNUMBER(SEARCH("LOOK",T2)),ISNUMBER(SEARCH("NDE",T2))),OR(ISNUMBER(FIND(":I",SUBSTITUTE(T2,"$",""))),ISNUMBER(FIND(":J",SUBSTITUTE(T2,"$",""))),ISNUMBER(FIND(":K",SUBSTITUTE(T2,"$",""))),ISNUMBER(FIND(":L",SUBSTITUTE(T2,"$","")))),OR(ISNUMBER(SEARCH("MID",T2)),ISNUMBER(SEARCH("LEFT",T2)),ISNUMBER(SEARCH("RIGH",T2))))</f>
        <v>1</v>
      </c>
      <c r="I32" t="b">
        <f ca="1">AND(OR(ISNUMBER(SEARCH("LOOK",U2)),ISNUMBER(SEARCH("NDE",U2))),OR(ISNUMBER(FIND(":I",SUBSTITUTE(U2,"$",""))),ISNUMBER(FIND(":J",SUBSTITUTE(U2,"$",""))),ISNUMBER(FIND(":K",SUBSTITUTE(U2,"$",""))),ISNUMBER(FIND(":L",SUBSTITUTE(U2,"$","")))),OR(ISNUMBER(SEARCH("MID",U2)),ISNUMBER(SEARCH("LEFT",U2)),ISNUMBER(SEARCH("RIGH",U2))))</f>
        <v>1</v>
      </c>
      <c r="J32" t="b">
        <f ca="1">OR(ISNUMBER(SEARCH("+",V2)),ISNUMBER(SEARCH("SUM",V2)))</f>
        <v>1</v>
      </c>
    </row>
    <row r="35" spans="2:10">
      <c r="B35">
        <f>'XL-Test'!B47</f>
        <v>1</v>
      </c>
      <c r="C35">
        <f ca="1">IFERROR(LEN(_xlfn.FORMULATEXT('XL-Test'!D47)),0)</f>
        <v>314</v>
      </c>
      <c r="D35">
        <f ca="1">IFERROR(LEN(_xlfn.FORMULATEXT('XL-Test'!E47)),0)</f>
        <v>314</v>
      </c>
      <c r="E35">
        <f ca="1">IFERROR(LEN(_xlfn.FORMULATEXT('XL-Test'!F47)),0)</f>
        <v>314</v>
      </c>
      <c r="F35">
        <f ca="1">IFERROR(LEN(_xlfn.FORMULATEXT('XL-Test'!G47)),0)</f>
        <v>896</v>
      </c>
      <c r="G35">
        <f ca="1">IFERROR(LEN(_xlfn.FORMULATEXT('XL-Test'!H47)),0)</f>
        <v>880</v>
      </c>
      <c r="H35">
        <f ca="1">IFERROR(LEN(_xlfn.FORMULATEXT('XL-Test'!I47)),0)</f>
        <v>139</v>
      </c>
      <c r="I35">
        <f ca="1">IFERROR(LEN(_xlfn.FORMULATEXT('XL-Test'!J47)),0)</f>
        <v>139</v>
      </c>
      <c r="J35">
        <f ca="1">IFERROR(LEN(_xlfn.FORMULATEXT('XL-Test'!K47)),0)</f>
        <v>13</v>
      </c>
    </row>
    <row r="36" spans="2:10">
      <c r="B36">
        <f>'XL-Test'!B48</f>
        <v>2</v>
      </c>
      <c r="C36">
        <f ca="1">IFERROR(LEN(_xlfn.FORMULATEXT('XL-Test'!D48)),0)</f>
        <v>314</v>
      </c>
      <c r="D36">
        <f ca="1">IFERROR(LEN(_xlfn.FORMULATEXT('XL-Test'!E48)),0)</f>
        <v>314</v>
      </c>
      <c r="E36">
        <f ca="1">IFERROR(LEN(_xlfn.FORMULATEXT('XL-Test'!F48)),0)</f>
        <v>314</v>
      </c>
      <c r="F36">
        <f ca="1">IFERROR(LEN(_xlfn.FORMULATEXT('XL-Test'!G48)),0)</f>
        <v>896</v>
      </c>
      <c r="G36">
        <f ca="1">IFERROR(LEN(_xlfn.FORMULATEXT('XL-Test'!H48)),0)</f>
        <v>880</v>
      </c>
      <c r="H36">
        <f ca="1">IFERROR(LEN(_xlfn.FORMULATEXT('XL-Test'!I48)),0)</f>
        <v>139</v>
      </c>
      <c r="I36">
        <f ca="1">IFERROR(LEN(_xlfn.FORMULATEXT('XL-Test'!J48)),0)</f>
        <v>139</v>
      </c>
      <c r="J36">
        <f ca="1">IFERROR(LEN(_xlfn.FORMULATEXT('XL-Test'!K48)),0)</f>
        <v>13</v>
      </c>
    </row>
    <row r="37" spans="2:10">
      <c r="B37">
        <f>'XL-Test'!B49</f>
        <v>3</v>
      </c>
      <c r="C37">
        <f ca="1">IFERROR(LEN(_xlfn.FORMULATEXT('XL-Test'!D49)),0)</f>
        <v>314</v>
      </c>
      <c r="D37">
        <f ca="1">IFERROR(LEN(_xlfn.FORMULATEXT('XL-Test'!E49)),0)</f>
        <v>314</v>
      </c>
      <c r="E37">
        <f ca="1">IFERROR(LEN(_xlfn.FORMULATEXT('XL-Test'!F49)),0)</f>
        <v>314</v>
      </c>
      <c r="F37">
        <f ca="1">IFERROR(LEN(_xlfn.FORMULATEXT('XL-Test'!G49)),0)</f>
        <v>896</v>
      </c>
      <c r="G37">
        <f ca="1">IFERROR(LEN(_xlfn.FORMULATEXT('XL-Test'!H49)),0)</f>
        <v>880</v>
      </c>
      <c r="H37">
        <f ca="1">IFERROR(LEN(_xlfn.FORMULATEXT('XL-Test'!I49)),0)</f>
        <v>139</v>
      </c>
      <c r="I37">
        <f ca="1">IFERROR(LEN(_xlfn.FORMULATEXT('XL-Test'!J49)),0)</f>
        <v>139</v>
      </c>
      <c r="J37">
        <f ca="1">IFERROR(LEN(_xlfn.FORMULATEXT('XL-Test'!K49)),0)</f>
        <v>13</v>
      </c>
    </row>
    <row r="38" spans="2:10">
      <c r="B38">
        <f>'XL-Test'!B50</f>
        <v>4</v>
      </c>
      <c r="C38">
        <f ca="1">IFERROR(LEN(_xlfn.FORMULATEXT('XL-Test'!D50)),0)</f>
        <v>314</v>
      </c>
      <c r="D38">
        <f ca="1">IFERROR(LEN(_xlfn.FORMULATEXT('XL-Test'!E50)),0)</f>
        <v>314</v>
      </c>
      <c r="E38">
        <f ca="1">IFERROR(LEN(_xlfn.FORMULATEXT('XL-Test'!F50)),0)</f>
        <v>314</v>
      </c>
      <c r="F38">
        <f ca="1">IFERROR(LEN(_xlfn.FORMULATEXT('XL-Test'!G50)),0)</f>
        <v>896</v>
      </c>
      <c r="G38">
        <f ca="1">IFERROR(LEN(_xlfn.FORMULATEXT('XL-Test'!H50)),0)</f>
        <v>880</v>
      </c>
      <c r="H38">
        <f ca="1">IFERROR(LEN(_xlfn.FORMULATEXT('XL-Test'!I50)),0)</f>
        <v>139</v>
      </c>
      <c r="I38">
        <f ca="1">IFERROR(LEN(_xlfn.FORMULATEXT('XL-Test'!J50)),0)</f>
        <v>139</v>
      </c>
      <c r="J38">
        <f ca="1">IFERROR(LEN(_xlfn.FORMULATEXT('XL-Test'!K50)),0)</f>
        <v>13</v>
      </c>
    </row>
    <row r="39" spans="2:10">
      <c r="B39">
        <f>'XL-Test'!B51</f>
        <v>5</v>
      </c>
      <c r="C39">
        <f ca="1">IFERROR(LEN(_xlfn.FORMULATEXT('XL-Test'!D51)),0)</f>
        <v>314</v>
      </c>
      <c r="D39">
        <f ca="1">IFERROR(LEN(_xlfn.FORMULATEXT('XL-Test'!E51)),0)</f>
        <v>314</v>
      </c>
      <c r="E39">
        <f ca="1">IFERROR(LEN(_xlfn.FORMULATEXT('XL-Test'!F51)),0)</f>
        <v>314</v>
      </c>
      <c r="F39">
        <f ca="1">IFERROR(LEN(_xlfn.FORMULATEXT('XL-Test'!G51)),0)</f>
        <v>896</v>
      </c>
      <c r="G39">
        <f ca="1">IFERROR(LEN(_xlfn.FORMULATEXT('XL-Test'!H51)),0)</f>
        <v>880</v>
      </c>
      <c r="H39">
        <f ca="1">IFERROR(LEN(_xlfn.FORMULATEXT('XL-Test'!I51)),0)</f>
        <v>139</v>
      </c>
      <c r="I39">
        <f ca="1">IFERROR(LEN(_xlfn.FORMULATEXT('XL-Test'!J51)),0)</f>
        <v>139</v>
      </c>
      <c r="J39">
        <f ca="1">IFERROR(LEN(_xlfn.FORMULATEXT('XL-Test'!K51)),0)</f>
        <v>13</v>
      </c>
    </row>
    <row r="40" spans="2:10">
      <c r="B40">
        <f>'XL-Test'!B52</f>
        <v>6</v>
      </c>
      <c r="C40">
        <f ca="1">IFERROR(LEN(_xlfn.FORMULATEXT('XL-Test'!D52)),0)</f>
        <v>314</v>
      </c>
      <c r="D40">
        <f ca="1">IFERROR(LEN(_xlfn.FORMULATEXT('XL-Test'!E52)),0)</f>
        <v>314</v>
      </c>
      <c r="E40">
        <f ca="1">IFERROR(LEN(_xlfn.FORMULATEXT('XL-Test'!F52)),0)</f>
        <v>314</v>
      </c>
      <c r="F40">
        <f ca="1">IFERROR(LEN(_xlfn.FORMULATEXT('XL-Test'!G52)),0)</f>
        <v>896</v>
      </c>
      <c r="G40">
        <f ca="1">IFERROR(LEN(_xlfn.FORMULATEXT('XL-Test'!H52)),0)</f>
        <v>880</v>
      </c>
      <c r="H40">
        <f ca="1">IFERROR(LEN(_xlfn.FORMULATEXT('XL-Test'!I52)),0)</f>
        <v>139</v>
      </c>
      <c r="I40">
        <f ca="1">IFERROR(LEN(_xlfn.FORMULATEXT('XL-Test'!J52)),0)</f>
        <v>139</v>
      </c>
      <c r="J40">
        <f ca="1">IFERROR(LEN(_xlfn.FORMULATEXT('XL-Test'!K52)),0)</f>
        <v>13</v>
      </c>
    </row>
    <row r="41" spans="2:10">
      <c r="B41">
        <f>'XL-Test'!B53</f>
        <v>7</v>
      </c>
      <c r="C41">
        <f ca="1">IFERROR(LEN(_xlfn.FORMULATEXT('XL-Test'!D53)),0)</f>
        <v>314</v>
      </c>
      <c r="D41">
        <f ca="1">IFERROR(LEN(_xlfn.FORMULATEXT('XL-Test'!E53)),0)</f>
        <v>314</v>
      </c>
      <c r="E41">
        <f ca="1">IFERROR(LEN(_xlfn.FORMULATEXT('XL-Test'!F53)),0)</f>
        <v>314</v>
      </c>
      <c r="F41">
        <f ca="1">IFERROR(LEN(_xlfn.FORMULATEXT('XL-Test'!G53)),0)</f>
        <v>896</v>
      </c>
      <c r="G41">
        <f ca="1">IFERROR(LEN(_xlfn.FORMULATEXT('XL-Test'!H53)),0)</f>
        <v>880</v>
      </c>
      <c r="H41">
        <f ca="1">IFERROR(LEN(_xlfn.FORMULATEXT('XL-Test'!I53)),0)</f>
        <v>139</v>
      </c>
      <c r="I41">
        <f ca="1">IFERROR(LEN(_xlfn.FORMULATEXT('XL-Test'!J53)),0)</f>
        <v>139</v>
      </c>
      <c r="J41">
        <f ca="1">IFERROR(LEN(_xlfn.FORMULATEXT('XL-Test'!K53)),0)</f>
        <v>13</v>
      </c>
    </row>
    <row r="42" spans="2:10">
      <c r="B42">
        <f>'XL-Test'!B54</f>
        <v>8</v>
      </c>
      <c r="C42">
        <f ca="1">IFERROR(LEN(_xlfn.FORMULATEXT('XL-Test'!D54)),0)</f>
        <v>314</v>
      </c>
      <c r="D42">
        <f ca="1">IFERROR(LEN(_xlfn.FORMULATEXT('XL-Test'!E54)),0)</f>
        <v>314</v>
      </c>
      <c r="E42">
        <f ca="1">IFERROR(LEN(_xlfn.FORMULATEXT('XL-Test'!F54)),0)</f>
        <v>314</v>
      </c>
      <c r="F42">
        <f ca="1">IFERROR(LEN(_xlfn.FORMULATEXT('XL-Test'!G54)),0)</f>
        <v>896</v>
      </c>
      <c r="G42">
        <f ca="1">IFERROR(LEN(_xlfn.FORMULATEXT('XL-Test'!H54)),0)</f>
        <v>880</v>
      </c>
      <c r="H42">
        <f ca="1">IFERROR(LEN(_xlfn.FORMULATEXT('XL-Test'!I54)),0)</f>
        <v>139</v>
      </c>
      <c r="I42">
        <f ca="1">IFERROR(LEN(_xlfn.FORMULATEXT('XL-Test'!J54)),0)</f>
        <v>139</v>
      </c>
      <c r="J42">
        <f ca="1">IFERROR(LEN(_xlfn.FORMULATEXT('XL-Test'!K54)),0)</f>
        <v>13</v>
      </c>
    </row>
    <row r="43" spans="2:10">
      <c r="B43">
        <f>'XL-Test'!B55</f>
        <v>9</v>
      </c>
      <c r="C43">
        <f ca="1">IFERROR(LEN(_xlfn.FORMULATEXT('XL-Test'!D55)),0)</f>
        <v>314</v>
      </c>
      <c r="D43">
        <f ca="1">IFERROR(LEN(_xlfn.FORMULATEXT('XL-Test'!E55)),0)</f>
        <v>314</v>
      </c>
      <c r="E43">
        <f ca="1">IFERROR(LEN(_xlfn.FORMULATEXT('XL-Test'!F55)),0)</f>
        <v>314</v>
      </c>
      <c r="F43">
        <f ca="1">IFERROR(LEN(_xlfn.FORMULATEXT('XL-Test'!G55)),0)</f>
        <v>896</v>
      </c>
      <c r="G43">
        <f ca="1">IFERROR(LEN(_xlfn.FORMULATEXT('XL-Test'!H55)),0)</f>
        <v>880</v>
      </c>
      <c r="H43">
        <f ca="1">IFERROR(LEN(_xlfn.FORMULATEXT('XL-Test'!I55)),0)</f>
        <v>139</v>
      </c>
      <c r="I43">
        <f ca="1">IFERROR(LEN(_xlfn.FORMULATEXT('XL-Test'!J55)),0)</f>
        <v>139</v>
      </c>
      <c r="J43">
        <f ca="1">IFERROR(LEN(_xlfn.FORMULATEXT('XL-Test'!K55)),0)</f>
        <v>13</v>
      </c>
    </row>
    <row r="44" spans="2:10">
      <c r="B44">
        <f>'XL-Test'!B56</f>
        <v>10</v>
      </c>
      <c r="C44">
        <f ca="1">IFERROR(LEN(_xlfn.FORMULATEXT('XL-Test'!D56)),0)</f>
        <v>314</v>
      </c>
      <c r="D44">
        <f ca="1">IFERROR(LEN(_xlfn.FORMULATEXT('XL-Test'!E56)),0)</f>
        <v>314</v>
      </c>
      <c r="E44">
        <f ca="1">IFERROR(LEN(_xlfn.FORMULATEXT('XL-Test'!F56)),0)</f>
        <v>314</v>
      </c>
      <c r="F44">
        <f ca="1">IFERROR(LEN(_xlfn.FORMULATEXT('XL-Test'!G56)),0)</f>
        <v>896</v>
      </c>
      <c r="G44">
        <f ca="1">IFERROR(LEN(_xlfn.FORMULATEXT('XL-Test'!H56)),0)</f>
        <v>880</v>
      </c>
      <c r="H44">
        <f ca="1">IFERROR(LEN(_xlfn.FORMULATEXT('XL-Test'!I56)),0)</f>
        <v>139</v>
      </c>
      <c r="I44">
        <f ca="1">IFERROR(LEN(_xlfn.FORMULATEXT('XL-Test'!J56)),0)</f>
        <v>139</v>
      </c>
      <c r="J44">
        <f ca="1">IFERROR(LEN(_xlfn.FORMULATEXT('XL-Test'!K56)),0)</f>
        <v>13</v>
      </c>
    </row>
    <row r="45" spans="2:10">
      <c r="B45">
        <f>'XL-Test'!B57</f>
        <v>11</v>
      </c>
      <c r="C45">
        <f ca="1">IFERROR(LEN(_xlfn.FORMULATEXT('XL-Test'!D57)),0)</f>
        <v>314</v>
      </c>
      <c r="D45">
        <f ca="1">IFERROR(LEN(_xlfn.FORMULATEXT('XL-Test'!E57)),0)</f>
        <v>314</v>
      </c>
      <c r="E45">
        <f ca="1">IFERROR(LEN(_xlfn.FORMULATEXT('XL-Test'!F57)),0)</f>
        <v>314</v>
      </c>
      <c r="F45">
        <f ca="1">IFERROR(LEN(_xlfn.FORMULATEXT('XL-Test'!G57)),0)</f>
        <v>896</v>
      </c>
      <c r="G45">
        <f ca="1">IFERROR(LEN(_xlfn.FORMULATEXT('XL-Test'!H57)),0)</f>
        <v>880</v>
      </c>
      <c r="H45">
        <f ca="1">IFERROR(LEN(_xlfn.FORMULATEXT('XL-Test'!I57)),0)</f>
        <v>139</v>
      </c>
      <c r="I45">
        <f ca="1">IFERROR(LEN(_xlfn.FORMULATEXT('XL-Test'!J57)),0)</f>
        <v>139</v>
      </c>
      <c r="J45">
        <f ca="1">IFERROR(LEN(_xlfn.FORMULATEXT('XL-Test'!K57)),0)</f>
        <v>13</v>
      </c>
    </row>
    <row r="46" spans="2:10">
      <c r="B46">
        <f>'XL-Test'!B58</f>
        <v>12</v>
      </c>
      <c r="C46">
        <f ca="1">IFERROR(LEN(_xlfn.FORMULATEXT('XL-Test'!D58)),0)</f>
        <v>314</v>
      </c>
      <c r="D46">
        <f ca="1">IFERROR(LEN(_xlfn.FORMULATEXT('XL-Test'!E58)),0)</f>
        <v>314</v>
      </c>
      <c r="E46">
        <f ca="1">IFERROR(LEN(_xlfn.FORMULATEXT('XL-Test'!F58)),0)</f>
        <v>314</v>
      </c>
      <c r="F46">
        <f ca="1">IFERROR(LEN(_xlfn.FORMULATEXT('XL-Test'!G58)),0)</f>
        <v>896</v>
      </c>
      <c r="G46">
        <f ca="1">IFERROR(LEN(_xlfn.FORMULATEXT('XL-Test'!H58)),0)</f>
        <v>880</v>
      </c>
      <c r="H46">
        <f ca="1">IFERROR(LEN(_xlfn.FORMULATEXT('XL-Test'!I58)),0)</f>
        <v>139</v>
      </c>
      <c r="I46">
        <f ca="1">IFERROR(LEN(_xlfn.FORMULATEXT('XL-Test'!J58)),0)</f>
        <v>139</v>
      </c>
      <c r="J46">
        <f ca="1">IFERROR(LEN(_xlfn.FORMULATEXT('XL-Test'!K58)),0)</f>
        <v>13</v>
      </c>
    </row>
    <row r="47" spans="2:10">
      <c r="B47">
        <f>'XL-Test'!B59</f>
        <v>13</v>
      </c>
      <c r="C47">
        <f ca="1">IFERROR(LEN(_xlfn.FORMULATEXT('XL-Test'!D59)),0)</f>
        <v>314</v>
      </c>
      <c r="D47">
        <f ca="1">IFERROR(LEN(_xlfn.FORMULATEXT('XL-Test'!E59)),0)</f>
        <v>314</v>
      </c>
      <c r="E47">
        <f ca="1">IFERROR(LEN(_xlfn.FORMULATEXT('XL-Test'!F59)),0)</f>
        <v>314</v>
      </c>
      <c r="F47">
        <f ca="1">IFERROR(LEN(_xlfn.FORMULATEXT('XL-Test'!G59)),0)</f>
        <v>896</v>
      </c>
      <c r="G47">
        <f ca="1">IFERROR(LEN(_xlfn.FORMULATEXT('XL-Test'!H59)),0)</f>
        <v>880</v>
      </c>
      <c r="H47">
        <f ca="1">IFERROR(LEN(_xlfn.FORMULATEXT('XL-Test'!I59)),0)</f>
        <v>139</v>
      </c>
      <c r="I47">
        <f ca="1">IFERROR(LEN(_xlfn.FORMULATEXT('XL-Test'!J59)),0)</f>
        <v>139</v>
      </c>
      <c r="J47">
        <f ca="1">IFERROR(LEN(_xlfn.FORMULATEXT('XL-Test'!K59)),0)</f>
        <v>13</v>
      </c>
    </row>
    <row r="48" spans="2:10">
      <c r="B48">
        <f>'XL-Test'!B60</f>
        <v>14</v>
      </c>
      <c r="C48">
        <f ca="1">IFERROR(LEN(_xlfn.FORMULATEXT('XL-Test'!D60)),0)</f>
        <v>314</v>
      </c>
      <c r="D48">
        <f ca="1">IFERROR(LEN(_xlfn.FORMULATEXT('XL-Test'!E60)),0)</f>
        <v>314</v>
      </c>
      <c r="E48">
        <f ca="1">IFERROR(LEN(_xlfn.FORMULATEXT('XL-Test'!F60)),0)</f>
        <v>314</v>
      </c>
      <c r="F48">
        <f ca="1">IFERROR(LEN(_xlfn.FORMULATEXT('XL-Test'!G60)),0)</f>
        <v>896</v>
      </c>
      <c r="G48">
        <f ca="1">IFERROR(LEN(_xlfn.FORMULATEXT('XL-Test'!H60)),0)</f>
        <v>880</v>
      </c>
      <c r="H48">
        <f ca="1">IFERROR(LEN(_xlfn.FORMULATEXT('XL-Test'!I60)),0)</f>
        <v>139</v>
      </c>
      <c r="I48">
        <f ca="1">IFERROR(LEN(_xlfn.FORMULATEXT('XL-Test'!J60)),0)</f>
        <v>139</v>
      </c>
      <c r="J48">
        <f ca="1">IFERROR(LEN(_xlfn.FORMULATEXT('XL-Test'!K60)),0)</f>
        <v>13</v>
      </c>
    </row>
    <row r="49" spans="2:14">
      <c r="B49">
        <f>'XL-Test'!B61</f>
        <v>15</v>
      </c>
      <c r="C49">
        <f ca="1">IFERROR(LEN(_xlfn.FORMULATEXT('XL-Test'!D61)),0)</f>
        <v>314</v>
      </c>
      <c r="D49">
        <f ca="1">IFERROR(LEN(_xlfn.FORMULATEXT('XL-Test'!E61)),0)</f>
        <v>314</v>
      </c>
      <c r="E49">
        <f ca="1">IFERROR(LEN(_xlfn.FORMULATEXT('XL-Test'!F61)),0)</f>
        <v>314</v>
      </c>
      <c r="F49">
        <f ca="1">IFERROR(LEN(_xlfn.FORMULATEXT('XL-Test'!G61)),0)</f>
        <v>896</v>
      </c>
      <c r="G49">
        <f ca="1">IFERROR(LEN(_xlfn.FORMULATEXT('XL-Test'!H61)),0)</f>
        <v>880</v>
      </c>
      <c r="H49">
        <f ca="1">IFERROR(LEN(_xlfn.FORMULATEXT('XL-Test'!I61)),0)</f>
        <v>139</v>
      </c>
      <c r="I49">
        <f ca="1">IFERROR(LEN(_xlfn.FORMULATEXT('XL-Test'!J61)),0)</f>
        <v>139</v>
      </c>
      <c r="J49">
        <f ca="1">IFERROR(LEN(_xlfn.FORMULATEXT('XL-Test'!K61)),0)</f>
        <v>13</v>
      </c>
    </row>
    <row r="50" spans="2:14">
      <c r="B50">
        <f>'XL-Test'!B62</f>
        <v>16</v>
      </c>
      <c r="C50">
        <f ca="1">IFERROR(LEN(_xlfn.FORMULATEXT('XL-Test'!D62)),0)</f>
        <v>314</v>
      </c>
      <c r="D50">
        <f ca="1">IFERROR(LEN(_xlfn.FORMULATEXT('XL-Test'!E62)),0)</f>
        <v>314</v>
      </c>
      <c r="E50">
        <f ca="1">IFERROR(LEN(_xlfn.FORMULATEXT('XL-Test'!F62)),0)</f>
        <v>314</v>
      </c>
      <c r="F50">
        <f ca="1">IFERROR(LEN(_xlfn.FORMULATEXT('XL-Test'!G62)),0)</f>
        <v>896</v>
      </c>
      <c r="G50">
        <f ca="1">IFERROR(LEN(_xlfn.FORMULATEXT('XL-Test'!H62)),0)</f>
        <v>880</v>
      </c>
      <c r="H50">
        <f ca="1">IFERROR(LEN(_xlfn.FORMULATEXT('XL-Test'!I62)),0)</f>
        <v>139</v>
      </c>
      <c r="I50">
        <f ca="1">IFERROR(LEN(_xlfn.FORMULATEXT('XL-Test'!J62)),0)</f>
        <v>139</v>
      </c>
      <c r="J50">
        <f ca="1">IFERROR(LEN(_xlfn.FORMULATEXT('XL-Test'!K62)),0)</f>
        <v>13</v>
      </c>
    </row>
    <row r="53" spans="2:14">
      <c r="C53" t="b">
        <f ca="1">AVERAGE(C35:C50)=C35</f>
        <v>1</v>
      </c>
      <c r="D53" t="b">
        <f t="shared" ref="D53:J53" ca="1" si="7">AVERAGE(D35:D50)=D35</f>
        <v>1</v>
      </c>
      <c r="E53" t="b">
        <f t="shared" ca="1" si="7"/>
        <v>1</v>
      </c>
      <c r="F53" t="b">
        <f t="shared" ca="1" si="7"/>
        <v>1</v>
      </c>
      <c r="G53" t="b">
        <f t="shared" ca="1" si="7"/>
        <v>1</v>
      </c>
      <c r="H53" t="b">
        <f t="shared" ca="1" si="7"/>
        <v>1</v>
      </c>
      <c r="I53" t="b">
        <f t="shared" ca="1" si="7"/>
        <v>1</v>
      </c>
      <c r="J53" t="b">
        <f t="shared" ca="1" si="7"/>
        <v>1</v>
      </c>
    </row>
    <row r="55" spans="2:14">
      <c r="B55" t="s">
        <v>70</v>
      </c>
      <c r="C55" t="b">
        <f ca="1">IF(C35&gt;0,C37=0,C4&gt;0)</f>
        <v>0</v>
      </c>
      <c r="D55" t="b">
        <f t="shared" ref="D55:J55" ca="1" si="8">IF(D35&gt;0,D37=0,D4&gt;0)</f>
        <v>0</v>
      </c>
      <c r="E55" t="b">
        <f t="shared" ca="1" si="8"/>
        <v>0</v>
      </c>
      <c r="F55" t="b">
        <f t="shared" ca="1" si="8"/>
        <v>0</v>
      </c>
      <c r="G55" t="b">
        <f t="shared" ca="1" si="8"/>
        <v>0</v>
      </c>
      <c r="H55" t="b">
        <f t="shared" ca="1" si="8"/>
        <v>0</v>
      </c>
      <c r="I55" t="b">
        <f t="shared" ca="1" si="8"/>
        <v>0</v>
      </c>
      <c r="J55" t="b">
        <f t="shared" ca="1" si="8"/>
        <v>0</v>
      </c>
    </row>
    <row r="57" spans="2:14">
      <c r="B57" t="s">
        <v>71</v>
      </c>
      <c r="C57" t="b">
        <f ca="1">IFERROR(OR(C53,C55),FALSE)</f>
        <v>1</v>
      </c>
      <c r="D57" t="b">
        <f t="shared" ref="D57:J57" ca="1" si="9">IFERROR(OR(D53,D55),FALSE)</f>
        <v>1</v>
      </c>
      <c r="E57" t="b">
        <f t="shared" ca="1" si="9"/>
        <v>1</v>
      </c>
      <c r="F57" t="b">
        <f t="shared" ca="1" si="9"/>
        <v>1</v>
      </c>
      <c r="G57" t="b">
        <f t="shared" ca="1" si="9"/>
        <v>1</v>
      </c>
      <c r="H57" t="b">
        <f t="shared" ca="1" si="9"/>
        <v>1</v>
      </c>
      <c r="I57" t="b">
        <f t="shared" ca="1" si="9"/>
        <v>1</v>
      </c>
      <c r="J57" t="b">
        <f t="shared" ca="1" si="9"/>
        <v>1</v>
      </c>
    </row>
    <row r="60" spans="2:14">
      <c r="C60" t="str">
        <f ca="1">DEC2HEX(IF(C30,C20,C22))</f>
        <v>748</v>
      </c>
      <c r="D60" t="str">
        <f t="shared" ref="D60:J60" ca="1" si="10">DEC2HEX(IF(D30,D20,D22))</f>
        <v>C6178</v>
      </c>
      <c r="E60" t="str">
        <f t="shared" ca="1" si="10"/>
        <v>F4727</v>
      </c>
      <c r="F60" t="str">
        <f t="shared" ca="1" si="10"/>
        <v>68C</v>
      </c>
      <c r="G60" t="str">
        <f t="shared" ca="1" si="10"/>
        <v>723</v>
      </c>
      <c r="H60" t="str">
        <f t="shared" ca="1" si="10"/>
        <v>155CC</v>
      </c>
      <c r="I60" t="str">
        <f t="shared" ca="1" si="10"/>
        <v>157C</v>
      </c>
      <c r="J60" t="str">
        <f t="shared" ca="1" si="10"/>
        <v>178F4</v>
      </c>
    </row>
    <row r="61" spans="2:14">
      <c r="C61" t="str">
        <f ca="1">IF(C32,C24,C25)</f>
        <v>25</v>
      </c>
      <c r="D61" t="str">
        <f t="shared" ref="D61:J61" ca="1" si="11">IF(D32,D24,D25)</f>
        <v>21</v>
      </c>
      <c r="E61" t="str">
        <f t="shared" ca="1" si="11"/>
        <v>1E</v>
      </c>
      <c r="F61" t="str">
        <f t="shared" ca="1" si="11"/>
        <v>A8</v>
      </c>
      <c r="G61" t="str">
        <f t="shared" ca="1" si="11"/>
        <v>24</v>
      </c>
      <c r="H61" t="str">
        <f t="shared" ca="1" si="11"/>
        <v>21</v>
      </c>
      <c r="I61" t="str">
        <f t="shared" ca="1" si="11"/>
        <v>7F</v>
      </c>
      <c r="J61" t="str">
        <f t="shared" ca="1" si="11"/>
        <v>14</v>
      </c>
      <c r="M61">
        <v>1</v>
      </c>
      <c r="N61" t="s">
        <v>72</v>
      </c>
    </row>
    <row r="62" spans="2:14">
      <c r="C62" t="str">
        <f ca="1">C61&amp;"-"&amp;C60&amp;";"</f>
        <v>25-748;</v>
      </c>
      <c r="D62" t="str">
        <f t="shared" ref="D62:I62" ca="1" si="12">D61&amp;"-"&amp;D60&amp;";"</f>
        <v>21-C6178;</v>
      </c>
      <c r="E62" t="str">
        <f t="shared" ca="1" si="12"/>
        <v>1E-F4727;</v>
      </c>
      <c r="F62" t="str">
        <f t="shared" ca="1" si="12"/>
        <v>A8-68C;</v>
      </c>
      <c r="G62" t="str">
        <f t="shared" ca="1" si="12"/>
        <v>24-723;</v>
      </c>
      <c r="H62" t="str">
        <f t="shared" ca="1" si="12"/>
        <v>21-155CC;</v>
      </c>
      <c r="I62" t="str">
        <f t="shared" ca="1" si="12"/>
        <v>7F-157C;</v>
      </c>
      <c r="J62" t="str">
        <f ca="1">J61&amp;"-"&amp;J60</f>
        <v>14-178F4</v>
      </c>
      <c r="M62">
        <v>2</v>
      </c>
      <c r="N62" t="s">
        <v>73</v>
      </c>
    </row>
    <row r="63" spans="2:14">
      <c r="C63" t="str">
        <f ca="1">A2&amp;"|"&amp;C62&amp;D62&amp;E62&amp;F62&amp;G62&amp;H62&amp;I62&amp;J62</f>
        <v>XG2|25-748;21-C6178;1E-F4727;A8-68C;24-723;21-155CC;7F-157C;14-178F4</v>
      </c>
      <c r="M63">
        <v>3</v>
      </c>
      <c r="N63" t="s">
        <v>74</v>
      </c>
    </row>
    <row r="66" spans="3:3">
      <c r="C66" t="str" cm="1">
        <f t="array" aca="1" ref="C66" ca="1">INDIRECT("XG"&amp;INDEX(N61:N63,B36))</f>
        <v>XG2|25-748;21-C6178;1E-F4727;A8-68C;24-723;21-155CC;7F-157C;14-178F4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8838-D06D-4937-BC8C-C3648E7CF8FC}">
  <sheetPr codeName="Sheet3"/>
  <dimension ref="A1:N53"/>
  <sheetViews>
    <sheetView workbookViewId="0">
      <selection activeCell="K19" sqref="K19"/>
    </sheetView>
  </sheetViews>
  <sheetFormatPr defaultRowHeight="14.45"/>
  <cols>
    <col min="1" max="1" width="16.85546875" bestFit="1" customWidth="1"/>
    <col min="2" max="2" width="11" customWidth="1"/>
    <col min="3" max="3" width="12.7109375" customWidth="1"/>
    <col min="4" max="4" width="16.28515625" customWidth="1"/>
    <col min="5" max="5" width="14.28515625" customWidth="1"/>
    <col min="6" max="6" width="12.140625" customWidth="1"/>
    <col min="9" max="9" width="13.7109375" customWidth="1"/>
    <col min="10" max="10" width="13.85546875" customWidth="1"/>
    <col min="11" max="11" width="14" customWidth="1"/>
    <col min="12" max="12" width="14.42578125" customWidth="1"/>
    <col min="13" max="13" width="11.140625" customWidth="1"/>
  </cols>
  <sheetData>
    <row r="1" spans="1:14">
      <c r="A1" s="64" t="s">
        <v>63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3" spans="1:14" ht="19.149999999999999" customHeight="1">
      <c r="A3" s="5" t="s">
        <v>75</v>
      </c>
      <c r="B3" s="5" t="s">
        <v>36</v>
      </c>
      <c r="C3" s="5" t="s">
        <v>37</v>
      </c>
      <c r="D3" s="5" t="s">
        <v>38</v>
      </c>
      <c r="E3" s="5" t="s">
        <v>40</v>
      </c>
      <c r="I3" s="3" t="s">
        <v>39</v>
      </c>
      <c r="J3" s="3" t="s">
        <v>40</v>
      </c>
      <c r="K3" s="3" t="s">
        <v>41</v>
      </c>
      <c r="L3" s="3" t="s">
        <v>42</v>
      </c>
    </row>
    <row r="4" spans="1:14">
      <c r="A4" s="6" t="s">
        <v>76</v>
      </c>
      <c r="B4" s="6" t="s">
        <v>77</v>
      </c>
      <c r="C4" s="7">
        <v>36308</v>
      </c>
      <c r="D4" s="7">
        <v>44626</v>
      </c>
      <c r="E4" s="6" t="s">
        <v>78</v>
      </c>
      <c r="I4" s="34" t="s">
        <v>79</v>
      </c>
      <c r="J4" s="4" t="s">
        <v>80</v>
      </c>
      <c r="K4" s="4" t="s">
        <v>81</v>
      </c>
      <c r="L4" s="4" t="s">
        <v>82</v>
      </c>
    </row>
    <row r="5" spans="1:14">
      <c r="A5" s="6" t="s">
        <v>83</v>
      </c>
      <c r="B5" s="6" t="s">
        <v>84</v>
      </c>
      <c r="C5" s="7">
        <v>33120</v>
      </c>
      <c r="D5" s="7">
        <v>44840</v>
      </c>
      <c r="E5" s="6" t="s">
        <v>85</v>
      </c>
      <c r="I5" s="34" t="s">
        <v>86</v>
      </c>
      <c r="J5" s="4" t="s">
        <v>87</v>
      </c>
      <c r="K5" s="4" t="s">
        <v>88</v>
      </c>
      <c r="L5" s="4" t="s">
        <v>82</v>
      </c>
    </row>
    <row r="6" spans="1:14">
      <c r="A6" s="6" t="s">
        <v>89</v>
      </c>
      <c r="B6" s="6" t="s">
        <v>90</v>
      </c>
      <c r="C6" s="7">
        <v>38713</v>
      </c>
      <c r="D6" s="7">
        <v>44415</v>
      </c>
      <c r="E6" s="6" t="s">
        <v>91</v>
      </c>
      <c r="I6" s="34" t="s">
        <v>92</v>
      </c>
      <c r="J6" s="4" t="s">
        <v>93</v>
      </c>
      <c r="K6" s="4" t="s">
        <v>94</v>
      </c>
      <c r="L6" s="4" t="s">
        <v>95</v>
      </c>
    </row>
    <row r="7" spans="1:14">
      <c r="A7" s="6" t="s">
        <v>96</v>
      </c>
      <c r="B7" s="6" t="s">
        <v>97</v>
      </c>
      <c r="C7" s="7">
        <v>37928</v>
      </c>
      <c r="D7" s="7">
        <v>43544</v>
      </c>
      <c r="E7" s="6" t="s">
        <v>98</v>
      </c>
      <c r="I7" s="34" t="s">
        <v>45</v>
      </c>
      <c r="J7" s="4" t="s">
        <v>46</v>
      </c>
      <c r="K7" s="4" t="s">
        <v>99</v>
      </c>
      <c r="L7" s="4" t="s">
        <v>100</v>
      </c>
    </row>
    <row r="8" spans="1:14">
      <c r="A8" s="6" t="s">
        <v>101</v>
      </c>
      <c r="B8" s="6" t="s">
        <v>102</v>
      </c>
      <c r="C8" s="7">
        <v>35042</v>
      </c>
      <c r="D8" s="7">
        <v>43370</v>
      </c>
      <c r="E8" s="6" t="s">
        <v>103</v>
      </c>
      <c r="I8" s="34" t="s">
        <v>104</v>
      </c>
      <c r="J8" s="4" t="s">
        <v>105</v>
      </c>
      <c r="K8" s="4" t="s">
        <v>106</v>
      </c>
      <c r="L8" s="4" t="s">
        <v>107</v>
      </c>
    </row>
    <row r="9" spans="1:14">
      <c r="A9" s="6" t="s">
        <v>108</v>
      </c>
      <c r="B9" s="6" t="s">
        <v>109</v>
      </c>
      <c r="C9" s="7">
        <v>35140</v>
      </c>
      <c r="D9" s="7">
        <v>45329</v>
      </c>
      <c r="E9" s="6" t="s">
        <v>110</v>
      </c>
    </row>
    <row r="10" spans="1:14">
      <c r="A10" s="6" t="s">
        <v>111</v>
      </c>
      <c r="B10" s="6" t="s">
        <v>97</v>
      </c>
      <c r="C10" s="7">
        <v>32196</v>
      </c>
      <c r="D10" s="7">
        <v>43250</v>
      </c>
      <c r="E10" s="6" t="s">
        <v>112</v>
      </c>
    </row>
    <row r="11" spans="1:14">
      <c r="A11" s="6" t="s">
        <v>113</v>
      </c>
      <c r="B11" s="6" t="s">
        <v>114</v>
      </c>
      <c r="C11" s="7">
        <v>33329</v>
      </c>
      <c r="D11" s="7">
        <v>45156</v>
      </c>
      <c r="E11" s="6" t="s">
        <v>115</v>
      </c>
    </row>
    <row r="12" spans="1:14">
      <c r="A12" s="6" t="s">
        <v>116</v>
      </c>
      <c r="B12" s="6" t="s">
        <v>102</v>
      </c>
      <c r="C12" s="7">
        <v>38933</v>
      </c>
      <c r="D12" s="7">
        <v>43935</v>
      </c>
      <c r="E12" s="6" t="s">
        <v>117</v>
      </c>
    </row>
    <row r="13" spans="1:14">
      <c r="A13" s="6" t="s">
        <v>118</v>
      </c>
      <c r="B13" s="6" t="s">
        <v>84</v>
      </c>
      <c r="C13" s="7">
        <v>34756</v>
      </c>
      <c r="D13" s="7">
        <v>44992</v>
      </c>
      <c r="E13" s="6" t="s">
        <v>119</v>
      </c>
    </row>
    <row r="14" spans="1:14">
      <c r="A14" s="6" t="s">
        <v>120</v>
      </c>
      <c r="B14" s="6" t="s">
        <v>77</v>
      </c>
      <c r="C14" s="7">
        <v>38479</v>
      </c>
      <c r="D14" s="7">
        <v>44151</v>
      </c>
      <c r="E14" s="6" t="s">
        <v>121</v>
      </c>
    </row>
    <row r="15" spans="1:14">
      <c r="A15" s="6" t="s">
        <v>122</v>
      </c>
      <c r="B15" s="6" t="s">
        <v>123</v>
      </c>
      <c r="C15" s="7">
        <v>36696</v>
      </c>
      <c r="D15" s="7">
        <v>42444</v>
      </c>
      <c r="E15" s="6" t="s">
        <v>124</v>
      </c>
    </row>
    <row r="16" spans="1:14">
      <c r="A16" s="6" t="s">
        <v>125</v>
      </c>
      <c r="B16" s="6" t="s">
        <v>84</v>
      </c>
      <c r="C16" s="7">
        <v>35192</v>
      </c>
      <c r="D16" s="7">
        <v>43759</v>
      </c>
      <c r="E16" s="6" t="s">
        <v>126</v>
      </c>
    </row>
    <row r="17" spans="1:5">
      <c r="A17" s="6" t="s">
        <v>127</v>
      </c>
      <c r="B17" s="6" t="s">
        <v>84</v>
      </c>
      <c r="C17" s="7">
        <v>36771</v>
      </c>
      <c r="D17" s="7">
        <v>42861</v>
      </c>
      <c r="E17" s="6" t="s">
        <v>128</v>
      </c>
    </row>
    <row r="18" spans="1:5">
      <c r="A18" s="6" t="s">
        <v>129</v>
      </c>
      <c r="B18" s="6" t="s">
        <v>90</v>
      </c>
      <c r="C18" s="7">
        <v>31481</v>
      </c>
      <c r="D18" s="7">
        <v>44820</v>
      </c>
      <c r="E18" s="6" t="s">
        <v>130</v>
      </c>
    </row>
    <row r="19" spans="1:5">
      <c r="A19" s="6" t="s">
        <v>131</v>
      </c>
      <c r="B19" s="6" t="s">
        <v>114</v>
      </c>
      <c r="C19" s="7">
        <v>38606</v>
      </c>
      <c r="D19" s="7">
        <v>44871</v>
      </c>
      <c r="E19" s="6" t="s">
        <v>132</v>
      </c>
    </row>
    <row r="20" spans="1:5">
      <c r="A20" s="6" t="s">
        <v>133</v>
      </c>
      <c r="B20" s="6" t="s">
        <v>109</v>
      </c>
      <c r="C20" s="7">
        <v>33862</v>
      </c>
      <c r="D20" s="7">
        <v>42777</v>
      </c>
      <c r="E20" s="6" t="s">
        <v>134</v>
      </c>
    </row>
    <row r="21" spans="1:5">
      <c r="A21" s="6" t="s">
        <v>135</v>
      </c>
      <c r="B21" s="6" t="s">
        <v>136</v>
      </c>
      <c r="C21" s="7">
        <v>38784</v>
      </c>
      <c r="D21" s="7">
        <v>43644</v>
      </c>
      <c r="E21" s="6" t="s">
        <v>137</v>
      </c>
    </row>
    <row r="22" spans="1:5">
      <c r="A22" s="6" t="s">
        <v>138</v>
      </c>
      <c r="B22" s="6" t="s">
        <v>109</v>
      </c>
      <c r="C22" s="7">
        <v>33698</v>
      </c>
      <c r="D22" s="7">
        <v>45148</v>
      </c>
      <c r="E22" s="6" t="s">
        <v>139</v>
      </c>
    </row>
    <row r="23" spans="1:5">
      <c r="A23" s="6" t="s">
        <v>140</v>
      </c>
      <c r="B23" s="6" t="s">
        <v>136</v>
      </c>
      <c r="C23" s="7">
        <v>37140</v>
      </c>
      <c r="D23" s="7">
        <v>42395</v>
      </c>
      <c r="E23" s="6" t="s">
        <v>141</v>
      </c>
    </row>
    <row r="24" spans="1:5">
      <c r="A24" s="6" t="s">
        <v>142</v>
      </c>
      <c r="B24" s="6" t="s">
        <v>123</v>
      </c>
      <c r="C24" s="7">
        <v>38420</v>
      </c>
      <c r="D24" s="7">
        <v>43616</v>
      </c>
      <c r="E24" s="6" t="s">
        <v>143</v>
      </c>
    </row>
    <row r="25" spans="1:5">
      <c r="A25" s="6" t="s">
        <v>144</v>
      </c>
      <c r="B25" s="6" t="s">
        <v>114</v>
      </c>
      <c r="C25" s="7">
        <v>35234</v>
      </c>
      <c r="D25" s="7">
        <v>42962</v>
      </c>
      <c r="E25" s="6" t="s">
        <v>145</v>
      </c>
    </row>
    <row r="26" spans="1:5">
      <c r="A26" s="6" t="s">
        <v>146</v>
      </c>
      <c r="B26" s="6" t="s">
        <v>123</v>
      </c>
      <c r="C26" s="7">
        <v>35720</v>
      </c>
      <c r="D26" s="7">
        <v>42934</v>
      </c>
      <c r="E26" s="6" t="s">
        <v>147</v>
      </c>
    </row>
    <row r="27" spans="1:5">
      <c r="A27" s="6" t="s">
        <v>148</v>
      </c>
      <c r="B27" s="6" t="s">
        <v>97</v>
      </c>
      <c r="C27" s="7">
        <v>31817</v>
      </c>
      <c r="D27" s="7">
        <v>45243</v>
      </c>
      <c r="E27" s="6" t="s">
        <v>149</v>
      </c>
    </row>
    <row r="28" spans="1:5">
      <c r="A28" s="6" t="s">
        <v>150</v>
      </c>
      <c r="B28" s="6" t="s">
        <v>114</v>
      </c>
      <c r="C28" s="7">
        <v>33236</v>
      </c>
      <c r="D28" s="7">
        <v>44761</v>
      </c>
      <c r="E28" s="6" t="s">
        <v>151</v>
      </c>
    </row>
    <row r="29" spans="1:5">
      <c r="A29" s="6" t="s">
        <v>152</v>
      </c>
      <c r="B29" s="6" t="s">
        <v>102</v>
      </c>
      <c r="C29" s="7">
        <v>31231</v>
      </c>
      <c r="D29" s="7">
        <v>44623</v>
      </c>
      <c r="E29" s="6" t="s">
        <v>153</v>
      </c>
    </row>
    <row r="30" spans="1:5">
      <c r="A30" s="6" t="s">
        <v>154</v>
      </c>
      <c r="B30" s="6" t="s">
        <v>90</v>
      </c>
      <c r="C30" s="7">
        <v>35195</v>
      </c>
      <c r="D30" s="7">
        <v>43102</v>
      </c>
      <c r="E30" s="6" t="s">
        <v>155</v>
      </c>
    </row>
    <row r="31" spans="1:5">
      <c r="A31" s="6" t="s">
        <v>156</v>
      </c>
      <c r="B31" s="6" t="s">
        <v>114</v>
      </c>
      <c r="C31" s="7">
        <v>37890</v>
      </c>
      <c r="D31" s="7">
        <v>43361</v>
      </c>
      <c r="E31" s="6" t="s">
        <v>157</v>
      </c>
    </row>
    <row r="32" spans="1:5">
      <c r="A32" s="6" t="s">
        <v>158</v>
      </c>
      <c r="B32" s="6" t="s">
        <v>90</v>
      </c>
      <c r="C32" s="7">
        <v>35711</v>
      </c>
      <c r="D32" s="7">
        <v>43689</v>
      </c>
      <c r="E32" s="6" t="s">
        <v>130</v>
      </c>
    </row>
    <row r="33" spans="1:5">
      <c r="A33" s="6" t="s">
        <v>159</v>
      </c>
      <c r="B33" s="6" t="s">
        <v>102</v>
      </c>
      <c r="C33" s="7">
        <v>31930</v>
      </c>
      <c r="D33" s="7">
        <v>42136</v>
      </c>
      <c r="E33" s="6" t="s">
        <v>160</v>
      </c>
    </row>
    <row r="34" spans="1:5">
      <c r="A34" s="6" t="s">
        <v>161</v>
      </c>
      <c r="B34" s="6" t="s">
        <v>77</v>
      </c>
      <c r="C34" s="7">
        <v>37537</v>
      </c>
      <c r="D34" s="7">
        <v>44980</v>
      </c>
      <c r="E34" s="6" t="s">
        <v>162</v>
      </c>
    </row>
    <row r="35" spans="1:5">
      <c r="A35" s="13" t="s">
        <v>11</v>
      </c>
      <c r="B35" s="13" t="s">
        <v>44</v>
      </c>
      <c r="C35" s="14">
        <v>31554</v>
      </c>
      <c r="D35" s="14">
        <v>44528</v>
      </c>
      <c r="E35" s="13" t="s">
        <v>163</v>
      </c>
    </row>
    <row r="36" spans="1:5">
      <c r="A36" s="6" t="s">
        <v>164</v>
      </c>
      <c r="B36" s="6" t="s">
        <v>123</v>
      </c>
      <c r="C36" s="7">
        <v>37155</v>
      </c>
      <c r="D36" s="7">
        <v>44109</v>
      </c>
      <c r="E36" s="6" t="s">
        <v>165</v>
      </c>
    </row>
    <row r="37" spans="1:5">
      <c r="A37" s="6" t="s">
        <v>166</v>
      </c>
      <c r="B37" s="6" t="s">
        <v>109</v>
      </c>
      <c r="C37" s="7">
        <v>34117</v>
      </c>
      <c r="D37" s="7">
        <v>43266</v>
      </c>
      <c r="E37" s="6" t="s">
        <v>167</v>
      </c>
    </row>
    <row r="38" spans="1:5">
      <c r="A38" s="6" t="s">
        <v>168</v>
      </c>
      <c r="B38" s="6" t="s">
        <v>102</v>
      </c>
      <c r="C38" s="7">
        <v>36381</v>
      </c>
      <c r="D38" s="7">
        <v>42023</v>
      </c>
      <c r="E38" s="6" t="s">
        <v>169</v>
      </c>
    </row>
    <row r="39" spans="1:5">
      <c r="A39" s="6" t="s">
        <v>170</v>
      </c>
      <c r="B39" s="6" t="s">
        <v>84</v>
      </c>
      <c r="C39" s="7">
        <v>34830</v>
      </c>
      <c r="D39" s="7">
        <v>43794</v>
      </c>
      <c r="E39" s="6" t="s">
        <v>171</v>
      </c>
    </row>
    <row r="40" spans="1:5">
      <c r="A40" s="6" t="s">
        <v>172</v>
      </c>
      <c r="B40" s="6" t="s">
        <v>109</v>
      </c>
      <c r="C40" s="7">
        <v>38689</v>
      </c>
      <c r="D40" s="7">
        <v>43712</v>
      </c>
      <c r="E40" s="6" t="s">
        <v>173</v>
      </c>
    </row>
    <row r="41" spans="1:5">
      <c r="A41" s="6" t="s">
        <v>174</v>
      </c>
      <c r="B41" s="6" t="s">
        <v>123</v>
      </c>
      <c r="C41" s="7">
        <v>36696</v>
      </c>
      <c r="D41" s="7">
        <v>45011</v>
      </c>
      <c r="E41" s="6" t="s">
        <v>175</v>
      </c>
    </row>
    <row r="42" spans="1:5">
      <c r="A42" s="6" t="s">
        <v>176</v>
      </c>
      <c r="B42" s="6" t="s">
        <v>102</v>
      </c>
      <c r="C42" s="7">
        <v>36331</v>
      </c>
      <c r="D42" s="7">
        <v>45147</v>
      </c>
      <c r="E42" s="6" t="s">
        <v>177</v>
      </c>
    </row>
    <row r="43" spans="1:5">
      <c r="A43" s="6" t="s">
        <v>178</v>
      </c>
      <c r="B43" s="6" t="s">
        <v>90</v>
      </c>
      <c r="C43" s="7">
        <v>37605</v>
      </c>
      <c r="D43" s="7">
        <v>43446</v>
      </c>
      <c r="E43" s="6" t="s">
        <v>179</v>
      </c>
    </row>
    <row r="44" spans="1:5">
      <c r="A44" s="6" t="s">
        <v>180</v>
      </c>
      <c r="B44" s="6" t="s">
        <v>77</v>
      </c>
      <c r="C44" s="7">
        <v>32918</v>
      </c>
      <c r="D44" s="7">
        <v>44201</v>
      </c>
      <c r="E44" s="6" t="s">
        <v>181</v>
      </c>
    </row>
    <row r="45" spans="1:5">
      <c r="A45" s="6" t="s">
        <v>182</v>
      </c>
      <c r="B45" s="6" t="s">
        <v>44</v>
      </c>
      <c r="C45" s="7">
        <v>31663</v>
      </c>
      <c r="D45" s="7">
        <v>43111</v>
      </c>
      <c r="E45" s="6" t="s">
        <v>183</v>
      </c>
    </row>
    <row r="46" spans="1:5">
      <c r="A46" s="6" t="s">
        <v>184</v>
      </c>
      <c r="B46" s="6" t="s">
        <v>136</v>
      </c>
      <c r="C46" s="7">
        <v>37583</v>
      </c>
      <c r="D46" s="7">
        <v>45218</v>
      </c>
      <c r="E46" s="6" t="s">
        <v>185</v>
      </c>
    </row>
    <row r="47" spans="1:5">
      <c r="A47" s="6" t="s">
        <v>186</v>
      </c>
      <c r="B47" s="6" t="s">
        <v>102</v>
      </c>
      <c r="C47" s="7">
        <v>33616</v>
      </c>
      <c r="D47" s="7">
        <v>43335</v>
      </c>
      <c r="E47" s="6" t="s">
        <v>187</v>
      </c>
    </row>
    <row r="48" spans="1:5">
      <c r="A48" s="6" t="s">
        <v>188</v>
      </c>
      <c r="B48" s="6" t="s">
        <v>123</v>
      </c>
      <c r="C48" s="7">
        <v>38914</v>
      </c>
      <c r="D48" s="7">
        <v>45396</v>
      </c>
      <c r="E48" s="6" t="s">
        <v>189</v>
      </c>
    </row>
    <row r="49" spans="1:5">
      <c r="A49" s="6" t="s">
        <v>190</v>
      </c>
      <c r="B49" s="6" t="s">
        <v>44</v>
      </c>
      <c r="C49" s="7">
        <v>32287</v>
      </c>
      <c r="D49" s="7">
        <v>42466</v>
      </c>
      <c r="E49" s="6" t="s">
        <v>191</v>
      </c>
    </row>
    <row r="50" spans="1:5">
      <c r="A50" s="6" t="s">
        <v>192</v>
      </c>
      <c r="B50" s="6" t="s">
        <v>97</v>
      </c>
      <c r="C50" s="7">
        <v>33783</v>
      </c>
      <c r="D50" s="7">
        <v>42783</v>
      </c>
      <c r="E50" s="6" t="s">
        <v>193</v>
      </c>
    </row>
    <row r="51" spans="1:5">
      <c r="A51" s="6" t="s">
        <v>194</v>
      </c>
      <c r="B51" s="6" t="s">
        <v>102</v>
      </c>
      <c r="C51" s="7">
        <v>37755</v>
      </c>
      <c r="D51" s="7">
        <v>44317</v>
      </c>
      <c r="E51" s="6" t="s">
        <v>195</v>
      </c>
    </row>
    <row r="52" spans="1:5">
      <c r="A52" s="6" t="s">
        <v>196</v>
      </c>
      <c r="B52" s="6" t="s">
        <v>109</v>
      </c>
      <c r="C52" s="7">
        <v>38060</v>
      </c>
      <c r="D52" s="7">
        <v>42209</v>
      </c>
      <c r="E52" s="6" t="s">
        <v>197</v>
      </c>
    </row>
    <row r="53" spans="1:5">
      <c r="A53" s="6" t="s">
        <v>198</v>
      </c>
      <c r="B53" s="6" t="s">
        <v>84</v>
      </c>
      <c r="C53" s="7">
        <v>33456</v>
      </c>
      <c r="D53" s="7">
        <v>44012</v>
      </c>
      <c r="E53" s="6" t="s">
        <v>199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1FBD-E9FF-45A6-B786-3DBC8BBB0051}">
  <sheetPr codeName="Sheet4"/>
  <dimension ref="B1:P32"/>
  <sheetViews>
    <sheetView showGridLines="0" workbookViewId="0">
      <selection activeCell="P24" sqref="P24"/>
    </sheetView>
  </sheetViews>
  <sheetFormatPr defaultColWidth="8.85546875" defaultRowHeight="14.45"/>
  <cols>
    <col min="1" max="1" width="5.7109375" style="38" customWidth="1"/>
    <col min="2" max="2" width="10" style="38" customWidth="1"/>
    <col min="3" max="6" width="8.85546875" style="38"/>
    <col min="7" max="8" width="4.28515625" style="38" customWidth="1"/>
    <col min="9" max="9" width="8.85546875" style="38"/>
    <col min="10" max="10" width="10.42578125" style="38" customWidth="1"/>
    <col min="11" max="11" width="9.28515625" style="38" customWidth="1"/>
    <col min="12" max="13" width="8.85546875" style="38"/>
    <col min="14" max="14" width="26.42578125" style="38" customWidth="1"/>
    <col min="15" max="16384" width="8.85546875" style="38"/>
  </cols>
  <sheetData>
    <row r="1" spans="7:16">
      <c r="H1" s="39"/>
      <c r="I1" s="39"/>
      <c r="J1" s="39"/>
      <c r="K1" s="39"/>
      <c r="L1" s="39"/>
      <c r="M1" s="39"/>
      <c r="N1" s="39"/>
      <c r="O1" s="39"/>
      <c r="P1" s="39"/>
    </row>
    <row r="2" spans="7:16">
      <c r="H2" s="39"/>
      <c r="I2" s="39"/>
      <c r="J2" s="39"/>
      <c r="K2" s="39"/>
      <c r="L2" s="39"/>
      <c r="M2" s="39"/>
      <c r="N2" s="39"/>
      <c r="O2" s="39"/>
      <c r="P2" s="39"/>
    </row>
    <row r="3" spans="7:16">
      <c r="G3" s="40"/>
      <c r="H3" s="41"/>
      <c r="I3" s="39"/>
      <c r="J3" s="39"/>
      <c r="K3" s="39"/>
      <c r="L3" s="39"/>
      <c r="M3" s="39"/>
      <c r="N3" s="39"/>
      <c r="O3" s="39"/>
      <c r="P3" s="39"/>
    </row>
    <row r="4" spans="7:16">
      <c r="G4" s="40"/>
      <c r="H4" s="41"/>
      <c r="I4" s="39"/>
      <c r="J4" s="39"/>
      <c r="K4" s="39"/>
      <c r="L4" s="39"/>
      <c r="M4" s="39"/>
      <c r="N4" s="39"/>
      <c r="O4" s="39"/>
      <c r="P4" s="39"/>
    </row>
    <row r="5" spans="7:16">
      <c r="G5" s="40"/>
      <c r="H5" s="41"/>
      <c r="I5" s="39"/>
      <c r="J5" s="39"/>
      <c r="K5" s="39"/>
      <c r="L5" s="39"/>
      <c r="M5" s="39"/>
      <c r="N5" s="39"/>
      <c r="O5" s="39"/>
      <c r="P5" s="39"/>
    </row>
    <row r="6" spans="7:16">
      <c r="G6" s="40"/>
      <c r="H6" s="41"/>
      <c r="I6" s="39" t="s">
        <v>200</v>
      </c>
      <c r="J6" s="39"/>
      <c r="K6" s="39"/>
      <c r="L6" s="39"/>
      <c r="M6" s="39"/>
      <c r="N6" s="39"/>
      <c r="O6" s="39"/>
      <c r="P6" s="39"/>
    </row>
    <row r="7" spans="7:16">
      <c r="G7" s="40"/>
      <c r="H7" s="41"/>
      <c r="I7" s="39" t="s">
        <v>201</v>
      </c>
      <c r="J7" s="39"/>
      <c r="K7" s="39"/>
      <c r="L7" s="39"/>
      <c r="M7" s="39"/>
      <c r="N7" s="39"/>
      <c r="O7" s="39"/>
      <c r="P7" s="39"/>
    </row>
    <row r="8" spans="7:16">
      <c r="G8" s="40"/>
      <c r="H8" s="41"/>
      <c r="I8" s="39"/>
      <c r="J8" s="39"/>
      <c r="K8" s="39"/>
      <c r="L8" s="39"/>
      <c r="M8" s="39"/>
      <c r="N8" s="39"/>
      <c r="O8" s="39"/>
      <c r="P8" s="39"/>
    </row>
    <row r="9" spans="7:16">
      <c r="G9" s="40"/>
      <c r="H9" s="41"/>
      <c r="I9" s="39"/>
      <c r="J9" s="39"/>
      <c r="K9" s="39"/>
      <c r="L9" s="39"/>
      <c r="M9" s="39"/>
      <c r="N9" s="39"/>
      <c r="O9" s="39"/>
      <c r="P9" s="39"/>
    </row>
    <row r="10" spans="7:16">
      <c r="G10" s="40"/>
      <c r="H10" s="41"/>
      <c r="I10" s="39" t="s">
        <v>202</v>
      </c>
      <c r="J10" s="39"/>
      <c r="K10" s="39"/>
      <c r="L10" s="39"/>
      <c r="M10" s="39"/>
      <c r="N10" s="39"/>
      <c r="O10" s="39"/>
      <c r="P10" s="39"/>
    </row>
    <row r="11" spans="7:16">
      <c r="G11" s="40"/>
      <c r="H11" s="41"/>
      <c r="I11" s="39"/>
      <c r="J11" s="39"/>
      <c r="K11" s="39"/>
      <c r="L11" s="39"/>
      <c r="M11" s="39"/>
      <c r="N11" s="39"/>
      <c r="O11" s="39"/>
      <c r="P11" s="39"/>
    </row>
    <row r="12" spans="7:16">
      <c r="G12" s="40"/>
      <c r="H12" s="41"/>
      <c r="I12" s="42"/>
      <c r="J12" s="78" t="s">
        <v>203</v>
      </c>
      <c r="K12" s="78"/>
      <c r="L12" s="79" t="s">
        <v>204</v>
      </c>
      <c r="M12" s="79"/>
      <c r="N12" s="39"/>
      <c r="O12" s="39"/>
      <c r="P12" s="39"/>
    </row>
    <row r="13" spans="7:16">
      <c r="G13" s="40"/>
      <c r="H13" s="41"/>
      <c r="I13" s="42"/>
      <c r="J13" s="78" t="s">
        <v>205</v>
      </c>
      <c r="K13" s="78"/>
      <c r="L13" s="61" t="s">
        <v>206</v>
      </c>
      <c r="M13" s="61"/>
      <c r="N13" s="39"/>
      <c r="O13" s="39"/>
      <c r="P13" s="39"/>
    </row>
    <row r="14" spans="7:16">
      <c r="G14" s="40"/>
      <c r="H14" s="41"/>
      <c r="I14" s="42"/>
      <c r="J14" s="78" t="s">
        <v>207</v>
      </c>
      <c r="K14" s="78"/>
      <c r="L14" s="61" t="s">
        <v>208</v>
      </c>
      <c r="M14" s="43"/>
      <c r="N14" s="39"/>
      <c r="O14" s="39"/>
      <c r="P14" s="39"/>
    </row>
    <row r="15" spans="7:16">
      <c r="G15" s="40"/>
      <c r="H15" s="41"/>
      <c r="I15" s="42"/>
      <c r="J15" s="78" t="s">
        <v>209</v>
      </c>
      <c r="K15" s="78"/>
      <c r="L15" s="61" t="s">
        <v>210</v>
      </c>
      <c r="M15" s="43"/>
      <c r="N15" s="39"/>
      <c r="O15" s="39"/>
      <c r="P15" s="39"/>
    </row>
    <row r="16" spans="7:16">
      <c r="G16" s="40"/>
      <c r="H16" s="41"/>
      <c r="I16" s="42"/>
      <c r="J16" s="78" t="s">
        <v>211</v>
      </c>
      <c r="K16" s="78"/>
      <c r="L16" s="61" t="s">
        <v>212</v>
      </c>
      <c r="M16" s="43"/>
      <c r="N16" s="39"/>
      <c r="O16" s="39"/>
      <c r="P16" s="39"/>
    </row>
    <row r="17" spans="2:16" ht="54.6" customHeight="1">
      <c r="B17" s="73" t="s">
        <v>213</v>
      </c>
      <c r="C17" s="73"/>
      <c r="D17" s="73"/>
      <c r="E17" s="73"/>
      <c r="F17" s="74"/>
      <c r="G17" s="44"/>
      <c r="H17" s="41"/>
      <c r="I17" s="39" t="s">
        <v>214</v>
      </c>
      <c r="J17" s="39"/>
      <c r="K17" s="39"/>
      <c r="L17" s="39"/>
      <c r="M17" s="39"/>
      <c r="N17" s="39"/>
      <c r="O17" s="39"/>
      <c r="P17" s="39"/>
    </row>
    <row r="18" spans="2:16" ht="54.6" customHeight="1">
      <c r="B18" s="75" t="s">
        <v>215</v>
      </c>
      <c r="C18" s="75"/>
      <c r="D18" s="75"/>
      <c r="E18" s="75"/>
      <c r="F18" s="76"/>
      <c r="G18" s="45"/>
      <c r="H18" s="41"/>
      <c r="I18" s="46" t="s">
        <v>216</v>
      </c>
      <c r="J18" s="39"/>
      <c r="K18" s="39"/>
      <c r="L18" s="39"/>
      <c r="M18" s="39"/>
      <c r="N18" s="39"/>
      <c r="O18" s="39"/>
      <c r="P18" s="39"/>
    </row>
    <row r="19" spans="2:16">
      <c r="B19" s="47" t="s">
        <v>217</v>
      </c>
      <c r="H19" s="39"/>
      <c r="J19" s="39"/>
      <c r="K19" s="39"/>
      <c r="L19" s="39"/>
      <c r="M19" s="39"/>
      <c r="N19" s="39"/>
      <c r="O19" s="39"/>
      <c r="P19" s="39"/>
    </row>
    <row r="20" spans="2:16">
      <c r="B20" s="48" t="s">
        <v>218</v>
      </c>
      <c r="C20" s="49" t="s">
        <v>219</v>
      </c>
      <c r="H20" s="39"/>
      <c r="J20" s="39"/>
      <c r="K20" s="39"/>
      <c r="L20" s="39"/>
      <c r="M20" s="39"/>
      <c r="N20" s="39"/>
      <c r="O20" s="39"/>
      <c r="P20" s="39"/>
    </row>
    <row r="21" spans="2:16">
      <c r="B21" s="50" t="s">
        <v>220</v>
      </c>
      <c r="C21" s="49" t="s">
        <v>221</v>
      </c>
      <c r="H21" s="39"/>
      <c r="I21" s="39"/>
      <c r="J21" s="39"/>
      <c r="K21" s="39"/>
      <c r="L21" s="39"/>
      <c r="M21" s="39"/>
      <c r="N21" s="39"/>
      <c r="O21" s="39"/>
      <c r="P21" s="39"/>
    </row>
    <row r="22" spans="2:16">
      <c r="H22" s="39"/>
      <c r="I22" s="39"/>
      <c r="J22" s="39"/>
      <c r="K22" s="39"/>
      <c r="L22" s="39"/>
      <c r="M22" s="39"/>
      <c r="N22" s="39"/>
      <c r="O22" s="39"/>
      <c r="P22" s="39"/>
    </row>
    <row r="23" spans="2:16">
      <c r="N23" s="39"/>
      <c r="O23" s="39"/>
      <c r="P23" s="39"/>
    </row>
    <row r="24" spans="2:16">
      <c r="N24" s="39"/>
      <c r="O24" s="39"/>
      <c r="P24" s="39"/>
    </row>
    <row r="25" spans="2:16">
      <c r="B25" s="77"/>
      <c r="C25" s="64"/>
      <c r="D25" s="64"/>
      <c r="E25" s="64"/>
      <c r="F25" s="64"/>
      <c r="G25" s="64"/>
      <c r="H25" s="64"/>
      <c r="I25" s="64"/>
      <c r="N25" s="39"/>
      <c r="O25" s="39"/>
      <c r="P25" s="39"/>
    </row>
    <row r="26" spans="2:16">
      <c r="B26" s="51"/>
      <c r="C26" s="52"/>
      <c r="D26" s="51"/>
      <c r="E26" s="51"/>
      <c r="F26" s="51"/>
      <c r="G26" s="51"/>
      <c r="H26" s="51"/>
      <c r="I26" s="51"/>
    </row>
    <row r="27" spans="2:16">
      <c r="B27" s="51"/>
      <c r="C27" s="51"/>
      <c r="D27" s="53" t="s">
        <v>222</v>
      </c>
      <c r="E27" s="51"/>
      <c r="F27" s="51"/>
      <c r="G27" s="51"/>
      <c r="H27" s="51"/>
      <c r="I27" s="51"/>
    </row>
    <row r="28" spans="2:16">
      <c r="B28" s="51"/>
      <c r="C28" s="51"/>
      <c r="D28" s="54" t="s">
        <v>223</v>
      </c>
      <c r="E28" s="51"/>
      <c r="F28" s="51"/>
      <c r="G28" s="51"/>
      <c r="H28" s="51"/>
      <c r="I28" s="51"/>
    </row>
    <row r="29" spans="2:16">
      <c r="B29" s="51"/>
      <c r="C29" s="51"/>
      <c r="D29" s="55" t="s">
        <v>224</v>
      </c>
      <c r="E29" s="51"/>
      <c r="F29" s="51"/>
      <c r="G29" s="51"/>
      <c r="H29" s="51"/>
      <c r="I29" s="51"/>
    </row>
    <row r="30" spans="2:16">
      <c r="B30" s="51"/>
      <c r="C30" s="51"/>
      <c r="D30" s="51"/>
      <c r="E30" s="51"/>
      <c r="F30" s="51"/>
      <c r="G30" s="51"/>
      <c r="H30" s="51"/>
      <c r="I30" s="51"/>
    </row>
    <row r="31" spans="2:16">
      <c r="B31" s="51"/>
      <c r="C31" s="51"/>
      <c r="D31" s="51"/>
      <c r="E31" s="51"/>
      <c r="F31" s="51"/>
      <c r="G31" s="51"/>
      <c r="H31" s="51"/>
      <c r="I31" s="51"/>
    </row>
    <row r="32" spans="2:16">
      <c r="B32" s="77"/>
      <c r="C32" s="64"/>
      <c r="D32" s="64"/>
      <c r="E32" s="64"/>
      <c r="F32" s="64"/>
      <c r="G32" s="64"/>
      <c r="H32" s="64"/>
      <c r="I32" s="64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347909F0-24A4-4EB1-94D3-5FC2CAC788DD}"/>
    <hyperlink ref="C21" r:id="rId2" xr:uid="{D0689292-F320-4C45-9189-471CE9A03E33}"/>
    <hyperlink ref="C20" r:id="rId3" xr:uid="{7D57C486-319A-469A-8F87-8A00D807A0F7}"/>
    <hyperlink ref="D29" r:id="rId4" xr:uid="{ABBACBAE-65D2-46A4-9658-5FA19ED15DB4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Siti Rukoyah Al Munazalah</cp:lastModifiedBy>
  <cp:revision/>
  <dcterms:created xsi:type="dcterms:W3CDTF">2025-12-20T05:52:35Z</dcterms:created>
  <dcterms:modified xsi:type="dcterms:W3CDTF">2026-06-16T07:22:39Z</dcterms:modified>
  <cp:category/>
  <cp:contentStatus/>
</cp:coreProperties>
</file>