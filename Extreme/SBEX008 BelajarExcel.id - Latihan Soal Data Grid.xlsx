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new Format/"/>
    </mc:Choice>
  </mc:AlternateContent>
  <xr:revisionPtr revIDLastSave="1066" documentId="8_{2A1B8E81-60CE-4F1C-8D96-5470F6222246}" xr6:coauthVersionLast="47" xr6:coauthVersionMax="47" xr10:uidLastSave="{F252104A-836D-4853-A13F-02D20D59BDCF}"/>
  <workbookProtection workbookAlgorithmName="SHA-512" workbookHashValue="AIlVEGf9FEyCoZabk4v9SHb6RkhTbcBrgBPTbv+GlfKQmBTEuLOWLVc2yO0HlFvyFcB0gebBtlDcLP4cEKLT0Q==" workbookSaltValue="ezr04hlx3Vwrkk/g34svAA==" workbookSpinCount="100000" lockStructure="1"/>
  <bookViews>
    <workbookView xWindow="28692" yWindow="-108" windowWidth="29016" windowHeight="15696" xr2:uid="{00000000-000D-0000-FFFF-FFFF00000000}"/>
  </bookViews>
  <sheets>
    <sheet name="XL-Test" sheetId="2" r:id="rId1"/>
    <sheet name="Data Grid" sheetId="6" r:id="rId2"/>
    <sheet name="About" sheetId="5" r:id="rId3"/>
    <sheet name="DF" sheetId="4" state="veryHidden" r:id="rId4"/>
  </sheets>
  <externalReferences>
    <externalReference r:id="rId5"/>
  </externalReferences>
  <definedNames>
    <definedName name="Grid">'Data Grid'!$C$3:$AF$32</definedName>
    <definedName name="HJKOKO" localSheetId="3">DF!$C$67</definedName>
    <definedName name="kode_jawaban">DF!$C$70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2" l="1" a="1"/>
  <c r="K45" i="2"/>
  <c r="J45" i="2" a="1"/>
  <c r="J45" i="2"/>
  <c r="I45" i="2" a="1"/>
  <c r="I45" i="2"/>
  <c r="H45" i="2" a="1"/>
  <c r="H45" i="2"/>
  <c r="G45" i="2" a="1"/>
  <c r="G45" i="2"/>
  <c r="F45" i="2" a="1"/>
  <c r="F45" i="2"/>
  <c r="E45" i="2" a="1"/>
  <c r="E45" i="2"/>
  <c r="D45" i="2" a="1"/>
  <c r="D45" i="2"/>
  <c r="D44" i="4"/>
  <c r="E44" i="4"/>
  <c r="F44" i="4"/>
  <c r="G44" i="4"/>
  <c r="H44" i="4"/>
  <c r="I44" i="4"/>
  <c r="J44" i="4"/>
  <c r="D45" i="4"/>
  <c r="E45" i="4"/>
  <c r="F45" i="4"/>
  <c r="G45" i="4"/>
  <c r="H45" i="4"/>
  <c r="I45" i="4"/>
  <c r="J45" i="4"/>
  <c r="D46" i="4"/>
  <c r="E46" i="4"/>
  <c r="F46" i="4"/>
  <c r="G46" i="4"/>
  <c r="H46" i="4"/>
  <c r="I46" i="4"/>
  <c r="J46" i="4"/>
  <c r="D47" i="4"/>
  <c r="E47" i="4"/>
  <c r="F47" i="4"/>
  <c r="G47" i="4"/>
  <c r="H47" i="4"/>
  <c r="I47" i="4"/>
  <c r="J47" i="4"/>
  <c r="D48" i="4"/>
  <c r="E48" i="4"/>
  <c r="F48" i="4"/>
  <c r="G48" i="4"/>
  <c r="H48" i="4"/>
  <c r="I48" i="4"/>
  <c r="J48" i="4"/>
  <c r="D49" i="4"/>
  <c r="E49" i="4"/>
  <c r="F49" i="4"/>
  <c r="G49" i="4"/>
  <c r="H49" i="4"/>
  <c r="I49" i="4"/>
  <c r="J49" i="4"/>
  <c r="D50" i="4"/>
  <c r="E50" i="4"/>
  <c r="F50" i="4"/>
  <c r="G50" i="4"/>
  <c r="H50" i="4"/>
  <c r="I50" i="4"/>
  <c r="J50" i="4"/>
  <c r="D51" i="4"/>
  <c r="E51" i="4"/>
  <c r="F51" i="4"/>
  <c r="G51" i="4"/>
  <c r="H51" i="4"/>
  <c r="I51" i="4"/>
  <c r="J51" i="4"/>
  <c r="D52" i="4"/>
  <c r="E52" i="4"/>
  <c r="F52" i="4"/>
  <c r="G52" i="4"/>
  <c r="H52" i="4"/>
  <c r="I52" i="4"/>
  <c r="J52" i="4"/>
  <c r="D53" i="4"/>
  <c r="E53" i="4"/>
  <c r="F53" i="4"/>
  <c r="G53" i="4"/>
  <c r="H53" i="4"/>
  <c r="I53" i="4"/>
  <c r="J53" i="4"/>
  <c r="D54" i="4"/>
  <c r="E54" i="4"/>
  <c r="F54" i="4"/>
  <c r="G54" i="4"/>
  <c r="H54" i="4"/>
  <c r="I54" i="4"/>
  <c r="J54" i="4"/>
  <c r="D55" i="4"/>
  <c r="E55" i="4"/>
  <c r="F55" i="4"/>
  <c r="G55" i="4"/>
  <c r="H55" i="4"/>
  <c r="I55" i="4"/>
  <c r="J55" i="4"/>
  <c r="D56" i="4"/>
  <c r="E56" i="4"/>
  <c r="F56" i="4"/>
  <c r="G56" i="4"/>
  <c r="H56" i="4"/>
  <c r="I56" i="4"/>
  <c r="J56" i="4"/>
  <c r="D57" i="4"/>
  <c r="E57" i="4"/>
  <c r="F57" i="4"/>
  <c r="G57" i="4"/>
  <c r="H57" i="4"/>
  <c r="I57" i="4"/>
  <c r="J57" i="4"/>
  <c r="D58" i="4"/>
  <c r="E58" i="4"/>
  <c r="F58" i="4"/>
  <c r="G58" i="4"/>
  <c r="H58" i="4"/>
  <c r="I58" i="4"/>
  <c r="J58" i="4"/>
  <c r="J2" i="4"/>
  <c r="G2" i="4"/>
  <c r="F2" i="4"/>
  <c r="E2" i="4"/>
  <c r="E27" i="4" s="1"/>
  <c r="O9" i="4"/>
  <c r="O8" i="4"/>
  <c r="O7" i="4"/>
  <c r="O6" i="4"/>
  <c r="O5" i="4"/>
  <c r="O4" i="4"/>
  <c r="P2" i="4"/>
  <c r="Q2" i="4"/>
  <c r="E37" i="4" s="1"/>
  <c r="R2" i="4"/>
  <c r="S2" i="4"/>
  <c r="T2" i="4"/>
  <c r="U2" i="4"/>
  <c r="V2" i="4"/>
  <c r="E3" i="4"/>
  <c r="F3" i="4"/>
  <c r="G3" i="4"/>
  <c r="J3" i="4"/>
  <c r="E4" i="4"/>
  <c r="F4" i="4"/>
  <c r="G4" i="4"/>
  <c r="J4" i="4"/>
  <c r="E5" i="4"/>
  <c r="F5" i="4"/>
  <c r="G5" i="4"/>
  <c r="J5" i="4"/>
  <c r="E6" i="4"/>
  <c r="F6" i="4"/>
  <c r="G6" i="4"/>
  <c r="J6" i="4"/>
  <c r="E7" i="4"/>
  <c r="F7" i="4"/>
  <c r="G7" i="4"/>
  <c r="J7" i="4"/>
  <c r="E8" i="4"/>
  <c r="F8" i="4"/>
  <c r="G8" i="4"/>
  <c r="J8" i="4"/>
  <c r="E9" i="4"/>
  <c r="F9" i="4"/>
  <c r="G9" i="4"/>
  <c r="J9" i="4"/>
  <c r="E10" i="4"/>
  <c r="F10" i="4"/>
  <c r="G10" i="4"/>
  <c r="J10" i="4"/>
  <c r="E11" i="4"/>
  <c r="F11" i="4"/>
  <c r="G11" i="4"/>
  <c r="J11" i="4"/>
  <c r="E12" i="4"/>
  <c r="F12" i="4"/>
  <c r="G12" i="4"/>
  <c r="J12" i="4"/>
  <c r="E13" i="4"/>
  <c r="F13" i="4"/>
  <c r="G13" i="4"/>
  <c r="J13" i="4"/>
  <c r="E14" i="4"/>
  <c r="F14" i="4"/>
  <c r="G14" i="4"/>
  <c r="J14" i="4"/>
  <c r="E15" i="4"/>
  <c r="F15" i="4"/>
  <c r="G15" i="4"/>
  <c r="J15" i="4"/>
  <c r="E16" i="4"/>
  <c r="F16" i="4"/>
  <c r="G16" i="4"/>
  <c r="J16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44" i="4"/>
  <c r="O3" i="4"/>
  <c r="O2" i="4"/>
  <c r="AF1" i="6"/>
  <c r="AE1" i="6"/>
  <c r="AD1" i="6"/>
  <c r="AC1" i="6"/>
  <c r="AB1" i="6"/>
  <c r="AA1" i="6"/>
  <c r="Z1" i="6"/>
  <c r="Y1" i="6"/>
  <c r="X1" i="6"/>
  <c r="W1" i="6"/>
  <c r="V1" i="6"/>
  <c r="U1" i="6"/>
  <c r="T1" i="6"/>
  <c r="S1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D25" i="4"/>
  <c r="E25" i="4"/>
  <c r="F25" i="4"/>
  <c r="G25" i="4"/>
  <c r="H25" i="4"/>
  <c r="I25" i="4"/>
  <c r="J25" i="4"/>
  <c r="D24" i="4"/>
  <c r="E24" i="4"/>
  <c r="F24" i="4"/>
  <c r="G24" i="4"/>
  <c r="H24" i="4"/>
  <c r="I24" i="4"/>
  <c r="J24" i="4"/>
  <c r="J61" i="4" l="1"/>
  <c r="J29" i="4" s="1"/>
  <c r="G61" i="4"/>
  <c r="G29" i="4" s="1"/>
  <c r="F61" i="4"/>
  <c r="F29" i="4" s="1"/>
  <c r="E61" i="4"/>
  <c r="E29" i="4" s="1"/>
  <c r="I2" i="4"/>
  <c r="I27" i="4" s="1"/>
  <c r="I3" i="4"/>
  <c r="I5" i="4"/>
  <c r="I6" i="4"/>
  <c r="I8" i="4"/>
  <c r="I9" i="4"/>
  <c r="I11" i="4"/>
  <c r="I13" i="4"/>
  <c r="I15" i="4"/>
  <c r="I16" i="4"/>
  <c r="I4" i="4"/>
  <c r="I7" i="4"/>
  <c r="I10" i="4"/>
  <c r="I12" i="4"/>
  <c r="I14" i="4"/>
  <c r="H2" i="4"/>
  <c r="H3" i="4"/>
  <c r="H5" i="4"/>
  <c r="H6" i="4"/>
  <c r="H7" i="4"/>
  <c r="H8" i="4"/>
  <c r="H10" i="4"/>
  <c r="H11" i="4"/>
  <c r="H12" i="4"/>
  <c r="H13" i="4"/>
  <c r="H14" i="4"/>
  <c r="H15" i="4"/>
  <c r="H16" i="4"/>
  <c r="H4" i="4"/>
  <c r="H9" i="4"/>
  <c r="D2" i="4"/>
  <c r="D3" i="4"/>
  <c r="D7" i="4"/>
  <c r="D10" i="4"/>
  <c r="D14" i="4"/>
  <c r="D16" i="4"/>
  <c r="D5" i="4"/>
  <c r="D6" i="4"/>
  <c r="D12" i="4"/>
  <c r="D15" i="4"/>
  <c r="D4" i="4"/>
  <c r="D8" i="4"/>
  <c r="D11" i="4"/>
  <c r="D13" i="4"/>
  <c r="D9" i="4"/>
  <c r="D38" i="4"/>
  <c r="D40" i="4" s="1"/>
  <c r="D37" i="4"/>
  <c r="C38" i="4"/>
  <c r="C40" i="4" s="1"/>
  <c r="C37" i="4"/>
  <c r="I38" i="4"/>
  <c r="I40" i="4" s="1"/>
  <c r="I37" i="4"/>
  <c r="H38" i="4"/>
  <c r="H40" i="4" s="1"/>
  <c r="H37" i="4"/>
  <c r="G38" i="4"/>
  <c r="G40" i="4" s="1"/>
  <c r="G37" i="4"/>
  <c r="F38" i="4"/>
  <c r="F40" i="4" s="1"/>
  <c r="F37" i="4"/>
  <c r="J37" i="4"/>
  <c r="J38" i="4"/>
  <c r="J40" i="4" s="1"/>
  <c r="E38" i="4"/>
  <c r="E40" i="4" s="1"/>
  <c r="C25" i="4"/>
  <c r="C24" i="4"/>
  <c r="J28" i="4"/>
  <c r="I28" i="4"/>
  <c r="H28" i="4"/>
  <c r="G28" i="4"/>
  <c r="F28" i="4"/>
  <c r="D28" i="4"/>
  <c r="C28" i="4"/>
  <c r="E28" i="4"/>
  <c r="E31" i="4" s="1"/>
  <c r="C33" i="4"/>
  <c r="F19" i="4"/>
  <c r="F20" i="4" s="1"/>
  <c r="G19" i="4"/>
  <c r="G20" i="4" s="1"/>
  <c r="E19" i="4"/>
  <c r="E20" i="4" s="1"/>
  <c r="C2" i="4"/>
  <c r="C5" i="4"/>
  <c r="C8" i="4"/>
  <c r="C11" i="4"/>
  <c r="C14" i="4"/>
  <c r="C4" i="4"/>
  <c r="C6" i="4"/>
  <c r="C9" i="4"/>
  <c r="C12" i="4"/>
  <c r="C16" i="4"/>
  <c r="C3" i="4"/>
  <c r="C7" i="4"/>
  <c r="C10" i="4"/>
  <c r="C13" i="4"/>
  <c r="C15" i="4"/>
  <c r="D33" i="4"/>
  <c r="E33" i="4"/>
  <c r="F33" i="4"/>
  <c r="G33" i="4"/>
  <c r="H33" i="4"/>
  <c r="I33" i="4"/>
  <c r="J33" i="4"/>
  <c r="C41" i="4" l="1"/>
  <c r="C65" i="4" s="1"/>
  <c r="E41" i="4"/>
  <c r="E65" i="4" s="1"/>
  <c r="J41" i="4"/>
  <c r="J65" i="4" s="1"/>
  <c r="I41" i="4"/>
  <c r="I65" i="4" s="1"/>
  <c r="H41" i="4"/>
  <c r="H65" i="4" s="1"/>
  <c r="G41" i="4"/>
  <c r="G65" i="4" s="1"/>
  <c r="F41" i="4"/>
  <c r="F65" i="4" s="1"/>
  <c r="D41" i="4"/>
  <c r="D65" i="4" s="1"/>
  <c r="E64" i="4"/>
  <c r="C61" i="4"/>
  <c r="C29" i="4" s="1"/>
  <c r="H61" i="4"/>
  <c r="H29" i="4" s="1"/>
  <c r="D61" i="4"/>
  <c r="D29" i="4" s="1"/>
  <c r="I61" i="4"/>
  <c r="I29" i="4" s="1"/>
  <c r="I31" i="4" s="1"/>
  <c r="D19" i="4"/>
  <c r="D20" i="4" s="1"/>
  <c r="C19" i="4"/>
  <c r="C20" i="4" s="1"/>
  <c r="D27" i="4"/>
  <c r="C27" i="4"/>
  <c r="J27" i="4"/>
  <c r="J31" i="4" s="1"/>
  <c r="G27" i="4"/>
  <c r="G31" i="4" s="1"/>
  <c r="G64" i="4" s="1"/>
  <c r="F27" i="4"/>
  <c r="F31" i="4" s="1"/>
  <c r="F64" i="4" s="1"/>
  <c r="H27" i="4"/>
  <c r="I19" i="4"/>
  <c r="I20" i="4" s="1"/>
  <c r="E66" i="4" l="1"/>
  <c r="I64" i="4"/>
  <c r="I66" i="4" s="1"/>
  <c r="D31" i="4"/>
  <c r="D64" i="4" s="1"/>
  <c r="D66" i="4" s="1"/>
  <c r="H31" i="4"/>
  <c r="C31" i="4"/>
  <c r="C64" i="4" s="1"/>
  <c r="C66" i="4" s="1"/>
  <c r="F66" i="4"/>
  <c r="H19" i="4"/>
  <c r="H20" i="4" s="1"/>
  <c r="J19" i="4"/>
  <c r="J20" i="4" s="1"/>
  <c r="J64" i="4" s="1"/>
  <c r="H64" i="4" l="1"/>
  <c r="H66" i="4" s="1"/>
  <c r="G66" i="4"/>
  <c r="J66" i="4"/>
  <c r="C67" i="4" l="1"/>
  <c r="C70" i="4" s="1" a="1"/>
  <c r="N50" i="4" l="1"/>
  <c r="C70" i="4"/>
  <c r="G17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<sst xmlns="http://schemas.openxmlformats.org/spreadsheetml/2006/main" count="100" uniqueCount="97">
  <si>
    <t>KODE SOAL</t>
  </si>
  <si>
    <t>SBEX008</t>
  </si>
  <si>
    <t>KODE JAWABAN</t>
  </si>
  <si>
    <t>Intruksi</t>
  </si>
  <si>
    <r>
      <rPr>
        <b/>
        <sz val="12"/>
        <color rgb="FF00B050"/>
        <rFont val="Calibri"/>
        <family val="2"/>
        <scheme val="minor"/>
      </rPr>
      <t>Extreme Level</t>
    </r>
    <r>
      <rPr>
        <b/>
        <sz val="12"/>
        <color theme="1"/>
        <rFont val="Calibri"/>
        <family val="2"/>
        <scheme val="minor"/>
      </rPr>
      <t xml:space="preserve"> - Latihan Soal Data Grid</t>
    </r>
  </si>
  <si>
    <t>Soal  :</t>
  </si>
  <si>
    <r>
      <t xml:space="preserve">Soal ini tidak membutuhkan kolom bantuan, silahkan gunakan fungsi-fungsi </t>
    </r>
    <r>
      <rPr>
        <b/>
        <i/>
        <sz val="11"/>
        <color rgb="FF0070C0"/>
        <rFont val="Calibri"/>
        <family val="2"/>
        <scheme val="minor"/>
      </rPr>
      <t>Dinamic Array</t>
    </r>
    <r>
      <rPr>
        <i/>
        <sz val="11"/>
        <color theme="8" tint="-0.249977111117893"/>
        <rFont val="Calibri"/>
        <family val="2"/>
        <scheme val="minor"/>
      </rPr>
      <t xml:space="preserve"> Excel untuk menyelsaikan kasus dibawah ini</t>
    </r>
  </si>
  <si>
    <t>Contoh Grid 2x2 dan 4x4</t>
  </si>
  <si>
    <r>
      <t xml:space="preserve">1 Formula untuk 1 soal, Range Data Grid sudah diberi nama </t>
    </r>
    <r>
      <rPr>
        <b/>
        <i/>
        <sz val="11"/>
        <color rgb="FF0070C0"/>
        <rFont val="Calibri"/>
        <family val="2"/>
        <scheme val="minor"/>
      </rPr>
      <t>"Grid"</t>
    </r>
    <r>
      <rPr>
        <i/>
        <sz val="11"/>
        <color theme="8" tint="-0.249977111117893"/>
        <rFont val="Calibri"/>
        <family val="2"/>
        <scheme val="minor"/>
      </rPr>
      <t xml:space="preserve"> jika diperlukan</t>
    </r>
  </si>
  <si>
    <r>
      <t xml:space="preserve">Berapa penjumlahan dari masing-masing nilai Dara Grid dari alamat pada kolom </t>
    </r>
    <r>
      <rPr>
        <b/>
        <sz val="11"/>
        <color rgb="FF00B050"/>
        <rFont val="Calibri"/>
        <family val="2"/>
        <scheme val="minor"/>
      </rPr>
      <t>List Data</t>
    </r>
    <r>
      <rPr>
        <sz val="11"/>
        <color theme="1"/>
        <rFont val="Calibri"/>
        <family val="2"/>
        <scheme val="minor"/>
      </rPr>
      <t xml:space="preserve"> gunakan dinamic array</t>
    </r>
  </si>
  <si>
    <r>
      <t xml:space="preserve">Berapa pengurangan dari masing-masing nilai Dara Grid dari alamat pada kolom </t>
    </r>
    <r>
      <rPr>
        <b/>
        <sz val="11"/>
        <color rgb="FF00B050"/>
        <rFont val="Calibri"/>
        <family val="2"/>
        <scheme val="minor"/>
      </rPr>
      <t>List Data</t>
    </r>
    <r>
      <rPr>
        <sz val="11"/>
        <color theme="1"/>
        <rFont val="Calibri"/>
        <family val="2"/>
        <scheme val="minor"/>
      </rPr>
      <t xml:space="preserve"> gunakan dinamic array</t>
    </r>
  </si>
  <si>
    <r>
      <t xml:space="preserve">Berdasarkan hasil penjumlahan setiap baris pada </t>
    </r>
    <r>
      <rPr>
        <b/>
        <sz val="11"/>
        <color rgb="FF00B050"/>
        <rFont val="Calibri"/>
        <family val="2"/>
        <scheme val="minor"/>
      </rPr>
      <t>Data Grid</t>
    </r>
    <r>
      <rPr>
        <sz val="11"/>
        <color theme="1"/>
        <rFont val="Calibri"/>
        <family val="2"/>
        <scheme val="minor"/>
      </rPr>
      <t>, tampilkan 15 peringkat teratas dari nilai terbesar ke terkecil.</t>
    </r>
  </si>
  <si>
    <r>
      <t xml:space="preserve">Berdasarkan hasil penjumlahan setiap kolom pada </t>
    </r>
    <r>
      <rPr>
        <b/>
        <sz val="11"/>
        <color rgb="FF00B050"/>
        <rFont val="Calibri"/>
        <family val="2"/>
        <scheme val="minor"/>
      </rPr>
      <t>Data Grid</t>
    </r>
    <r>
      <rPr>
        <sz val="11"/>
        <color theme="1"/>
        <rFont val="Calibri"/>
        <family val="2"/>
        <scheme val="minor"/>
      </rPr>
      <t>, tampilkan 15 peringkat teratas dari nilai terbesar ke terkecil.</t>
    </r>
  </si>
  <si>
    <r>
      <t xml:space="preserve">Hitung banyaknya bilangan genap pada tiap baris di </t>
    </r>
    <r>
      <rPr>
        <b/>
        <sz val="11"/>
        <color rgb="FF00B050"/>
        <rFont val="Calibri"/>
        <family val="2"/>
        <scheme val="minor"/>
      </rPr>
      <t>Data Gri</t>
    </r>
    <r>
      <rPr>
        <sz val="11"/>
        <color theme="1"/>
        <rFont val="Calibri"/>
        <family val="2"/>
        <scheme val="minor"/>
      </rPr>
      <t>d, lalu tampilkan 15 peringkat teratas dari jumlah terbanyak.</t>
    </r>
  </si>
  <si>
    <r>
      <t xml:space="preserve">Berdasarkan hasil penjumlahan setiap Grid 2×2 Cells (seperti area berwarna pink ) di </t>
    </r>
    <r>
      <rPr>
        <b/>
        <sz val="11"/>
        <color rgb="FF00B050"/>
        <rFont val="Calibri"/>
        <family val="2"/>
        <scheme val="minor"/>
      </rPr>
      <t>Data Grid</t>
    </r>
    <r>
      <rPr>
        <sz val="11"/>
        <color theme="1"/>
        <rFont val="Calibri"/>
        <family val="2"/>
        <scheme val="minor"/>
      </rPr>
      <t>, tampilkan 15 peringkat teratas dari nilai jumlah terbesar.</t>
    </r>
  </si>
  <si>
    <r>
      <t xml:space="preserve">Berdasarkan hasil penjumlahan setiap Grid 4×4 Cells (seperti area berwarna hijau ) di </t>
    </r>
    <r>
      <rPr>
        <b/>
        <sz val="11"/>
        <color rgb="FF00B050"/>
        <rFont val="Calibri"/>
        <family val="2"/>
        <scheme val="minor"/>
      </rPr>
      <t>Data Grid</t>
    </r>
    <r>
      <rPr>
        <sz val="11"/>
        <color theme="1"/>
        <rFont val="Calibri"/>
        <family val="2"/>
        <scheme val="minor"/>
      </rPr>
      <t>, tampilkan 15 peringkat teratas dari nilai jumlah terbesar.</t>
    </r>
  </si>
  <si>
    <t>Hitung jumlah nilai diagonal pada Data Grid dari D1 hingga D10 yang ditunjukkan dengan warna kuning.</t>
  </si>
  <si>
    <t>(Warna kuning hanya untuk mempermudah visual)</t>
  </si>
  <si>
    <t>Sudah selesai mengerjakan?</t>
  </si>
  <si>
    <r>
      <t xml:space="preserve">kirim </t>
    </r>
    <r>
      <rPr>
        <b/>
        <i/>
        <sz val="11"/>
        <color rgb="FF0070C0"/>
        <rFont val="Calibri"/>
        <family val="2"/>
        <scheme val="minor"/>
      </rPr>
      <t>Kode Soal</t>
    </r>
    <r>
      <rPr>
        <i/>
        <sz val="11"/>
        <color rgb="FF0070C0"/>
        <rFont val="Calibri"/>
        <family val="2"/>
        <scheme val="minor"/>
      </rPr>
      <t xml:space="preserve"> dan </t>
    </r>
    <r>
      <rPr>
        <b/>
        <i/>
        <sz val="11"/>
        <color rgb="FF0070C0"/>
        <rFont val="Calibri"/>
        <family val="2"/>
        <scheme val="minor"/>
      </rPr>
      <t>Kode Jawaban</t>
    </r>
    <r>
      <rPr>
        <i/>
        <sz val="11"/>
        <color rgb="FF0070C0"/>
        <rFont val="Calibri"/>
        <family val="2"/>
        <scheme val="minor"/>
      </rPr>
      <t xml:space="preserve"> diatas ke alamat :  </t>
    </r>
    <r>
      <rPr>
        <b/>
        <i/>
        <sz val="11"/>
        <color rgb="FF0070C0"/>
        <rFont val="Calibri"/>
        <family val="2"/>
        <scheme val="minor"/>
      </rPr>
      <t>https://belajarexcel.id/xl-test/jawaban</t>
    </r>
    <r>
      <rPr>
        <i/>
        <sz val="11"/>
        <color rgb="FF0070C0"/>
        <rFont val="Calibri"/>
        <family val="2"/>
        <scheme val="minor"/>
      </rPr>
      <t xml:space="preserve">  untuk mengecek hasilnya</t>
    </r>
  </si>
  <si>
    <t>atau klik tombol disamping</t>
  </si>
  <si>
    <t>Hanya untuk Soal 1 dan 2</t>
  </si>
  <si>
    <t>No</t>
  </si>
  <si>
    <t>List Data</t>
  </si>
  <si>
    <t>Penjumlahan</t>
  </si>
  <si>
    <t>Pengurangan</t>
  </si>
  <si>
    <t>Jumlah Terbesar
(Baris)</t>
  </si>
  <si>
    <t>Jumlah Terbesar
(Kolom)</t>
  </si>
  <si>
    <t>Banyak Genap
(Baris)</t>
  </si>
  <si>
    <t>Jumlah Grid 2x2</t>
  </si>
  <si>
    <t>Jumlah Grid 4x4</t>
  </si>
  <si>
    <t>Jumlah Diagonal</t>
  </si>
  <si>
    <t>U19;D6;L23;J12;N27;N25</t>
  </si>
  <si>
    <t>&lt;&lt; Area Jawaban</t>
  </si>
  <si>
    <t>AE8;W19;X11</t>
  </si>
  <si>
    <t>AF4;I3;AB19;AB12</t>
  </si>
  <si>
    <t>E29;D7;R12;AE26</t>
  </si>
  <si>
    <t>J4;C25;W5;H24</t>
  </si>
  <si>
    <t>J30;N12;AF24;AB8;R16;O8</t>
  </si>
  <si>
    <t>AB6;W13;U8;D21;AE14</t>
  </si>
  <si>
    <t>H6;G14;M16;U29;P15</t>
  </si>
  <si>
    <t>U15;K13;AC6;H17;S17</t>
  </si>
  <si>
    <t>K15;AF12;O16;U23</t>
  </si>
  <si>
    <t>P14;K14;D7;Z16;F8</t>
  </si>
  <si>
    <t>J19;O13;P11;AA23</t>
  </si>
  <si>
    <t>D27;I22;E9;R11;M13;K29;V14</t>
  </si>
  <si>
    <t>AE12;E21;E14;Y11;G26;P5;E17</t>
  </si>
  <si>
    <t>U4;Z31;L10</t>
  </si>
  <si>
    <t>Dilarang mengubah Table atau Menambah Table Baru atau Menambah Kolom Bantuan !!, Gunakan Table seperti yang sudah di sediakan soal.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</si>
  <si>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</si>
  <si>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</si>
  <si>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</si>
  <si>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</si>
  <si>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</si>
  <si>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</si>
  <si>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</si>
  <si>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</si>
  <si>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</si>
  <si>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</si>
  <si>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</si>
  <si>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</si>
  <si>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</si>
  <si>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</si>
  <si>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</si>
  <si>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</si>
  <si>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</si>
  <si>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</si>
  <si>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</si>
  <si>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</si>
  <si>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</si>
  <si>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</si>
  <si>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</si>
  <si>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Saya adalah seorang Excel Holic yang percaya bahwa setiap angka memiliki cerita yang bisa ditemukan dengan cara yang tepat.</t>
  </si>
  <si>
    <t>Free Access</t>
  </si>
  <si>
    <t>“Excel bukan cuma soal kerjaan tapi juga hobi yang aku nikmati.”</t>
  </si>
  <si>
    <t>https://belajarexcel.id/xl-test/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</si>
  <si>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</si>
  <si>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</si>
  <si>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</si>
  <si>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</si>
  <si>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</si>
  <si>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</si>
  <si>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</si>
  <si>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</si>
  <si>
    <t>DF</t>
  </si>
  <si>
    <t>XH2</t>
  </si>
  <si>
    <t>x</t>
  </si>
  <si>
    <t>Cek Man</t>
  </si>
  <si>
    <t>Cek For</t>
  </si>
  <si>
    <t>Cek Drag</t>
  </si>
  <si>
    <t>Fin**</t>
  </si>
  <si>
    <t>Cek F</t>
  </si>
  <si>
    <t>**</t>
  </si>
  <si>
    <t>KO</t>
  </si>
  <si>
    <t>Arra</t>
  </si>
  <si>
    <t>UK</t>
  </si>
  <si>
    <t>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</si>
</sst>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1"/>
      <color theme="0"/>
      <name val="ROBOTECH GP"/>
      <family val="2"/>
    </font>
    <font>
      <i/>
      <sz val="11"/>
      <color rgb="FFFF0000"/>
      <name val="Calibri"/>
      <family val="2"/>
      <scheme val="minor"/>
    </font>
    <font>
      <b/>
      <sz val="11"/>
      <color theme="3" tint="0.249977111117893"/>
      <name val="Calibri"/>
      <family val="2"/>
      <scheme val="minor"/>
    </font>
    <font>
      <sz val="10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2"/>
      <color theme="0"/>
      <name val="Roboto"/>
    </font>
    <font>
      <b/>
      <sz val="11"/>
      <color theme="4" tint="-0.249977111117893"/>
      <name val="Calibri"/>
      <family val="2"/>
      <scheme val="minor"/>
    </font>
    <font>
      <b/>
      <i/>
      <sz val="11"/>
      <color theme="4" tint="0.39997558519241921"/>
      <name val="Calibri"/>
      <family val="2"/>
      <scheme val="minor"/>
    </font>
    <font>
      <i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00B050"/>
      </left>
      <right style="thin">
        <color theme="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 style="thin">
        <color theme="0"/>
      </right>
      <top style="medium">
        <color rgb="FF00B050"/>
      </top>
      <bottom style="medium">
        <color rgb="FF00B050"/>
      </bottom>
      <diagonal/>
    </border>
    <border>
      <left style="thin">
        <color theme="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4" fillId="0" borderId="0" applyNumberFormat="0" applyFill="0" applyBorder="0" applyAlignment="0" applyProtection="0"/>
  </cellStyleXfs>
  <cellXfs count="79">
    <xf numFmtId="0" fontId="0" fillId="0" borderId="0" xfId="0"/>
    <xf numFmtId="0" fontId="0" fillId="3" borderId="1" xfId="0" applyFill="1" applyBorder="1" applyAlignment="1">
      <alignment horizontal="center"/>
    </xf>
    <xf numFmtId="164" fontId="10" fillId="6" borderId="0" xfId="0" applyNumberFormat="1" applyFont="1" applyFill="1" applyAlignment="1">
      <alignment horizontal="center" vertical="center"/>
    </xf>
    <xf numFmtId="164" fontId="10" fillId="6" borderId="3" xfId="0" applyNumberFormat="1" applyFont="1" applyFill="1" applyBorder="1" applyAlignment="1">
      <alignment horizontal="left" vertical="center"/>
    </xf>
    <xf numFmtId="164" fontId="11" fillId="6" borderId="0" xfId="0" applyNumberFormat="1" applyFont="1" applyFill="1" applyAlignment="1">
      <alignment horizontal="left" vertical="center"/>
    </xf>
    <xf numFmtId="0" fontId="13" fillId="7" borderId="7" xfId="0" applyFont="1" applyFill="1" applyBorder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13" fillId="7" borderId="8" xfId="0" applyFont="1" applyFill="1" applyBorder="1" applyAlignment="1">
      <alignment vertical="top" wrapText="1"/>
    </xf>
    <xf numFmtId="0" fontId="13" fillId="7" borderId="9" xfId="0" applyFont="1" applyFill="1" applyBorder="1" applyAlignment="1">
      <alignment vertical="top" wrapText="1"/>
    </xf>
    <xf numFmtId="0" fontId="0" fillId="7" borderId="0" xfId="0" applyFill="1"/>
    <xf numFmtId="0" fontId="14" fillId="7" borderId="0" xfId="0" applyFont="1" applyFill="1" applyAlignment="1">
      <alignment horizontal="left" vertical="top"/>
    </xf>
    <xf numFmtId="0" fontId="13" fillId="7" borderId="10" xfId="0" applyFont="1" applyFill="1" applyBorder="1" applyAlignment="1">
      <alignment vertical="top" wrapText="1"/>
    </xf>
    <xf numFmtId="0" fontId="14" fillId="7" borderId="0" xfId="0" applyFont="1" applyFill="1" applyAlignment="1">
      <alignment vertical="top"/>
    </xf>
    <xf numFmtId="0" fontId="16" fillId="7" borderId="0" xfId="0" applyFont="1" applyFill="1" applyAlignment="1">
      <alignment horizontal="right"/>
    </xf>
    <xf numFmtId="0" fontId="6" fillId="7" borderId="0" xfId="0" applyFont="1" applyFill="1" applyAlignment="1">
      <alignment horizontal="center" vertical="center"/>
    </xf>
    <xf numFmtId="0" fontId="2" fillId="7" borderId="0" xfId="0" applyFont="1" applyFill="1"/>
    <xf numFmtId="0" fontId="6" fillId="7" borderId="0" xfId="0" applyFont="1" applyFill="1"/>
    <xf numFmtId="0" fontId="5" fillId="0" borderId="0" xfId="0" applyFont="1" applyAlignment="1">
      <alignment wrapText="1"/>
    </xf>
    <xf numFmtId="0" fontId="5" fillId="7" borderId="10" xfId="0" applyFont="1" applyFill="1" applyBorder="1" applyAlignment="1">
      <alignment wrapText="1"/>
    </xf>
    <xf numFmtId="0" fontId="18" fillId="7" borderId="0" xfId="0" applyFont="1" applyFill="1"/>
    <xf numFmtId="0" fontId="1" fillId="0" borderId="0" xfId="2"/>
    <xf numFmtId="0" fontId="1" fillId="0" borderId="1" xfId="2" applyBorder="1"/>
    <xf numFmtId="0" fontId="1" fillId="0" borderId="12" xfId="2" applyBorder="1"/>
    <xf numFmtId="0" fontId="1" fillId="0" borderId="13" xfId="2" applyBorder="1"/>
    <xf numFmtId="0" fontId="19" fillId="0" borderId="1" xfId="2" applyFont="1" applyBorder="1"/>
    <xf numFmtId="0" fontId="21" fillId="0" borderId="1" xfId="2" applyFont="1" applyBorder="1"/>
    <xf numFmtId="0" fontId="22" fillId="0" borderId="12" xfId="0" applyFont="1" applyBorder="1" applyAlignment="1">
      <alignment horizontal="left" vertical="top" wrapText="1"/>
    </xf>
    <xf numFmtId="0" fontId="24" fillId="0" borderId="12" xfId="0" applyFont="1" applyBorder="1" applyAlignment="1">
      <alignment horizontal="left" vertical="top" wrapText="1"/>
    </xf>
    <xf numFmtId="0" fontId="4" fillId="0" borderId="1" xfId="3" applyBorder="1" applyAlignment="1">
      <alignment vertical="top"/>
    </xf>
    <xf numFmtId="0" fontId="7" fillId="0" borderId="0" xfId="2" applyFont="1"/>
    <xf numFmtId="0" fontId="25" fillId="0" borderId="0" xfId="2" applyFont="1"/>
    <xf numFmtId="0" fontId="4" fillId="0" borderId="0" xfId="1"/>
    <xf numFmtId="0" fontId="25" fillId="0" borderId="0" xfId="2" quotePrefix="1" applyFont="1"/>
    <xf numFmtId="0" fontId="0" fillId="6" borderId="0" xfId="0" applyFill="1"/>
    <xf numFmtId="0" fontId="26" fillId="6" borderId="0" xfId="0" applyFont="1" applyFill="1"/>
    <xf numFmtId="0" fontId="8" fillId="6" borderId="0" xfId="0" applyFont="1" applyFill="1"/>
    <xf numFmtId="0" fontId="27" fillId="6" borderId="0" xfId="0" applyFont="1" applyFill="1"/>
    <xf numFmtId="0" fontId="28" fillId="6" borderId="0" xfId="1" applyFont="1" applyFill="1"/>
    <xf numFmtId="164" fontId="29" fillId="6" borderId="15" xfId="0" applyNumberFormat="1" applyFont="1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6" fillId="7" borderId="0" xfId="0" applyFont="1" applyFill="1" applyAlignment="1">
      <alignment horizontal="right"/>
    </xf>
    <xf numFmtId="0" fontId="0" fillId="11" borderId="1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0" fillId="7" borderId="0" xfId="0" applyFont="1" applyFill="1"/>
    <xf numFmtId="0" fontId="31" fillId="0" borderId="0" xfId="0" applyFont="1" applyAlignment="1">
      <alignment horizontal="center"/>
    </xf>
    <xf numFmtId="0" fontId="32" fillId="7" borderId="0" xfId="0" applyFont="1" applyFill="1" applyAlignment="1">
      <alignment vertical="top"/>
    </xf>
    <xf numFmtId="0" fontId="0" fillId="3" borderId="17" xfId="0" applyFill="1" applyBorder="1" applyAlignment="1">
      <alignment horizontal="center"/>
    </xf>
    <xf numFmtId="0" fontId="7" fillId="2" borderId="1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3" fillId="7" borderId="0" xfId="0" applyFont="1" applyFill="1"/>
    <xf numFmtId="0" fontId="21" fillId="0" borderId="1" xfId="2" applyFont="1" applyBorder="1" applyAlignment="1">
      <alignment horizontal="left"/>
    </xf>
    <xf numFmtId="0" fontId="36" fillId="14" borderId="0" xfId="0" applyFont="1" applyFill="1" applyAlignment="1">
      <alignment horizontal="center"/>
    </xf>
    <xf numFmtId="0" fontId="37" fillId="7" borderId="0" xfId="0" applyFont="1" applyFill="1"/>
    <xf numFmtId="0" fontId="34" fillId="13" borderId="0" xfId="0" applyFont="1" applyFill="1" applyAlignment="1">
      <alignment horizontal="center" vertical="center"/>
    </xf>
    <xf numFmtId="0" fontId="34" fillId="13" borderId="1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top" wrapText="1"/>
    </xf>
    <xf numFmtId="0" fontId="22" fillId="0" borderId="14" xfId="0" applyFont="1" applyBorder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3" fillId="0" borderId="14" xfId="0" applyFont="1" applyBorder="1" applyAlignment="1">
      <alignment horizontal="left" vertical="top" wrapText="1"/>
    </xf>
    <xf numFmtId="0" fontId="17" fillId="5" borderId="7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20" fillId="0" borderId="1" xfId="2" applyFont="1" applyBorder="1" applyAlignment="1">
      <alignment horizontal="left"/>
    </xf>
    <xf numFmtId="0" fontId="21" fillId="0" borderId="1" xfId="2" applyFont="1" applyBorder="1" applyAlignment="1">
      <alignment horizontal="left"/>
    </xf>
  </cellXfs>
  <cellStyles count="4">
    <cellStyle name="Hipertaut" xfId="1" builtinId="8"/>
    <cellStyle name="Hyperlink 2" xfId="3" xr:uid="{3E3783B5-1011-45E7-8382-B466560F885C}"/>
    <cellStyle name="Normal" xfId="0" builtinId="0"/>
    <cellStyle name="Normal 2" xfId="2" xr:uid="{241E5439-5B9A-4F69-9F49-CE5D7253E16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belajarexcel.id/xl-test/jawaban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541021</xdr:colOff>
      <xdr:row>14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7AD0C1-BD7E-4C20-B5A4-ED2ABBA4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927080" cy="2731770"/>
        </a:xfrm>
        <a:prstGeom prst="rect">
          <a:avLst/>
        </a:prstGeom>
      </xdr:spPr>
    </xdr:pic>
    <xdr:clientData/>
  </xdr:twoCellAnchor>
  <xdr:twoCellAnchor editAs="oneCell">
    <xdr:from>
      <xdr:col>6</xdr:col>
      <xdr:colOff>358140</xdr:colOff>
      <xdr:row>12</xdr:row>
      <xdr:rowOff>91440</xdr:rowOff>
    </xdr:from>
    <xdr:to>
      <xdr:col>7</xdr:col>
      <xdr:colOff>650240</xdr:colOff>
      <xdr:row>16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CD9DC89-DEBE-48F2-8FA9-321EA98B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0340" y="2286000"/>
          <a:ext cx="1511300" cy="647700"/>
        </a:xfrm>
        <a:prstGeom prst="rect">
          <a:avLst/>
        </a:prstGeom>
      </xdr:spPr>
    </xdr:pic>
    <xdr:clientData/>
  </xdr:twoCellAnchor>
  <xdr:twoCellAnchor>
    <xdr:from>
      <xdr:col>2</xdr:col>
      <xdr:colOff>1714500</xdr:colOff>
      <xdr:row>36</xdr:row>
      <xdr:rowOff>38100</xdr:rowOff>
    </xdr:from>
    <xdr:to>
      <xdr:col>4</xdr:col>
      <xdr:colOff>358140</xdr:colOff>
      <xdr:row>37</xdr:row>
      <xdr:rowOff>190500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30D0EA0-62DE-418D-A1F9-BB3630195F82}"/>
            </a:ext>
          </a:extLst>
        </xdr:cNvPr>
        <xdr:cNvSpPr/>
      </xdr:nvSpPr>
      <xdr:spPr>
        <a:xfrm>
          <a:off x="2796540" y="7117080"/>
          <a:ext cx="195834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9</xdr:col>
      <xdr:colOff>937261</xdr:colOff>
      <xdr:row>0</xdr:row>
      <xdr:rowOff>0</xdr:rowOff>
    </xdr:from>
    <xdr:to>
      <xdr:col>11</xdr:col>
      <xdr:colOff>33311</xdr:colOff>
      <xdr:row>15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2DF200-7133-4044-98EA-840DA8CC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42321" y="0"/>
          <a:ext cx="1770670" cy="2758440"/>
        </a:xfrm>
        <a:prstGeom prst="rect">
          <a:avLst/>
        </a:prstGeom>
      </xdr:spPr>
    </xdr:pic>
    <xdr:clientData/>
  </xdr:twoCellAnchor>
  <xdr:oneCellAnchor>
    <xdr:from>
      <xdr:col>8</xdr:col>
      <xdr:colOff>800100</xdr:colOff>
      <xdr:row>0</xdr:row>
      <xdr:rowOff>68580</xdr:rowOff>
    </xdr:from>
    <xdr:ext cx="1198149" cy="280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8516BC-06D4-45CA-88C0-37075BA04FE5}"/>
            </a:ext>
          </a:extLst>
        </xdr:cNvPr>
        <xdr:cNvSpPr txBox="1"/>
      </xdr:nvSpPr>
      <xdr:spPr>
        <a:xfrm>
          <a:off x="9654540" y="68580"/>
          <a:ext cx="1198149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EXTREME</a:t>
          </a:r>
          <a:r>
            <a:rPr lang="en-ID" sz="1200" b="1" baseline="0">
              <a:solidFill>
                <a:schemeClr val="bg1"/>
              </a:solidFill>
            </a:rPr>
            <a:t> 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8</xdr:col>
      <xdr:colOff>495300</xdr:colOff>
      <xdr:row>23</xdr:row>
      <xdr:rowOff>76200</xdr:rowOff>
    </xdr:from>
    <xdr:to>
      <xdr:col>10</xdr:col>
      <xdr:colOff>918771</xdr:colOff>
      <xdr:row>32</xdr:row>
      <xdr:rowOff>53340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4B180F-2A8F-2F5D-44E9-B71CA6FB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0" y="4564380"/>
          <a:ext cx="2877111" cy="1760220"/>
        </a:xfrm>
        <a:prstGeom prst="rect">
          <a:avLst/>
        </a:prstGeom>
        <a:ln w="19050">
          <a:solidFill>
            <a:srgbClr val="00B05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F1AA2D66-3902-46BE-833A-9B9060D4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6D381FBB-E210-42B9-BE7C-A69BED7D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563880</xdr:colOff>
      <xdr:row>0</xdr:row>
      <xdr:rowOff>121920</xdr:rowOff>
    </xdr:from>
    <xdr:to>
      <xdr:col>4</xdr:col>
      <xdr:colOff>358140</xdr:colOff>
      <xdr:row>15</xdr:row>
      <xdr:rowOff>25914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AA99A4-A157-40DB-B405-075F8D5A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120" y="121920"/>
          <a:ext cx="1699260" cy="26471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ABS!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-Tes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F2D6-8999-4908-8838-286266F72B86}">
  <sheetPr codeName="Sheet1"/>
  <dimension ref="A17:M62"/>
  <sheetViews>
    <sheetView tabSelected="1" topLeftCell="A44" workbookViewId="0">
      <selection activeCell="G17" sqref="G17"/>
    </sheetView>
  </sheetViews>
  <sheetFormatPr defaultRowHeight="14.45"/>
  <cols>
    <col min="1" max="1" width="7" customWidth="1"/>
    <col min="2" max="2" width="8.7109375" customWidth="1"/>
    <col min="3" max="3" width="26.140625" customWidth="1"/>
    <col min="4" max="4" width="20" customWidth="1"/>
    <col min="5" max="5" width="19.85546875" customWidth="1"/>
    <col min="6" max="6" width="17.28515625" customWidth="1"/>
    <col min="7" max="7" width="17.7109375" customWidth="1"/>
    <col min="8" max="8" width="17.85546875" customWidth="1"/>
    <col min="9" max="9" width="16.7109375" customWidth="1"/>
    <col min="10" max="10" width="19" customWidth="1"/>
    <col min="11" max="11" width="20" customWidth="1"/>
    <col min="12" max="12" width="7.7109375" customWidth="1"/>
    <col min="13" max="13" width="14.28515625" customWidth="1"/>
  </cols>
  <sheetData>
    <row r="17" spans="1:13" ht="23.45">
      <c r="A17" s="63" t="s">
        <v>0</v>
      </c>
      <c r="B17" s="63"/>
      <c r="C17" s="2" t="s">
        <v>1</v>
      </c>
      <c r="E17" s="63" t="s">
        <v>2</v>
      </c>
      <c r="F17" s="64"/>
      <c r="G17" s="3" t="str">
        <f ca="1">kode_jawaban</f>
        <v>XH2|6C-153C;D4-9C8;6F-8C1A;5D-891A;74-164;23-1CED;FE-5D57;10-3049</v>
      </c>
      <c r="H17" s="4"/>
      <c r="I17" s="4"/>
      <c r="J17" s="4"/>
      <c r="K17" s="4"/>
    </row>
    <row r="19" spans="1:13" ht="22.9">
      <c r="A19" s="65" t="s">
        <v>3</v>
      </c>
      <c r="B19" s="66"/>
      <c r="C19" s="66"/>
      <c r="D19" s="66"/>
      <c r="E19" s="66"/>
      <c r="F19" s="66"/>
      <c r="G19" s="66"/>
      <c r="H19" s="66"/>
      <c r="I19" s="66"/>
      <c r="J19" s="66"/>
      <c r="K19" s="67"/>
    </row>
    <row r="20" spans="1:13" ht="15.6">
      <c r="A20" s="5"/>
      <c r="B20" s="6"/>
      <c r="C20" s="6"/>
      <c r="D20" s="6"/>
      <c r="E20" s="6"/>
      <c r="F20" s="6"/>
      <c r="G20" s="6"/>
      <c r="H20" s="6"/>
      <c r="I20" s="6"/>
      <c r="J20" s="7"/>
      <c r="K20" s="8"/>
    </row>
    <row r="21" spans="1:13" ht="15.6">
      <c r="A21" s="9"/>
      <c r="B21" s="10" t="s">
        <v>4</v>
      </c>
      <c r="C21" s="9"/>
      <c r="D21" s="9"/>
      <c r="E21" s="6"/>
      <c r="F21" s="6"/>
      <c r="G21" s="6"/>
      <c r="H21" s="6"/>
      <c r="I21" s="6"/>
      <c r="J21" s="6"/>
      <c r="K21" s="11"/>
    </row>
    <row r="22" spans="1:13" ht="15.6">
      <c r="A22" s="9"/>
      <c r="B22" s="9"/>
      <c r="C22" s="12"/>
      <c r="D22" s="9"/>
      <c r="E22" s="6"/>
      <c r="F22" s="6"/>
      <c r="G22" s="6"/>
      <c r="H22" s="6"/>
      <c r="I22" s="6"/>
      <c r="J22" s="6"/>
      <c r="K22" s="11"/>
    </row>
    <row r="23" spans="1:13" ht="15.6" customHeight="1">
      <c r="A23" s="9"/>
      <c r="B23" s="13" t="s">
        <v>5</v>
      </c>
      <c r="C23" s="49" t="s">
        <v>6</v>
      </c>
      <c r="D23" s="9"/>
      <c r="E23" s="9"/>
      <c r="F23" s="6"/>
      <c r="G23" s="9"/>
      <c r="H23" s="6"/>
      <c r="I23" s="9"/>
      <c r="J23" s="47" t="s">
        <v>7</v>
      </c>
      <c r="K23" s="18"/>
      <c r="L23" s="17"/>
      <c r="M23" s="17"/>
    </row>
    <row r="24" spans="1:13" ht="15.6">
      <c r="A24" s="9"/>
      <c r="B24" s="16"/>
      <c r="C24" s="49" t="s">
        <v>8</v>
      </c>
      <c r="D24" s="9"/>
      <c r="E24" s="9"/>
      <c r="F24" s="6"/>
      <c r="G24" s="9"/>
      <c r="H24" s="6"/>
      <c r="I24" s="6"/>
      <c r="J24" s="6"/>
      <c r="K24" s="18"/>
      <c r="L24" s="17"/>
      <c r="M24" s="17"/>
    </row>
    <row r="25" spans="1:13" ht="15.6">
      <c r="A25" s="9"/>
      <c r="B25" s="16">
        <v>1</v>
      </c>
      <c r="C25" s="9" t="s">
        <v>9</v>
      </c>
      <c r="D25" s="9"/>
      <c r="E25" s="9"/>
      <c r="F25" s="6"/>
      <c r="G25" s="9"/>
      <c r="H25" s="6"/>
      <c r="I25" s="6"/>
      <c r="J25" s="6"/>
      <c r="K25" s="11"/>
    </row>
    <row r="26" spans="1:13" ht="15.6" customHeight="1">
      <c r="A26" s="9"/>
      <c r="B26" s="16">
        <v>2</v>
      </c>
      <c r="C26" s="9" t="s">
        <v>10</v>
      </c>
      <c r="D26" s="9"/>
      <c r="E26" s="9"/>
      <c r="F26" s="6"/>
      <c r="G26" s="9"/>
      <c r="H26" s="6"/>
      <c r="I26" s="6"/>
      <c r="J26" s="6"/>
      <c r="K26" s="18"/>
    </row>
    <row r="27" spans="1:13" ht="15.6">
      <c r="A27" s="9"/>
      <c r="B27" s="16">
        <v>3</v>
      </c>
      <c r="C27" s="9" t="s">
        <v>11</v>
      </c>
      <c r="D27" s="9"/>
      <c r="E27" s="9"/>
      <c r="F27" s="6"/>
      <c r="G27" s="9"/>
      <c r="H27" s="6"/>
      <c r="I27" s="6"/>
      <c r="J27" s="6"/>
      <c r="K27" s="18"/>
    </row>
    <row r="28" spans="1:13" ht="15.6">
      <c r="A28" s="9"/>
      <c r="B28" s="16">
        <v>4</v>
      </c>
      <c r="C28" s="9" t="s">
        <v>12</v>
      </c>
      <c r="D28" s="9"/>
      <c r="E28" s="9"/>
      <c r="F28" s="6"/>
      <c r="G28" s="9"/>
      <c r="H28" s="6"/>
      <c r="I28" s="6"/>
      <c r="J28" s="6"/>
      <c r="K28" s="11"/>
    </row>
    <row r="29" spans="1:13" ht="15.6" customHeight="1">
      <c r="A29" s="9"/>
      <c r="B29" s="16">
        <v>5</v>
      </c>
      <c r="C29" s="9" t="s">
        <v>13</v>
      </c>
      <c r="D29" s="9"/>
      <c r="E29" s="9"/>
      <c r="F29" s="6"/>
      <c r="G29" s="9"/>
      <c r="H29" s="6"/>
      <c r="I29" s="6"/>
      <c r="J29" s="6"/>
      <c r="K29" s="18"/>
    </row>
    <row r="30" spans="1:13" ht="15.6">
      <c r="A30" s="9"/>
      <c r="B30" s="16">
        <v>6</v>
      </c>
      <c r="C30" s="9" t="s">
        <v>14</v>
      </c>
      <c r="D30" s="9"/>
      <c r="E30" s="9"/>
      <c r="F30" s="6"/>
      <c r="G30" s="9"/>
      <c r="H30" s="6"/>
      <c r="I30" s="6"/>
      <c r="J30" s="6"/>
      <c r="K30" s="18"/>
    </row>
    <row r="31" spans="1:13" ht="15.6">
      <c r="A31" s="9"/>
      <c r="B31" s="16">
        <v>7</v>
      </c>
      <c r="C31" s="9" t="s">
        <v>15</v>
      </c>
      <c r="D31" s="9"/>
      <c r="E31" s="9"/>
      <c r="F31" s="6"/>
      <c r="G31" s="9"/>
      <c r="H31" s="6"/>
      <c r="I31" s="6"/>
      <c r="J31" s="6"/>
      <c r="K31" s="11"/>
    </row>
    <row r="32" spans="1:13" ht="15.6" customHeight="1">
      <c r="A32" s="9"/>
      <c r="B32" s="43">
        <v>8</v>
      </c>
      <c r="C32" s="9" t="s">
        <v>16</v>
      </c>
      <c r="D32" s="9"/>
      <c r="E32" s="9"/>
      <c r="F32" s="6"/>
      <c r="G32" s="9"/>
      <c r="H32" s="6"/>
      <c r="I32" s="6"/>
      <c r="J32" s="6"/>
      <c r="K32" s="18"/>
    </row>
    <row r="33" spans="1:13" ht="16.149999999999999" customHeight="1">
      <c r="A33" s="9"/>
      <c r="B33" s="14"/>
      <c r="C33" s="60" t="s">
        <v>17</v>
      </c>
      <c r="D33" s="9"/>
      <c r="E33" s="9"/>
      <c r="F33" s="6"/>
      <c r="G33" s="9"/>
      <c r="H33" s="6"/>
      <c r="I33" s="6"/>
      <c r="J33" s="6"/>
      <c r="K33" s="18"/>
    </row>
    <row r="34" spans="1:13" ht="16.149999999999999" customHeight="1">
      <c r="A34" s="9"/>
      <c r="B34" s="14"/>
      <c r="C34" s="19"/>
      <c r="D34" s="9"/>
      <c r="E34" s="9"/>
      <c r="F34" s="6"/>
      <c r="G34" s="9"/>
      <c r="H34" s="6"/>
      <c r="I34" s="6"/>
      <c r="J34" s="6"/>
      <c r="K34" s="18"/>
    </row>
    <row r="35" spans="1:13" ht="15.6">
      <c r="A35" s="9"/>
      <c r="B35" s="14"/>
      <c r="C35" s="57" t="s">
        <v>18</v>
      </c>
      <c r="D35" s="9"/>
      <c r="E35" s="9"/>
      <c r="F35" s="6"/>
      <c r="G35" s="9"/>
      <c r="H35" s="9"/>
      <c r="I35" s="6"/>
      <c r="J35" s="6"/>
      <c r="K35" s="11"/>
    </row>
    <row r="36" spans="1:13" ht="15.6">
      <c r="A36" s="9"/>
      <c r="B36" s="9"/>
      <c r="C36" s="15" t="s">
        <v>19</v>
      </c>
      <c r="D36" s="9"/>
      <c r="E36" s="9"/>
      <c r="F36" s="6"/>
      <c r="G36" s="9"/>
      <c r="H36" s="9"/>
      <c r="I36" s="6"/>
      <c r="J36" s="6"/>
      <c r="K36" s="11"/>
    </row>
    <row r="37" spans="1:13" ht="15.6">
      <c r="A37" s="9"/>
      <c r="B37" s="9"/>
      <c r="C37" s="15" t="s">
        <v>20</v>
      </c>
      <c r="D37" s="9"/>
      <c r="E37" s="6"/>
      <c r="F37" s="6"/>
      <c r="G37" s="9"/>
      <c r="H37" s="9"/>
      <c r="I37" s="6"/>
      <c r="J37" s="6"/>
      <c r="K37" s="11"/>
    </row>
    <row r="38" spans="1:13" ht="15.6">
      <c r="A38" s="9"/>
      <c r="B38" s="9"/>
      <c r="C38" s="9"/>
      <c r="D38" s="9"/>
      <c r="E38" s="9"/>
      <c r="F38" s="9"/>
      <c r="G38" s="9"/>
      <c r="H38" s="9"/>
      <c r="I38" s="9"/>
      <c r="J38" s="9"/>
      <c r="K38" s="11"/>
    </row>
    <row r="39" spans="1:13" ht="15.6">
      <c r="A39" s="9"/>
      <c r="B39" s="9"/>
      <c r="C39" s="9"/>
      <c r="D39" s="9"/>
      <c r="E39" s="9"/>
      <c r="F39" s="9"/>
      <c r="G39" s="9"/>
      <c r="H39" s="9"/>
      <c r="I39" s="9"/>
      <c r="J39" s="9"/>
      <c r="K39" s="11"/>
    </row>
    <row r="40" spans="1:13" ht="22.9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70"/>
    </row>
    <row r="42" spans="1:13" ht="15" thickBot="1">
      <c r="L42" s="48"/>
    </row>
    <row r="43" spans="1:13" ht="16.149999999999999" thickBot="1">
      <c r="C43" s="59" t="s">
        <v>21</v>
      </c>
      <c r="D43" s="38">
        <v>1</v>
      </c>
      <c r="E43" s="38">
        <v>2</v>
      </c>
      <c r="F43" s="38">
        <v>3</v>
      </c>
      <c r="G43" s="38">
        <v>4</v>
      </c>
      <c r="H43" s="38">
        <v>5</v>
      </c>
      <c r="I43" s="38">
        <v>6</v>
      </c>
      <c r="J43" s="38">
        <v>7</v>
      </c>
      <c r="K43" s="38">
        <v>8</v>
      </c>
      <c r="L43" s="48"/>
    </row>
    <row r="44" spans="1:13" ht="35.450000000000003" customHeight="1">
      <c r="B44" s="41" t="s">
        <v>22</v>
      </c>
      <c r="C44" s="41" t="s">
        <v>23</v>
      </c>
      <c r="D44" s="51" t="s">
        <v>24</v>
      </c>
      <c r="E44" s="51" t="s">
        <v>25</v>
      </c>
      <c r="F44" s="52" t="s">
        <v>26</v>
      </c>
      <c r="G44" s="52" t="s">
        <v>27</v>
      </c>
      <c r="H44" s="52" t="s">
        <v>28</v>
      </c>
      <c r="I44" s="51" t="s">
        <v>29</v>
      </c>
      <c r="J44" s="51" t="s">
        <v>30</v>
      </c>
      <c r="K44" s="52" t="s">
        <v>31</v>
      </c>
      <c r="L44" s="48"/>
    </row>
    <row r="45" spans="1:13" ht="19.899999999999999" customHeight="1">
      <c r="B45" s="1">
        <v>1</v>
      </c>
      <c r="C45" s="50" t="s">
        <v>32</v>
      </c>
      <c r="D45" s="54" cm="1">
        <f t="array" aca="1" ref="D45:D59" ca="1">_xlfn.BYROW(C45:C59,_xlfn.LAMBDA(_xlpm.a,SUM(INDIRECT("'Data Grid'!"&amp;_xlfn.TEXTSPLIT(_xlpm.a,";")))))</f>
        <v>257</v>
      </c>
      <c r="E45" s="55" cm="1">
        <f t="array" aca="1" ref="E45:E59" ca="1">_xlfn.BYROW(C45:C59,_xlfn.LAMBDA(_xlpm.a,_xlfn.LET(_xlpm.v,INDIRECT("'Data Grid'!"&amp;_xlfn.TEXTSPLIT(_xlpm.a,";")),2*INDEX(_xlpm.v,1)-SUM(_xlpm.v))))</f>
        <v>-143</v>
      </c>
      <c r="F45" s="55" cm="1">
        <f t="array" ref="F45:F59">_xlfn.TAKE(_xlfn._xlws.SORT(_xlfn.BYROW(Grid,_xlfn.LAMBDA(_xlpm.r,SUM(_xlpm.r))),,-1),15)</f>
        <v>1768</v>
      </c>
      <c r="G45" s="55" cm="1">
        <f t="array" ref="G45:G59">LARGE(_xlfn.BYCOL(Grid,_xlfn.LAMBDA(_xlpm.k,SUM(_xlpm.k))),_xlfn.SEQUENCE(15))</f>
        <v>1839</v>
      </c>
      <c r="H45" s="55" cm="1">
        <f t="array" ref="H45:H59">LARGE(_xlfn.BYROW(Grid,_xlfn.LAMBDA(_xlpm.b,SUM(1-MOD(_xlpm.b,2)))),_xlfn.SEQUENCE(15))</f>
        <v>19</v>
      </c>
      <c r="I45" s="55" cm="1">
        <f t="array" aca="1" ref="I45:I59" ca="1">LARGE(_xlfn.MAKEARRAY(ROWS(Grid)-1,COLUMNS(Grid)-1,_xlfn.LAMBDA(_xlpm.r,_xlpm.c,SUM(INDEX(Grid,_xlpm.r,_xlpm.c):INDEX(Grid,_xlpm.r+1,_xlpm.c+1)))),_xlfn.SEQUENCE(15))</f>
        <v>367</v>
      </c>
      <c r="J45" s="55" cm="1">
        <f t="array" aca="1" ref="J45:J59" ca="1">LARGE(_xlfn.MAKEARRAY(ROWS(Grid)-3,COLUMNS(Grid)-3,_xlfn.LAMBDA(_xlpm.r,_xlpm.c,SUM(INDEX(Grid,_xlpm.r,_xlpm.c):INDEX(Grid,_xlpm.r+3,_xlpm.c+3)))),_xlfn.SEQUENCE(15))</f>
        <v>1154</v>
      </c>
      <c r="K45" s="56" cm="1">
        <f t="array" ref="K45:K54">_xlfn.MAP({1;2;3;4;5;6;7;8;9;10},_xlfn.LAMBDA(_xlpm.i,_xlfn.LET(_xlpm.r,_xlpm.i-1,_xlpm.s,30-_xlpm.r*3,SUM(_xlfn.TAKE(_xlfn.DROP(Grid,_xlpm.r*3),_xlpm.s,_xlpm.s)*_xlfn.MUNIT(_xlpm.s)))))</f>
        <v>1542</v>
      </c>
      <c r="L45" s="61" t="s">
        <v>33</v>
      </c>
      <c r="M45" s="62"/>
    </row>
    <row r="46" spans="1:13" ht="19.899999999999999" customHeight="1">
      <c r="B46" s="1">
        <v>2</v>
      </c>
      <c r="C46" s="1" t="s">
        <v>34</v>
      </c>
      <c r="D46" s="53">
        <f ca="1"/>
        <v>138</v>
      </c>
      <c r="E46" s="53">
        <f ca="1"/>
        <v>-22</v>
      </c>
      <c r="F46" s="53">
        <v>1701</v>
      </c>
      <c r="G46" s="53">
        <v>1765</v>
      </c>
      <c r="H46" s="53">
        <v>18</v>
      </c>
      <c r="I46" s="53">
        <f ca="1"/>
        <v>361</v>
      </c>
      <c r="J46" s="53">
        <f ca="1"/>
        <v>1109</v>
      </c>
      <c r="K46" s="53">
        <v>1341</v>
      </c>
      <c r="L46" s="48"/>
    </row>
    <row r="47" spans="1:13" ht="19.899999999999999" customHeight="1">
      <c r="B47" s="1">
        <v>3</v>
      </c>
      <c r="C47" s="1" t="s">
        <v>35</v>
      </c>
      <c r="D47" s="42">
        <f ca="1"/>
        <v>355</v>
      </c>
      <c r="E47" s="42">
        <f ca="1"/>
        <v>-165</v>
      </c>
      <c r="F47" s="42">
        <v>1700</v>
      </c>
      <c r="G47" s="42">
        <v>1730</v>
      </c>
      <c r="H47" s="42">
        <v>18</v>
      </c>
      <c r="I47" s="42">
        <f ca="1"/>
        <v>357</v>
      </c>
      <c r="J47" s="42">
        <f ca="1"/>
        <v>1108</v>
      </c>
      <c r="K47" s="42">
        <v>1203</v>
      </c>
      <c r="L47" s="48"/>
    </row>
    <row r="48" spans="1:13" ht="19.899999999999999" customHeight="1">
      <c r="B48" s="1">
        <v>4</v>
      </c>
      <c r="C48" s="1" t="s">
        <v>36</v>
      </c>
      <c r="D48" s="42">
        <f ca="1"/>
        <v>268</v>
      </c>
      <c r="E48" s="42">
        <f ca="1"/>
        <v>-94</v>
      </c>
      <c r="F48" s="42">
        <v>1686</v>
      </c>
      <c r="G48" s="42">
        <v>1659</v>
      </c>
      <c r="H48" s="42">
        <v>17</v>
      </c>
      <c r="I48" s="42">
        <f ca="1"/>
        <v>349</v>
      </c>
      <c r="J48" s="42">
        <f ca="1"/>
        <v>1104</v>
      </c>
      <c r="K48" s="42">
        <v>1022</v>
      </c>
      <c r="L48" s="48"/>
    </row>
    <row r="49" spans="1:13" ht="19.899999999999999" customHeight="1">
      <c r="B49" s="1">
        <v>5</v>
      </c>
      <c r="C49" s="1" t="s">
        <v>37</v>
      </c>
      <c r="D49" s="42">
        <f ca="1"/>
        <v>215</v>
      </c>
      <c r="E49" s="42">
        <f ca="1"/>
        <v>-89</v>
      </c>
      <c r="F49" s="42">
        <v>1676</v>
      </c>
      <c r="G49" s="42">
        <v>1639</v>
      </c>
      <c r="H49" s="42">
        <v>17</v>
      </c>
      <c r="I49" s="42">
        <f ca="1"/>
        <v>347</v>
      </c>
      <c r="J49" s="42">
        <f ca="1"/>
        <v>1102</v>
      </c>
      <c r="K49" s="42">
        <v>908</v>
      </c>
      <c r="L49" s="48"/>
    </row>
    <row r="50" spans="1:13" ht="19.899999999999999" customHeight="1">
      <c r="B50" s="1">
        <v>6</v>
      </c>
      <c r="C50" s="1" t="s">
        <v>38</v>
      </c>
      <c r="D50" s="42">
        <f ca="1"/>
        <v>195</v>
      </c>
      <c r="E50" s="42">
        <f ca="1"/>
        <v>-65</v>
      </c>
      <c r="F50" s="42">
        <v>1641</v>
      </c>
      <c r="G50" s="42">
        <v>1616</v>
      </c>
      <c r="H50" s="42">
        <v>16</v>
      </c>
      <c r="I50" s="42">
        <f ca="1"/>
        <v>344</v>
      </c>
      <c r="J50" s="42">
        <f ca="1"/>
        <v>1098</v>
      </c>
      <c r="K50" s="42">
        <v>688</v>
      </c>
      <c r="L50" s="48"/>
    </row>
    <row r="51" spans="1:13" ht="19.899999999999999" customHeight="1">
      <c r="B51" s="1">
        <v>7</v>
      </c>
      <c r="C51" s="1" t="s">
        <v>39</v>
      </c>
      <c r="D51" s="42">
        <f ca="1"/>
        <v>327</v>
      </c>
      <c r="E51" s="42">
        <f ca="1"/>
        <v>-161</v>
      </c>
      <c r="F51" s="42">
        <v>1633</v>
      </c>
      <c r="G51" s="42">
        <v>1564</v>
      </c>
      <c r="H51" s="42">
        <v>16</v>
      </c>
      <c r="I51" s="42">
        <f ca="1"/>
        <v>339</v>
      </c>
      <c r="J51" s="42">
        <f ca="1"/>
        <v>1092</v>
      </c>
      <c r="K51" s="42">
        <v>607</v>
      </c>
      <c r="L51" s="48"/>
    </row>
    <row r="52" spans="1:13" ht="19.899999999999999" customHeight="1">
      <c r="B52" s="1">
        <v>8</v>
      </c>
      <c r="C52" s="1" t="s">
        <v>40</v>
      </c>
      <c r="D52" s="42">
        <f ca="1"/>
        <v>230</v>
      </c>
      <c r="E52" s="42">
        <f ca="1"/>
        <v>-190</v>
      </c>
      <c r="F52" s="42">
        <v>1628</v>
      </c>
      <c r="G52" s="42">
        <v>1561</v>
      </c>
      <c r="H52" s="42">
        <v>16</v>
      </c>
      <c r="I52" s="42">
        <f ca="1"/>
        <v>330</v>
      </c>
      <c r="J52" s="42">
        <f ca="1"/>
        <v>1089</v>
      </c>
      <c r="K52" s="42">
        <v>376</v>
      </c>
      <c r="L52" s="48"/>
    </row>
    <row r="53" spans="1:13" ht="19.899999999999999" customHeight="1">
      <c r="B53" s="1">
        <v>9</v>
      </c>
      <c r="C53" s="1" t="s">
        <v>41</v>
      </c>
      <c r="D53" s="42">
        <f ca="1"/>
        <v>178</v>
      </c>
      <c r="E53" s="42">
        <f ca="1"/>
        <v>-104</v>
      </c>
      <c r="F53" s="42">
        <v>1617</v>
      </c>
      <c r="G53" s="42">
        <v>1555</v>
      </c>
      <c r="H53" s="42">
        <v>16</v>
      </c>
      <c r="I53" s="42">
        <f ca="1"/>
        <v>329</v>
      </c>
      <c r="J53" s="42">
        <f ca="1"/>
        <v>1082</v>
      </c>
      <c r="K53" s="42">
        <v>336</v>
      </c>
      <c r="L53" s="48"/>
    </row>
    <row r="54" spans="1:13" ht="19.899999999999999" customHeight="1">
      <c r="B54" s="1">
        <v>10</v>
      </c>
      <c r="C54" s="1" t="s">
        <v>42</v>
      </c>
      <c r="D54" s="42">
        <f ca="1"/>
        <v>177</v>
      </c>
      <c r="E54" s="42">
        <f ca="1"/>
        <v>7</v>
      </c>
      <c r="F54" s="42">
        <v>1614</v>
      </c>
      <c r="G54" s="42">
        <v>1543</v>
      </c>
      <c r="H54" s="42">
        <v>16</v>
      </c>
      <c r="I54" s="42">
        <f ca="1"/>
        <v>327</v>
      </c>
      <c r="J54" s="42">
        <f ca="1"/>
        <v>1074</v>
      </c>
      <c r="K54" s="42">
        <v>124</v>
      </c>
      <c r="L54" s="48"/>
    </row>
    <row r="55" spans="1:13" ht="19.899999999999999" customHeight="1">
      <c r="B55" s="1">
        <v>11</v>
      </c>
      <c r="C55" s="1" t="s">
        <v>43</v>
      </c>
      <c r="D55" s="42">
        <f ca="1"/>
        <v>316</v>
      </c>
      <c r="E55" s="42">
        <f ca="1"/>
        <v>-182</v>
      </c>
      <c r="F55" s="42">
        <v>1594</v>
      </c>
      <c r="G55" s="42">
        <v>1539</v>
      </c>
      <c r="H55" s="42">
        <v>15</v>
      </c>
      <c r="I55" s="42">
        <f ca="1"/>
        <v>326</v>
      </c>
      <c r="J55" s="42">
        <f ca="1"/>
        <v>1068</v>
      </c>
      <c r="L55" s="48"/>
    </row>
    <row r="56" spans="1:13" ht="19.899999999999999" customHeight="1">
      <c r="B56" s="1">
        <v>12</v>
      </c>
      <c r="C56" s="1" t="s">
        <v>44</v>
      </c>
      <c r="D56" s="42">
        <f ca="1"/>
        <v>300</v>
      </c>
      <c r="E56" s="42">
        <f ca="1"/>
        <v>-116</v>
      </c>
      <c r="F56" s="42">
        <v>1593</v>
      </c>
      <c r="G56" s="42">
        <v>1528</v>
      </c>
      <c r="H56" s="42">
        <v>15</v>
      </c>
      <c r="I56" s="42">
        <f ca="1"/>
        <v>324</v>
      </c>
      <c r="J56" s="42">
        <f ca="1"/>
        <v>1068</v>
      </c>
    </row>
    <row r="57" spans="1:13" ht="19.899999999999999" customHeight="1">
      <c r="B57" s="1">
        <v>13</v>
      </c>
      <c r="C57" s="1" t="s">
        <v>45</v>
      </c>
      <c r="D57" s="42">
        <f ca="1"/>
        <v>289</v>
      </c>
      <c r="E57" s="42">
        <f ca="1"/>
        <v>-249</v>
      </c>
      <c r="F57" s="42">
        <v>1592</v>
      </c>
      <c r="G57" s="42">
        <v>1509</v>
      </c>
      <c r="H57" s="42">
        <v>15</v>
      </c>
      <c r="I57" s="42">
        <f ca="1"/>
        <v>322</v>
      </c>
      <c r="J57" s="42">
        <f ca="1"/>
        <v>1064</v>
      </c>
    </row>
    <row r="58" spans="1:13" ht="19.899999999999999" customHeight="1">
      <c r="B58" s="1">
        <v>14</v>
      </c>
      <c r="C58" s="1" t="s">
        <v>46</v>
      </c>
      <c r="D58" s="42">
        <f ca="1"/>
        <v>429</v>
      </c>
      <c r="E58" s="42">
        <f ca="1"/>
        <v>-245</v>
      </c>
      <c r="F58" s="42">
        <v>1554</v>
      </c>
      <c r="G58" s="42">
        <v>1494</v>
      </c>
      <c r="H58" s="42">
        <v>15</v>
      </c>
      <c r="I58" s="42">
        <f ca="1"/>
        <v>321</v>
      </c>
      <c r="J58" s="42">
        <f ca="1"/>
        <v>1056</v>
      </c>
    </row>
    <row r="59" spans="1:13" ht="19.899999999999999" customHeight="1">
      <c r="B59" s="1">
        <v>15</v>
      </c>
      <c r="C59" s="1" t="s">
        <v>47</v>
      </c>
      <c r="D59" s="42">
        <f ca="1"/>
        <v>123</v>
      </c>
      <c r="E59" s="42">
        <f ca="1"/>
        <v>63</v>
      </c>
      <c r="F59" s="42">
        <v>1523</v>
      </c>
      <c r="G59" s="42">
        <v>1483</v>
      </c>
      <c r="H59" s="42">
        <v>15</v>
      </c>
      <c r="I59" s="42">
        <f ca="1"/>
        <v>318</v>
      </c>
      <c r="J59" s="42">
        <f ca="1"/>
        <v>1054</v>
      </c>
    </row>
    <row r="60" spans="1:13" ht="19.899999999999999" customHeight="1"/>
    <row r="62" spans="1:13" ht="24.6" customHeight="1">
      <c r="A62" s="63" t="s">
        <v>48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</sheetData>
  <mergeCells count="6">
    <mergeCell ref="L45:M45"/>
    <mergeCell ref="A62:M62"/>
    <mergeCell ref="A17:B17"/>
    <mergeCell ref="E17:F17"/>
    <mergeCell ref="A19:K19"/>
    <mergeCell ref="A40:K40"/>
  </mergeCells>
  <phoneticPr fontId="3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7B48-4329-4800-8A25-CAC41D29ECAA}">
  <sheetPr codeName="Sheet3"/>
  <dimension ref="A1:AG42"/>
  <sheetViews>
    <sheetView workbookViewId="0">
      <selection activeCell="K9" sqref="K9"/>
    </sheetView>
  </sheetViews>
  <sheetFormatPr defaultColWidth="0" defaultRowHeight="14.45" zeroHeight="1"/>
  <cols>
    <col min="1" max="2" width="4.28515625" customWidth="1"/>
    <col min="3" max="32" width="4.7109375" customWidth="1"/>
    <col min="33" max="33" width="2.5703125" customWidth="1"/>
    <col min="34" max="16384" width="8.85546875" hidden="1"/>
  </cols>
  <sheetData>
    <row r="1" spans="1:32">
      <c r="C1" s="40" t="str">
        <f>SUBSTITUTE(ADDRESS(1,COLUMN(C1),4),1,"")</f>
        <v>C</v>
      </c>
      <c r="D1" s="40" t="str">
        <f t="shared" ref="D1:AF1" si="0">SUBSTITUTE(ADDRESS(1,COLUMN(D1),4),1,"")</f>
        <v>D</v>
      </c>
      <c r="E1" s="40" t="str">
        <f t="shared" si="0"/>
        <v>E</v>
      </c>
      <c r="F1" s="40" t="str">
        <f t="shared" si="0"/>
        <v>F</v>
      </c>
      <c r="G1" s="40" t="str">
        <f t="shared" si="0"/>
        <v>G</v>
      </c>
      <c r="H1" s="40" t="str">
        <f t="shared" si="0"/>
        <v>H</v>
      </c>
      <c r="I1" s="40" t="str">
        <f t="shared" si="0"/>
        <v>I</v>
      </c>
      <c r="J1" s="40" t="str">
        <f t="shared" si="0"/>
        <v>J</v>
      </c>
      <c r="K1" s="40" t="str">
        <f t="shared" si="0"/>
        <v>K</v>
      </c>
      <c r="L1" s="40" t="str">
        <f t="shared" si="0"/>
        <v>L</v>
      </c>
      <c r="M1" s="40" t="str">
        <f t="shared" si="0"/>
        <v>M</v>
      </c>
      <c r="N1" s="40" t="str">
        <f t="shared" si="0"/>
        <v>N</v>
      </c>
      <c r="O1" s="40" t="str">
        <f t="shared" si="0"/>
        <v>O</v>
      </c>
      <c r="P1" s="40" t="str">
        <f t="shared" si="0"/>
        <v>P</v>
      </c>
      <c r="Q1" s="40" t="str">
        <f t="shared" si="0"/>
        <v>Q</v>
      </c>
      <c r="R1" s="40" t="str">
        <f t="shared" si="0"/>
        <v>R</v>
      </c>
      <c r="S1" s="40" t="str">
        <f t="shared" si="0"/>
        <v>S</v>
      </c>
      <c r="T1" s="40" t="str">
        <f t="shared" si="0"/>
        <v>T</v>
      </c>
      <c r="U1" s="40" t="str">
        <f t="shared" si="0"/>
        <v>U</v>
      </c>
      <c r="V1" s="40" t="str">
        <f t="shared" si="0"/>
        <v>V</v>
      </c>
      <c r="W1" s="40" t="str">
        <f t="shared" si="0"/>
        <v>W</v>
      </c>
      <c r="X1" s="40" t="str">
        <f t="shared" si="0"/>
        <v>X</v>
      </c>
      <c r="Y1" s="40" t="str">
        <f t="shared" si="0"/>
        <v>Y</v>
      </c>
      <c r="Z1" s="40" t="str">
        <f t="shared" si="0"/>
        <v>Z</v>
      </c>
      <c r="AA1" s="40" t="str">
        <f t="shared" si="0"/>
        <v>AA</v>
      </c>
      <c r="AB1" s="40" t="str">
        <f t="shared" si="0"/>
        <v>AB</v>
      </c>
      <c r="AC1" s="40" t="str">
        <f t="shared" si="0"/>
        <v>AC</v>
      </c>
      <c r="AD1" s="40" t="str">
        <f t="shared" si="0"/>
        <v>AD</v>
      </c>
      <c r="AE1" s="40" t="str">
        <f t="shared" si="0"/>
        <v>AE</v>
      </c>
      <c r="AF1" s="40" t="str">
        <f t="shared" si="0"/>
        <v>AF</v>
      </c>
    </row>
    <row r="2" spans="1:32" ht="15" thickBot="1"/>
    <row r="3" spans="1:32" ht="15" thickBot="1">
      <c r="A3" s="40">
        <v>3</v>
      </c>
      <c r="B3" t="s">
        <v>49</v>
      </c>
      <c r="C3" s="44">
        <v>43</v>
      </c>
      <c r="D3" s="39">
        <v>25</v>
      </c>
      <c r="E3" s="39">
        <v>41</v>
      </c>
      <c r="F3" s="39">
        <v>66</v>
      </c>
      <c r="G3" s="39">
        <v>58</v>
      </c>
      <c r="H3" s="39">
        <v>60</v>
      </c>
      <c r="I3" s="39">
        <v>90</v>
      </c>
      <c r="J3" s="39">
        <v>19</v>
      </c>
      <c r="K3" s="39">
        <v>33</v>
      </c>
      <c r="L3" s="39">
        <v>33</v>
      </c>
      <c r="M3" s="39">
        <v>50</v>
      </c>
      <c r="N3" s="39">
        <v>26</v>
      </c>
      <c r="O3" s="39">
        <v>66</v>
      </c>
      <c r="P3" s="39">
        <v>55</v>
      </c>
      <c r="Q3" s="39">
        <v>81</v>
      </c>
      <c r="R3" s="39">
        <v>11</v>
      </c>
      <c r="S3" s="39">
        <v>97</v>
      </c>
      <c r="T3" s="39">
        <v>93</v>
      </c>
      <c r="U3" s="39">
        <v>29</v>
      </c>
      <c r="V3" s="39">
        <v>60</v>
      </c>
      <c r="W3" s="39">
        <v>47</v>
      </c>
      <c r="X3" s="39">
        <v>76</v>
      </c>
      <c r="Y3" s="39">
        <v>15</v>
      </c>
      <c r="Z3" s="39">
        <v>47</v>
      </c>
      <c r="AA3" s="39">
        <v>15</v>
      </c>
      <c r="AB3" s="39">
        <v>27</v>
      </c>
      <c r="AC3" s="39">
        <v>58</v>
      </c>
      <c r="AD3" s="39">
        <v>49</v>
      </c>
      <c r="AE3" s="39">
        <v>94</v>
      </c>
      <c r="AF3" s="39">
        <v>35</v>
      </c>
    </row>
    <row r="4" spans="1:32" ht="15" thickBot="1">
      <c r="A4" s="40">
        <v>4</v>
      </c>
      <c r="C4" s="39">
        <v>84</v>
      </c>
      <c r="D4" s="44">
        <v>46</v>
      </c>
      <c r="E4" s="39">
        <v>75</v>
      </c>
      <c r="F4" s="39">
        <v>30</v>
      </c>
      <c r="G4" s="39">
        <v>49</v>
      </c>
      <c r="H4" s="39">
        <v>16</v>
      </c>
      <c r="I4" s="39">
        <v>1</v>
      </c>
      <c r="J4" s="39">
        <v>63</v>
      </c>
      <c r="K4" s="39">
        <v>48</v>
      </c>
      <c r="L4" s="39">
        <v>21</v>
      </c>
      <c r="M4" s="39">
        <v>88</v>
      </c>
      <c r="N4" s="39">
        <v>76</v>
      </c>
      <c r="O4" s="39">
        <v>46</v>
      </c>
      <c r="P4" s="39">
        <v>52</v>
      </c>
      <c r="Q4" s="39">
        <v>89</v>
      </c>
      <c r="R4" s="39">
        <v>31</v>
      </c>
      <c r="S4" s="39">
        <v>39</v>
      </c>
      <c r="T4" s="39">
        <v>86</v>
      </c>
      <c r="U4" s="39">
        <v>93</v>
      </c>
      <c r="V4" s="39">
        <v>21</v>
      </c>
      <c r="W4" s="39">
        <v>74</v>
      </c>
      <c r="X4" s="39">
        <v>50</v>
      </c>
      <c r="Y4" s="39">
        <v>74</v>
      </c>
      <c r="Z4" s="39">
        <v>27</v>
      </c>
      <c r="AA4" s="39">
        <v>82</v>
      </c>
      <c r="AB4" s="39">
        <v>61</v>
      </c>
      <c r="AC4" s="39">
        <v>1</v>
      </c>
      <c r="AD4" s="39">
        <v>96</v>
      </c>
      <c r="AE4" s="39">
        <v>3</v>
      </c>
      <c r="AF4" s="39">
        <v>95</v>
      </c>
    </row>
    <row r="5" spans="1:32" ht="15" thickBot="1">
      <c r="A5" s="40">
        <v>5</v>
      </c>
      <c r="C5" s="39">
        <v>37</v>
      </c>
      <c r="D5" s="39">
        <v>43</v>
      </c>
      <c r="E5" s="44">
        <v>86</v>
      </c>
      <c r="F5" s="39">
        <v>20</v>
      </c>
      <c r="G5" s="39">
        <v>19</v>
      </c>
      <c r="H5" s="39">
        <v>24</v>
      </c>
      <c r="I5" s="39">
        <v>89</v>
      </c>
      <c r="J5" s="39">
        <v>90</v>
      </c>
      <c r="K5" s="39">
        <v>43</v>
      </c>
      <c r="L5" s="39">
        <v>30</v>
      </c>
      <c r="M5" s="39">
        <v>73</v>
      </c>
      <c r="N5" s="39">
        <v>34</v>
      </c>
      <c r="O5" s="39">
        <v>2</v>
      </c>
      <c r="P5" s="39">
        <v>68</v>
      </c>
      <c r="Q5" s="39">
        <v>59</v>
      </c>
      <c r="R5" s="39">
        <v>36</v>
      </c>
      <c r="S5" s="39">
        <v>89</v>
      </c>
      <c r="T5" s="39">
        <v>88</v>
      </c>
      <c r="U5" s="39">
        <v>80</v>
      </c>
      <c r="V5" s="39">
        <v>15</v>
      </c>
      <c r="W5" s="39">
        <v>65</v>
      </c>
      <c r="X5" s="39">
        <v>78</v>
      </c>
      <c r="Y5" s="39">
        <v>31</v>
      </c>
      <c r="Z5" s="39">
        <v>60</v>
      </c>
      <c r="AA5" s="39">
        <v>24</v>
      </c>
      <c r="AB5" s="39">
        <v>4</v>
      </c>
      <c r="AC5" s="39">
        <v>73</v>
      </c>
      <c r="AD5" s="39">
        <v>96</v>
      </c>
      <c r="AE5" s="39">
        <v>35</v>
      </c>
      <c r="AF5" s="39">
        <v>32</v>
      </c>
    </row>
    <row r="6" spans="1:32" ht="15" thickBot="1">
      <c r="A6" s="40">
        <v>6</v>
      </c>
      <c r="B6" t="s">
        <v>50</v>
      </c>
      <c r="C6" s="44">
        <v>18</v>
      </c>
      <c r="D6" s="39">
        <v>91</v>
      </c>
      <c r="E6" s="39">
        <v>83</v>
      </c>
      <c r="F6" s="44">
        <v>34</v>
      </c>
      <c r="G6" s="39">
        <v>26</v>
      </c>
      <c r="H6" s="39">
        <v>20</v>
      </c>
      <c r="I6" s="39">
        <v>88</v>
      </c>
      <c r="J6" s="39">
        <v>34</v>
      </c>
      <c r="K6" s="39">
        <v>77</v>
      </c>
      <c r="L6" s="39">
        <v>32</v>
      </c>
      <c r="M6" s="39">
        <v>25</v>
      </c>
      <c r="N6" s="39">
        <v>63</v>
      </c>
      <c r="O6" s="39">
        <v>46</v>
      </c>
      <c r="P6" s="39">
        <v>39</v>
      </c>
      <c r="Q6" s="39">
        <v>77</v>
      </c>
      <c r="R6" s="39">
        <v>14</v>
      </c>
      <c r="S6" s="39">
        <v>44</v>
      </c>
      <c r="T6" s="39">
        <v>95</v>
      </c>
      <c r="U6" s="39">
        <v>81</v>
      </c>
      <c r="V6" s="39">
        <v>1</v>
      </c>
      <c r="W6" s="39">
        <v>55</v>
      </c>
      <c r="X6" s="39">
        <v>2</v>
      </c>
      <c r="Y6" s="39">
        <v>44</v>
      </c>
      <c r="Z6" s="39">
        <v>45</v>
      </c>
      <c r="AA6" s="39">
        <v>65</v>
      </c>
      <c r="AB6" s="39">
        <v>83</v>
      </c>
      <c r="AC6" s="39">
        <v>26</v>
      </c>
      <c r="AD6" s="39">
        <v>17</v>
      </c>
      <c r="AE6" s="39">
        <v>63</v>
      </c>
      <c r="AF6" s="39">
        <v>22</v>
      </c>
    </row>
    <row r="7" spans="1:32" ht="15" thickBot="1">
      <c r="A7" s="40">
        <v>7</v>
      </c>
      <c r="C7" s="39">
        <v>3</v>
      </c>
      <c r="D7" s="44">
        <v>42</v>
      </c>
      <c r="E7" s="39">
        <v>8</v>
      </c>
      <c r="F7" s="39">
        <v>49</v>
      </c>
      <c r="G7" s="44">
        <v>98</v>
      </c>
      <c r="H7" s="39">
        <v>25</v>
      </c>
      <c r="I7" s="39">
        <v>43</v>
      </c>
      <c r="J7" s="39">
        <v>78</v>
      </c>
      <c r="K7" s="39">
        <v>25</v>
      </c>
      <c r="L7" s="39">
        <v>49</v>
      </c>
      <c r="M7" s="39">
        <v>8</v>
      </c>
      <c r="N7" s="39">
        <v>90</v>
      </c>
      <c r="O7" s="39">
        <v>14</v>
      </c>
      <c r="P7" s="39">
        <v>44</v>
      </c>
      <c r="Q7" s="39">
        <v>2</v>
      </c>
      <c r="R7" s="39">
        <v>93</v>
      </c>
      <c r="S7" s="46">
        <v>38</v>
      </c>
      <c r="T7" s="46">
        <v>11</v>
      </c>
      <c r="U7" s="39">
        <v>94</v>
      </c>
      <c r="V7" s="39">
        <v>31</v>
      </c>
      <c r="W7" s="39">
        <v>26</v>
      </c>
      <c r="X7" s="39">
        <v>81</v>
      </c>
      <c r="Y7" s="39">
        <v>90</v>
      </c>
      <c r="Z7" s="39">
        <v>44</v>
      </c>
      <c r="AA7" s="39">
        <v>16</v>
      </c>
      <c r="AB7" s="39">
        <v>33</v>
      </c>
      <c r="AC7" s="39">
        <v>69</v>
      </c>
      <c r="AD7" s="39">
        <v>83</v>
      </c>
      <c r="AE7" s="39">
        <v>60</v>
      </c>
      <c r="AF7" s="39">
        <v>27</v>
      </c>
    </row>
    <row r="8" spans="1:32" ht="15" thickBot="1">
      <c r="A8" s="40">
        <v>8</v>
      </c>
      <c r="C8" s="39">
        <v>69</v>
      </c>
      <c r="D8" s="39">
        <v>27</v>
      </c>
      <c r="E8" s="44">
        <v>8</v>
      </c>
      <c r="F8" s="39">
        <v>85</v>
      </c>
      <c r="G8" s="39">
        <v>69</v>
      </c>
      <c r="H8" s="44">
        <v>7</v>
      </c>
      <c r="I8" s="39">
        <v>83</v>
      </c>
      <c r="J8" s="39">
        <v>18</v>
      </c>
      <c r="K8" s="39">
        <v>98</v>
      </c>
      <c r="L8" s="39">
        <v>89</v>
      </c>
      <c r="M8" s="39">
        <v>40</v>
      </c>
      <c r="N8" s="39">
        <v>48</v>
      </c>
      <c r="O8" s="39">
        <v>25</v>
      </c>
      <c r="P8" s="39">
        <v>21</v>
      </c>
      <c r="Q8" s="39">
        <v>87</v>
      </c>
      <c r="R8" s="39">
        <v>43</v>
      </c>
      <c r="S8" s="46">
        <v>25</v>
      </c>
      <c r="T8" s="46">
        <v>46</v>
      </c>
      <c r="U8" s="39">
        <v>69</v>
      </c>
      <c r="V8" s="39">
        <v>36</v>
      </c>
      <c r="W8" s="39">
        <v>74</v>
      </c>
      <c r="X8" s="39">
        <v>58</v>
      </c>
      <c r="Y8" s="39">
        <v>95</v>
      </c>
      <c r="Z8" s="39">
        <v>89</v>
      </c>
      <c r="AA8" s="39">
        <v>26</v>
      </c>
      <c r="AB8" s="39">
        <v>56</v>
      </c>
      <c r="AC8" s="39">
        <v>82</v>
      </c>
      <c r="AD8" s="39">
        <v>50</v>
      </c>
      <c r="AE8" s="39">
        <v>58</v>
      </c>
      <c r="AF8" s="39">
        <v>12</v>
      </c>
    </row>
    <row r="9" spans="1:32" ht="15" thickBot="1">
      <c r="A9" s="40">
        <v>9</v>
      </c>
      <c r="B9" t="s">
        <v>51</v>
      </c>
      <c r="C9" s="44">
        <v>95</v>
      </c>
      <c r="D9" s="39">
        <v>67</v>
      </c>
      <c r="E9" s="39">
        <v>24</v>
      </c>
      <c r="F9" s="44">
        <v>89</v>
      </c>
      <c r="G9" s="39">
        <v>43</v>
      </c>
      <c r="H9" s="39">
        <v>34</v>
      </c>
      <c r="I9" s="44">
        <v>27</v>
      </c>
      <c r="J9" s="39">
        <v>51</v>
      </c>
      <c r="K9" s="39">
        <v>35</v>
      </c>
      <c r="L9" s="39">
        <v>79</v>
      </c>
      <c r="M9" s="39">
        <v>1</v>
      </c>
      <c r="N9" s="39">
        <v>32</v>
      </c>
      <c r="O9" s="39">
        <v>33</v>
      </c>
      <c r="P9" s="39">
        <v>52</v>
      </c>
      <c r="Q9" s="39">
        <v>53</v>
      </c>
      <c r="R9" s="39">
        <v>16</v>
      </c>
      <c r="S9" s="39">
        <v>79</v>
      </c>
      <c r="T9" s="39">
        <v>51</v>
      </c>
      <c r="U9" s="39">
        <v>91</v>
      </c>
      <c r="V9" s="39">
        <v>8</v>
      </c>
      <c r="W9" s="39">
        <v>64</v>
      </c>
      <c r="X9" s="39">
        <v>3</v>
      </c>
      <c r="Y9" s="39">
        <v>35</v>
      </c>
      <c r="Z9" s="39">
        <v>63</v>
      </c>
      <c r="AA9" s="39">
        <v>39</v>
      </c>
      <c r="AB9" s="39">
        <v>48</v>
      </c>
      <c r="AC9" s="39">
        <v>63</v>
      </c>
      <c r="AD9" s="39">
        <v>86</v>
      </c>
      <c r="AE9" s="39">
        <v>42</v>
      </c>
      <c r="AF9" s="39">
        <v>17</v>
      </c>
    </row>
    <row r="10" spans="1:32" ht="15" thickBot="1">
      <c r="A10" s="40">
        <v>10</v>
      </c>
      <c r="C10" s="39">
        <v>40</v>
      </c>
      <c r="D10" s="44">
        <v>54</v>
      </c>
      <c r="E10" s="39">
        <v>14</v>
      </c>
      <c r="F10" s="39">
        <v>33</v>
      </c>
      <c r="G10" s="44">
        <v>10</v>
      </c>
      <c r="H10" s="39">
        <v>83</v>
      </c>
      <c r="I10" s="39">
        <v>71</v>
      </c>
      <c r="J10" s="44">
        <v>26</v>
      </c>
      <c r="K10" s="39">
        <v>83</v>
      </c>
      <c r="L10" s="39">
        <v>23</v>
      </c>
      <c r="M10" s="39">
        <v>1</v>
      </c>
      <c r="N10" s="39">
        <v>77</v>
      </c>
      <c r="O10" s="39">
        <v>55</v>
      </c>
      <c r="P10" s="39">
        <v>61</v>
      </c>
      <c r="Q10" s="39">
        <v>93</v>
      </c>
      <c r="R10" s="39">
        <v>17</v>
      </c>
      <c r="S10" s="39">
        <v>21</v>
      </c>
      <c r="T10" s="39">
        <v>21</v>
      </c>
      <c r="U10" s="39">
        <v>40</v>
      </c>
      <c r="V10" s="45">
        <v>9</v>
      </c>
      <c r="W10" s="45">
        <v>3</v>
      </c>
      <c r="X10" s="45">
        <v>28</v>
      </c>
      <c r="Y10" s="45">
        <v>18</v>
      </c>
      <c r="Z10" s="39">
        <v>52</v>
      </c>
      <c r="AA10" s="39">
        <v>1</v>
      </c>
      <c r="AB10" s="39">
        <v>12</v>
      </c>
      <c r="AC10" s="39">
        <v>59</v>
      </c>
      <c r="AD10" s="39">
        <v>25</v>
      </c>
      <c r="AE10" s="39">
        <v>2</v>
      </c>
      <c r="AF10" s="39">
        <v>33</v>
      </c>
    </row>
    <row r="11" spans="1:32" ht="15" thickBot="1">
      <c r="A11" s="40">
        <v>11</v>
      </c>
      <c r="C11" s="39">
        <v>52</v>
      </c>
      <c r="D11" s="39">
        <v>12</v>
      </c>
      <c r="E11" s="44">
        <v>6</v>
      </c>
      <c r="F11" s="39">
        <v>24</v>
      </c>
      <c r="G11" s="39">
        <v>63</v>
      </c>
      <c r="H11" s="44">
        <v>78</v>
      </c>
      <c r="I11" s="39">
        <v>10</v>
      </c>
      <c r="J11" s="39">
        <v>93</v>
      </c>
      <c r="K11" s="44">
        <v>53</v>
      </c>
      <c r="L11" s="39">
        <v>3</v>
      </c>
      <c r="M11" s="39">
        <v>41</v>
      </c>
      <c r="N11" s="39">
        <v>75</v>
      </c>
      <c r="O11" s="39">
        <v>89</v>
      </c>
      <c r="P11" s="39">
        <v>45</v>
      </c>
      <c r="Q11" s="39">
        <v>85</v>
      </c>
      <c r="R11" s="39">
        <v>13</v>
      </c>
      <c r="S11" s="39">
        <v>76</v>
      </c>
      <c r="T11" s="39">
        <v>51</v>
      </c>
      <c r="U11" s="39">
        <v>89</v>
      </c>
      <c r="V11" s="45">
        <v>30</v>
      </c>
      <c r="W11" s="45">
        <v>41</v>
      </c>
      <c r="X11" s="45">
        <v>44</v>
      </c>
      <c r="Y11" s="45">
        <v>63</v>
      </c>
      <c r="Z11" s="39">
        <v>36</v>
      </c>
      <c r="AA11" s="39">
        <v>26</v>
      </c>
      <c r="AB11" s="39">
        <v>26</v>
      </c>
      <c r="AC11" s="39">
        <v>95</v>
      </c>
      <c r="AD11" s="39">
        <v>8</v>
      </c>
      <c r="AE11" s="39">
        <v>8</v>
      </c>
      <c r="AF11" s="39">
        <v>37</v>
      </c>
    </row>
    <row r="12" spans="1:32" ht="15" thickBot="1">
      <c r="A12" s="40">
        <v>12</v>
      </c>
      <c r="B12" t="s">
        <v>52</v>
      </c>
      <c r="C12" s="44">
        <v>72</v>
      </c>
      <c r="D12" s="39">
        <v>64</v>
      </c>
      <c r="E12" s="39">
        <v>57</v>
      </c>
      <c r="F12" s="44">
        <v>49</v>
      </c>
      <c r="G12" s="39">
        <v>81</v>
      </c>
      <c r="H12" s="39">
        <v>61</v>
      </c>
      <c r="I12" s="44">
        <v>1</v>
      </c>
      <c r="J12" s="39">
        <v>54</v>
      </c>
      <c r="K12" s="39">
        <v>25</v>
      </c>
      <c r="L12" s="44">
        <v>7</v>
      </c>
      <c r="M12" s="39">
        <v>73</v>
      </c>
      <c r="N12" s="39">
        <v>33</v>
      </c>
      <c r="O12" s="39">
        <v>71</v>
      </c>
      <c r="P12" s="39">
        <v>42</v>
      </c>
      <c r="Q12" s="39">
        <v>2</v>
      </c>
      <c r="R12" s="39">
        <v>53</v>
      </c>
      <c r="S12" s="39">
        <v>74</v>
      </c>
      <c r="T12" s="39">
        <v>61</v>
      </c>
      <c r="U12" s="39">
        <v>35</v>
      </c>
      <c r="V12" s="45">
        <v>84</v>
      </c>
      <c r="W12" s="45">
        <v>87</v>
      </c>
      <c r="X12" s="45">
        <v>89</v>
      </c>
      <c r="Y12" s="45">
        <v>90</v>
      </c>
      <c r="Z12" s="39">
        <v>47</v>
      </c>
      <c r="AA12" s="39">
        <v>46</v>
      </c>
      <c r="AB12" s="39">
        <v>85</v>
      </c>
      <c r="AC12" s="39">
        <v>1</v>
      </c>
      <c r="AD12" s="39">
        <v>18</v>
      </c>
      <c r="AE12" s="39">
        <v>92</v>
      </c>
      <c r="AF12" s="39">
        <v>40</v>
      </c>
    </row>
    <row r="13" spans="1:32" ht="15" thickBot="1">
      <c r="A13" s="40">
        <v>13</v>
      </c>
      <c r="C13" s="39">
        <v>15</v>
      </c>
      <c r="D13" s="44">
        <v>35</v>
      </c>
      <c r="E13" s="39">
        <v>77</v>
      </c>
      <c r="F13" s="39">
        <v>11</v>
      </c>
      <c r="G13" s="44">
        <v>22</v>
      </c>
      <c r="H13" s="39">
        <v>33</v>
      </c>
      <c r="I13" s="39">
        <v>92</v>
      </c>
      <c r="J13" s="44">
        <v>10</v>
      </c>
      <c r="K13" s="39">
        <v>21</v>
      </c>
      <c r="L13" s="39">
        <v>56</v>
      </c>
      <c r="M13" s="44">
        <v>97</v>
      </c>
      <c r="N13" s="39">
        <v>18</v>
      </c>
      <c r="O13" s="39">
        <v>91</v>
      </c>
      <c r="P13" s="39">
        <v>68</v>
      </c>
      <c r="Q13" s="39">
        <v>59</v>
      </c>
      <c r="R13" s="39">
        <v>20</v>
      </c>
      <c r="S13" s="39">
        <v>5</v>
      </c>
      <c r="T13" s="39">
        <v>61</v>
      </c>
      <c r="U13" s="39">
        <v>15</v>
      </c>
      <c r="V13" s="45">
        <v>74</v>
      </c>
      <c r="W13" s="45">
        <v>34</v>
      </c>
      <c r="X13" s="45">
        <v>44</v>
      </c>
      <c r="Y13" s="45">
        <v>81</v>
      </c>
      <c r="Z13" s="39">
        <v>26</v>
      </c>
      <c r="AA13" s="39">
        <v>66</v>
      </c>
      <c r="AB13" s="39">
        <v>9</v>
      </c>
      <c r="AC13" s="39">
        <v>39</v>
      </c>
      <c r="AD13" s="39">
        <v>27</v>
      </c>
      <c r="AE13" s="39">
        <v>14</v>
      </c>
      <c r="AF13" s="39">
        <v>17</v>
      </c>
    </row>
    <row r="14" spans="1:32" ht="15" thickBot="1">
      <c r="A14" s="40">
        <v>14</v>
      </c>
      <c r="C14" s="39">
        <v>11</v>
      </c>
      <c r="D14" s="39">
        <v>51</v>
      </c>
      <c r="E14" s="44">
        <v>31</v>
      </c>
      <c r="F14" s="39">
        <v>66</v>
      </c>
      <c r="G14" s="39">
        <v>77</v>
      </c>
      <c r="H14" s="44">
        <v>50</v>
      </c>
      <c r="I14" s="39">
        <v>51</v>
      </c>
      <c r="J14" s="39">
        <v>57</v>
      </c>
      <c r="K14" s="44">
        <v>24</v>
      </c>
      <c r="L14" s="39">
        <v>54</v>
      </c>
      <c r="M14" s="39">
        <v>46</v>
      </c>
      <c r="N14" s="44">
        <v>88</v>
      </c>
      <c r="O14" s="39">
        <v>88</v>
      </c>
      <c r="P14" s="39">
        <v>67</v>
      </c>
      <c r="Q14" s="39">
        <v>27</v>
      </c>
      <c r="R14" s="39">
        <v>65</v>
      </c>
      <c r="S14" s="39">
        <v>77</v>
      </c>
      <c r="T14" s="39">
        <v>82</v>
      </c>
      <c r="U14" s="39">
        <v>79</v>
      </c>
      <c r="V14" s="39">
        <v>40</v>
      </c>
      <c r="W14" s="39">
        <v>96</v>
      </c>
      <c r="X14" s="39">
        <v>70</v>
      </c>
      <c r="Y14" s="39">
        <v>43</v>
      </c>
      <c r="Z14" s="39">
        <v>1</v>
      </c>
      <c r="AA14" s="39">
        <v>77</v>
      </c>
      <c r="AB14" s="39">
        <v>68</v>
      </c>
      <c r="AC14" s="39">
        <v>74</v>
      </c>
      <c r="AD14" s="39">
        <v>19</v>
      </c>
      <c r="AE14" s="39">
        <v>60</v>
      </c>
      <c r="AF14" s="39">
        <v>61</v>
      </c>
    </row>
    <row r="15" spans="1:32" ht="15" thickBot="1">
      <c r="A15" s="40">
        <v>15</v>
      </c>
      <c r="B15" t="s">
        <v>53</v>
      </c>
      <c r="C15" s="44">
        <v>10</v>
      </c>
      <c r="D15" s="39">
        <v>44</v>
      </c>
      <c r="E15" s="39">
        <v>98</v>
      </c>
      <c r="F15" s="44">
        <v>6</v>
      </c>
      <c r="G15" s="39">
        <v>52</v>
      </c>
      <c r="H15" s="39">
        <v>55</v>
      </c>
      <c r="I15" s="44">
        <v>49</v>
      </c>
      <c r="J15" s="39">
        <v>33</v>
      </c>
      <c r="K15" s="39">
        <v>92</v>
      </c>
      <c r="L15" s="44">
        <v>32</v>
      </c>
      <c r="M15" s="39">
        <v>37</v>
      </c>
      <c r="N15" s="39">
        <v>24</v>
      </c>
      <c r="O15" s="44">
        <v>67</v>
      </c>
      <c r="P15" s="39">
        <v>38</v>
      </c>
      <c r="Q15" s="39">
        <v>26</v>
      </c>
      <c r="R15" s="39">
        <v>43</v>
      </c>
      <c r="S15" s="39">
        <v>63</v>
      </c>
      <c r="T15" s="39">
        <v>75</v>
      </c>
      <c r="U15" s="39">
        <v>37</v>
      </c>
      <c r="V15" s="39">
        <v>87</v>
      </c>
      <c r="W15" s="39">
        <v>80</v>
      </c>
      <c r="X15" s="39">
        <v>30</v>
      </c>
      <c r="Y15" s="39">
        <v>79</v>
      </c>
      <c r="Z15" s="39">
        <v>87</v>
      </c>
      <c r="AA15" s="39">
        <v>89</v>
      </c>
      <c r="AB15" s="39">
        <v>42</v>
      </c>
      <c r="AC15" s="39">
        <v>41</v>
      </c>
      <c r="AD15" s="39">
        <v>58</v>
      </c>
      <c r="AE15" s="39">
        <v>76</v>
      </c>
      <c r="AF15" s="39">
        <v>91</v>
      </c>
    </row>
    <row r="16" spans="1:32" ht="15" thickBot="1">
      <c r="A16" s="40">
        <v>16</v>
      </c>
      <c r="C16" s="39">
        <v>21</v>
      </c>
      <c r="D16" s="44">
        <v>74</v>
      </c>
      <c r="E16" s="39">
        <v>14</v>
      </c>
      <c r="F16" s="39">
        <v>73</v>
      </c>
      <c r="G16" s="44">
        <v>94</v>
      </c>
      <c r="H16" s="39">
        <v>79</v>
      </c>
      <c r="I16" s="39">
        <v>58</v>
      </c>
      <c r="J16" s="44">
        <v>28</v>
      </c>
      <c r="K16" s="39">
        <v>47</v>
      </c>
      <c r="L16" s="39">
        <v>10</v>
      </c>
      <c r="M16" s="44">
        <v>65</v>
      </c>
      <c r="N16" s="39">
        <v>33</v>
      </c>
      <c r="O16" s="39">
        <v>15</v>
      </c>
      <c r="P16" s="44">
        <v>80</v>
      </c>
      <c r="Q16" s="39">
        <v>7</v>
      </c>
      <c r="R16" s="39">
        <v>9</v>
      </c>
      <c r="S16" s="39">
        <v>67</v>
      </c>
      <c r="T16" s="39">
        <v>39</v>
      </c>
      <c r="U16" s="39">
        <v>68</v>
      </c>
      <c r="V16" s="39">
        <v>43</v>
      </c>
      <c r="W16" s="39">
        <v>41</v>
      </c>
      <c r="X16" s="39">
        <v>47</v>
      </c>
      <c r="Y16" s="39">
        <v>26</v>
      </c>
      <c r="Z16" s="39">
        <v>98</v>
      </c>
      <c r="AA16" s="39">
        <v>55</v>
      </c>
      <c r="AB16" s="39">
        <v>93</v>
      </c>
      <c r="AC16" s="39">
        <v>95</v>
      </c>
      <c r="AD16" s="39">
        <v>32</v>
      </c>
      <c r="AE16" s="39">
        <v>49</v>
      </c>
      <c r="AF16" s="39">
        <v>37</v>
      </c>
    </row>
    <row r="17" spans="1:32" ht="15" thickBot="1">
      <c r="A17" s="40">
        <v>17</v>
      </c>
      <c r="C17" s="39">
        <v>62</v>
      </c>
      <c r="D17" s="39">
        <v>31</v>
      </c>
      <c r="E17" s="44">
        <v>27</v>
      </c>
      <c r="F17" s="39">
        <v>7</v>
      </c>
      <c r="G17" s="39">
        <v>82</v>
      </c>
      <c r="H17" s="44">
        <v>67</v>
      </c>
      <c r="I17" s="39">
        <v>69</v>
      </c>
      <c r="J17" s="39">
        <v>20</v>
      </c>
      <c r="K17" s="44">
        <v>56</v>
      </c>
      <c r="L17" s="39">
        <v>35</v>
      </c>
      <c r="M17" s="39">
        <v>34</v>
      </c>
      <c r="N17" s="44">
        <v>14</v>
      </c>
      <c r="O17" s="39">
        <v>94</v>
      </c>
      <c r="P17" s="39">
        <v>42</v>
      </c>
      <c r="Q17" s="44">
        <v>93</v>
      </c>
      <c r="R17" s="39">
        <v>52</v>
      </c>
      <c r="S17" s="39">
        <v>27</v>
      </c>
      <c r="T17" s="39">
        <v>95</v>
      </c>
      <c r="U17" s="39">
        <v>75</v>
      </c>
      <c r="V17" s="39">
        <v>94</v>
      </c>
      <c r="W17" s="39">
        <v>43</v>
      </c>
      <c r="X17" s="39">
        <v>77</v>
      </c>
      <c r="Y17" s="39">
        <v>43</v>
      </c>
      <c r="Z17" s="39">
        <v>46</v>
      </c>
      <c r="AA17" s="39">
        <v>81</v>
      </c>
      <c r="AB17" s="39">
        <v>17</v>
      </c>
      <c r="AC17" s="39">
        <v>86</v>
      </c>
      <c r="AD17" s="39">
        <v>59</v>
      </c>
      <c r="AE17" s="39">
        <v>11</v>
      </c>
      <c r="AF17" s="39">
        <v>94</v>
      </c>
    </row>
    <row r="18" spans="1:32" ht="15" thickBot="1">
      <c r="A18" s="40">
        <v>18</v>
      </c>
      <c r="B18" t="s">
        <v>54</v>
      </c>
      <c r="C18" s="44">
        <v>44</v>
      </c>
      <c r="D18" s="39">
        <v>43</v>
      </c>
      <c r="E18" s="39">
        <v>29</v>
      </c>
      <c r="F18" s="44">
        <v>26</v>
      </c>
      <c r="G18" s="39">
        <v>42</v>
      </c>
      <c r="H18" s="39">
        <v>32</v>
      </c>
      <c r="I18" s="44">
        <v>17</v>
      </c>
      <c r="J18" s="39">
        <v>85</v>
      </c>
      <c r="K18" s="39">
        <v>57</v>
      </c>
      <c r="L18" s="44">
        <v>33</v>
      </c>
      <c r="M18" s="39">
        <v>57</v>
      </c>
      <c r="N18" s="39">
        <v>2</v>
      </c>
      <c r="O18" s="44">
        <v>91</v>
      </c>
      <c r="P18" s="39">
        <v>52</v>
      </c>
      <c r="Q18" s="39">
        <v>66</v>
      </c>
      <c r="R18" s="44">
        <v>61</v>
      </c>
      <c r="S18" s="39">
        <v>92</v>
      </c>
      <c r="T18" s="39">
        <v>92</v>
      </c>
      <c r="U18" s="39">
        <v>40</v>
      </c>
      <c r="V18" s="39">
        <v>95</v>
      </c>
      <c r="W18" s="39">
        <v>50</v>
      </c>
      <c r="X18" s="39">
        <v>78</v>
      </c>
      <c r="Y18" s="39">
        <v>27</v>
      </c>
      <c r="Z18" s="39">
        <v>58</v>
      </c>
      <c r="AA18" s="39">
        <v>74</v>
      </c>
      <c r="AB18" s="39">
        <v>68</v>
      </c>
      <c r="AC18" s="39">
        <v>52</v>
      </c>
      <c r="AD18" s="39">
        <v>70</v>
      </c>
      <c r="AE18" s="39">
        <v>3</v>
      </c>
      <c r="AF18" s="39">
        <v>56</v>
      </c>
    </row>
    <row r="19" spans="1:32" ht="15" thickBot="1">
      <c r="A19" s="40">
        <v>19</v>
      </c>
      <c r="C19" s="39">
        <v>40</v>
      </c>
      <c r="D19" s="44">
        <v>66</v>
      </c>
      <c r="E19" s="39">
        <v>15</v>
      </c>
      <c r="F19" s="39">
        <v>20</v>
      </c>
      <c r="G19" s="44">
        <v>43</v>
      </c>
      <c r="H19" s="39">
        <v>14</v>
      </c>
      <c r="I19" s="39">
        <v>29</v>
      </c>
      <c r="J19" s="44">
        <v>92</v>
      </c>
      <c r="K19" s="39">
        <v>2</v>
      </c>
      <c r="L19" s="39">
        <v>65</v>
      </c>
      <c r="M19" s="44">
        <v>81</v>
      </c>
      <c r="N19" s="39">
        <v>51</v>
      </c>
      <c r="O19" s="39">
        <v>18</v>
      </c>
      <c r="P19" s="44">
        <v>75</v>
      </c>
      <c r="Q19" s="39">
        <v>31</v>
      </c>
      <c r="R19" s="39">
        <v>48</v>
      </c>
      <c r="S19" s="44">
        <v>71</v>
      </c>
      <c r="T19" s="39">
        <v>62</v>
      </c>
      <c r="U19" s="39">
        <v>57</v>
      </c>
      <c r="V19" s="39">
        <v>85</v>
      </c>
      <c r="W19" s="39">
        <v>36</v>
      </c>
      <c r="X19" s="39">
        <v>95</v>
      </c>
      <c r="Y19" s="39">
        <v>41</v>
      </c>
      <c r="Z19" s="39">
        <v>83</v>
      </c>
      <c r="AA19" s="39">
        <v>94</v>
      </c>
      <c r="AB19" s="39">
        <v>85</v>
      </c>
      <c r="AC19" s="39">
        <v>19</v>
      </c>
      <c r="AD19" s="39">
        <v>35</v>
      </c>
      <c r="AE19" s="39">
        <v>3</v>
      </c>
      <c r="AF19" s="39">
        <v>7</v>
      </c>
    </row>
    <row r="20" spans="1:32" ht="15" thickBot="1">
      <c r="A20" s="40">
        <v>20</v>
      </c>
      <c r="C20" s="39">
        <v>88</v>
      </c>
      <c r="D20" s="39">
        <v>46</v>
      </c>
      <c r="E20" s="44">
        <v>83</v>
      </c>
      <c r="F20" s="39">
        <v>90</v>
      </c>
      <c r="G20" s="39">
        <v>19</v>
      </c>
      <c r="H20" s="44">
        <v>75</v>
      </c>
      <c r="I20" s="39">
        <v>72</v>
      </c>
      <c r="J20" s="39">
        <v>3</v>
      </c>
      <c r="K20" s="44">
        <v>4</v>
      </c>
      <c r="L20" s="39">
        <v>59</v>
      </c>
      <c r="M20" s="39">
        <v>73</v>
      </c>
      <c r="N20" s="44">
        <v>65</v>
      </c>
      <c r="O20" s="39">
        <v>61</v>
      </c>
      <c r="P20" s="39">
        <v>85</v>
      </c>
      <c r="Q20" s="44">
        <v>57</v>
      </c>
      <c r="R20" s="39">
        <v>72</v>
      </c>
      <c r="S20" s="39">
        <v>6</v>
      </c>
      <c r="T20" s="44">
        <v>38</v>
      </c>
      <c r="U20" s="39">
        <v>55</v>
      </c>
      <c r="V20" s="39">
        <v>84</v>
      </c>
      <c r="W20" s="39">
        <v>53</v>
      </c>
      <c r="X20" s="39">
        <v>11</v>
      </c>
      <c r="Y20" s="39">
        <v>96</v>
      </c>
      <c r="Z20" s="39">
        <v>62</v>
      </c>
      <c r="AA20" s="39">
        <v>70</v>
      </c>
      <c r="AB20" s="39">
        <v>54</v>
      </c>
      <c r="AC20" s="39">
        <v>80</v>
      </c>
      <c r="AD20" s="39">
        <v>68</v>
      </c>
      <c r="AE20" s="39">
        <v>38</v>
      </c>
      <c r="AF20" s="39">
        <v>19</v>
      </c>
    </row>
    <row r="21" spans="1:32" ht="15" thickBot="1">
      <c r="A21" s="40">
        <v>21</v>
      </c>
      <c r="B21" t="s">
        <v>55</v>
      </c>
      <c r="C21" s="44">
        <v>14</v>
      </c>
      <c r="D21" s="39">
        <v>81</v>
      </c>
      <c r="E21" s="39">
        <v>66</v>
      </c>
      <c r="F21" s="44">
        <v>35</v>
      </c>
      <c r="G21" s="39">
        <v>19</v>
      </c>
      <c r="H21" s="39">
        <v>20</v>
      </c>
      <c r="I21" s="44">
        <v>95</v>
      </c>
      <c r="J21" s="39">
        <v>28</v>
      </c>
      <c r="K21" s="39">
        <v>52</v>
      </c>
      <c r="L21" s="44">
        <v>61</v>
      </c>
      <c r="M21" s="39">
        <v>56</v>
      </c>
      <c r="N21" s="39">
        <v>8</v>
      </c>
      <c r="O21" s="44">
        <v>60</v>
      </c>
      <c r="P21" s="39">
        <v>46</v>
      </c>
      <c r="Q21" s="39">
        <v>49</v>
      </c>
      <c r="R21" s="44">
        <v>55</v>
      </c>
      <c r="S21" s="39">
        <v>11</v>
      </c>
      <c r="T21" s="39">
        <v>84</v>
      </c>
      <c r="U21" s="44">
        <v>19</v>
      </c>
      <c r="V21" s="39">
        <v>41</v>
      </c>
      <c r="W21" s="39">
        <v>37</v>
      </c>
      <c r="X21" s="39">
        <v>1</v>
      </c>
      <c r="Y21" s="39">
        <v>99</v>
      </c>
      <c r="Z21" s="39">
        <v>82</v>
      </c>
      <c r="AA21" s="39">
        <v>85</v>
      </c>
      <c r="AB21" s="39">
        <v>76</v>
      </c>
      <c r="AC21" s="39">
        <v>26</v>
      </c>
      <c r="AD21" s="39">
        <v>77</v>
      </c>
      <c r="AE21" s="39">
        <v>58</v>
      </c>
      <c r="AF21" s="39">
        <v>30</v>
      </c>
    </row>
    <row r="22" spans="1:32" ht="15" thickBot="1">
      <c r="A22" s="40">
        <v>22</v>
      </c>
      <c r="C22" s="39">
        <v>51</v>
      </c>
      <c r="D22" s="44">
        <v>1</v>
      </c>
      <c r="E22" s="39">
        <v>57</v>
      </c>
      <c r="F22" s="39">
        <v>89</v>
      </c>
      <c r="G22" s="44">
        <v>96</v>
      </c>
      <c r="H22" s="39">
        <v>33</v>
      </c>
      <c r="I22" s="39">
        <v>77</v>
      </c>
      <c r="J22" s="44">
        <v>88</v>
      </c>
      <c r="K22" s="39">
        <v>60</v>
      </c>
      <c r="L22" s="39">
        <v>16</v>
      </c>
      <c r="M22" s="44">
        <v>83</v>
      </c>
      <c r="N22" s="39">
        <v>88</v>
      </c>
      <c r="O22" s="39">
        <v>12</v>
      </c>
      <c r="P22" s="44">
        <v>4</v>
      </c>
      <c r="Q22" s="39">
        <v>95</v>
      </c>
      <c r="R22" s="39">
        <v>28</v>
      </c>
      <c r="S22" s="44">
        <v>65</v>
      </c>
      <c r="T22" s="39">
        <v>80</v>
      </c>
      <c r="U22" s="39">
        <v>97</v>
      </c>
      <c r="V22" s="44">
        <v>59</v>
      </c>
      <c r="W22" s="39">
        <v>79</v>
      </c>
      <c r="X22" s="39">
        <v>35</v>
      </c>
      <c r="Y22" s="39">
        <v>10</v>
      </c>
      <c r="Z22" s="39">
        <v>6</v>
      </c>
      <c r="AA22" s="39">
        <v>34</v>
      </c>
      <c r="AB22" s="39">
        <v>87</v>
      </c>
      <c r="AC22" s="39">
        <v>60</v>
      </c>
      <c r="AD22" s="39">
        <v>9</v>
      </c>
      <c r="AE22" s="39">
        <v>77</v>
      </c>
      <c r="AF22" s="39">
        <v>52</v>
      </c>
    </row>
    <row r="23" spans="1:32" ht="15" thickBot="1">
      <c r="A23" s="40">
        <v>23</v>
      </c>
      <c r="C23" s="39">
        <v>68</v>
      </c>
      <c r="D23" s="39">
        <v>77</v>
      </c>
      <c r="E23" s="44">
        <v>96</v>
      </c>
      <c r="F23" s="39">
        <v>73</v>
      </c>
      <c r="G23" s="39">
        <v>41</v>
      </c>
      <c r="H23" s="44">
        <v>5</v>
      </c>
      <c r="I23" s="39">
        <v>89</v>
      </c>
      <c r="J23" s="39">
        <v>39</v>
      </c>
      <c r="K23" s="44">
        <v>77</v>
      </c>
      <c r="L23" s="39">
        <v>21</v>
      </c>
      <c r="M23" s="39">
        <v>70</v>
      </c>
      <c r="N23" s="44">
        <v>47</v>
      </c>
      <c r="O23" s="39">
        <v>95</v>
      </c>
      <c r="P23" s="39">
        <v>93</v>
      </c>
      <c r="Q23" s="44">
        <v>56</v>
      </c>
      <c r="R23" s="39">
        <v>8</v>
      </c>
      <c r="S23" s="39">
        <v>35</v>
      </c>
      <c r="T23" s="44">
        <v>86</v>
      </c>
      <c r="U23" s="39">
        <v>30</v>
      </c>
      <c r="V23" s="39">
        <v>90</v>
      </c>
      <c r="W23" s="44">
        <v>98</v>
      </c>
      <c r="X23" s="39">
        <v>38</v>
      </c>
      <c r="Y23" s="39">
        <v>13</v>
      </c>
      <c r="Z23" s="39">
        <v>8</v>
      </c>
      <c r="AA23" s="39">
        <v>72</v>
      </c>
      <c r="AB23" s="39">
        <v>16</v>
      </c>
      <c r="AC23" s="39">
        <v>16</v>
      </c>
      <c r="AD23" s="39">
        <v>38</v>
      </c>
      <c r="AE23" s="39">
        <v>35</v>
      </c>
      <c r="AF23" s="39">
        <v>24</v>
      </c>
    </row>
    <row r="24" spans="1:32" ht="15" thickBot="1">
      <c r="A24" s="40">
        <v>24</v>
      </c>
      <c r="B24" t="s">
        <v>56</v>
      </c>
      <c r="C24" s="44">
        <v>20</v>
      </c>
      <c r="D24" s="39">
        <v>18</v>
      </c>
      <c r="E24" s="39">
        <v>90</v>
      </c>
      <c r="F24" s="44">
        <v>98</v>
      </c>
      <c r="G24" s="39">
        <v>96</v>
      </c>
      <c r="H24" s="39">
        <v>77</v>
      </c>
      <c r="I24" s="44">
        <v>35</v>
      </c>
      <c r="J24" s="39">
        <v>34</v>
      </c>
      <c r="K24" s="39">
        <v>3</v>
      </c>
      <c r="L24" s="44">
        <v>8</v>
      </c>
      <c r="M24" s="39">
        <v>44</v>
      </c>
      <c r="N24" s="39">
        <v>11</v>
      </c>
      <c r="O24" s="44">
        <v>59</v>
      </c>
      <c r="P24" s="39">
        <v>58</v>
      </c>
      <c r="Q24" s="39">
        <v>80</v>
      </c>
      <c r="R24" s="44">
        <v>30</v>
      </c>
      <c r="S24" s="39">
        <v>64</v>
      </c>
      <c r="T24" s="39">
        <v>27</v>
      </c>
      <c r="U24" s="44">
        <v>66</v>
      </c>
      <c r="V24" s="39">
        <v>43</v>
      </c>
      <c r="W24" s="39">
        <v>31</v>
      </c>
      <c r="X24" s="44">
        <v>13</v>
      </c>
      <c r="Y24" s="39">
        <v>34</v>
      </c>
      <c r="Z24" s="39">
        <v>23</v>
      </c>
      <c r="AA24" s="39">
        <v>39</v>
      </c>
      <c r="AB24" s="39">
        <v>87</v>
      </c>
      <c r="AC24" s="39">
        <v>5</v>
      </c>
      <c r="AD24" s="39">
        <v>85</v>
      </c>
      <c r="AE24" s="39">
        <v>45</v>
      </c>
      <c r="AF24" s="39">
        <v>7</v>
      </c>
    </row>
    <row r="25" spans="1:32" ht="15" thickBot="1">
      <c r="A25" s="40">
        <v>25</v>
      </c>
      <c r="C25" s="39">
        <v>10</v>
      </c>
      <c r="D25" s="44">
        <v>65</v>
      </c>
      <c r="E25" s="39">
        <v>93</v>
      </c>
      <c r="F25" s="39">
        <v>86</v>
      </c>
      <c r="G25" s="44">
        <v>16</v>
      </c>
      <c r="H25" s="39">
        <v>52</v>
      </c>
      <c r="I25" s="39">
        <v>19</v>
      </c>
      <c r="J25" s="44">
        <v>9</v>
      </c>
      <c r="K25" s="39">
        <v>1</v>
      </c>
      <c r="L25" s="39">
        <v>47</v>
      </c>
      <c r="M25" s="44">
        <v>69</v>
      </c>
      <c r="N25" s="39">
        <v>2</v>
      </c>
      <c r="O25" s="39">
        <v>9</v>
      </c>
      <c r="P25" s="44">
        <v>99</v>
      </c>
      <c r="Q25" s="39">
        <v>47</v>
      </c>
      <c r="R25" s="39">
        <v>75</v>
      </c>
      <c r="S25" s="44">
        <v>73</v>
      </c>
      <c r="T25" s="39">
        <v>49</v>
      </c>
      <c r="U25" s="39">
        <v>69</v>
      </c>
      <c r="V25" s="44">
        <v>97</v>
      </c>
      <c r="W25" s="39">
        <v>12</v>
      </c>
      <c r="X25" s="39">
        <v>86</v>
      </c>
      <c r="Y25" s="44">
        <v>14</v>
      </c>
      <c r="Z25" s="39">
        <v>2</v>
      </c>
      <c r="AA25" s="39">
        <v>43</v>
      </c>
      <c r="AB25" s="39">
        <v>55</v>
      </c>
      <c r="AC25" s="39">
        <v>28</v>
      </c>
      <c r="AD25" s="39">
        <v>84</v>
      </c>
      <c r="AE25" s="39">
        <v>30</v>
      </c>
      <c r="AF25" s="39">
        <v>82</v>
      </c>
    </row>
    <row r="26" spans="1:32" ht="15" thickBot="1">
      <c r="A26" s="40">
        <v>26</v>
      </c>
      <c r="C26" s="39">
        <v>54</v>
      </c>
      <c r="D26" s="39">
        <v>94</v>
      </c>
      <c r="E26" s="44">
        <v>11</v>
      </c>
      <c r="F26" s="39">
        <v>73</v>
      </c>
      <c r="G26" s="39">
        <v>82</v>
      </c>
      <c r="H26" s="44">
        <v>61</v>
      </c>
      <c r="I26" s="39">
        <v>82</v>
      </c>
      <c r="J26" s="39">
        <v>9</v>
      </c>
      <c r="K26" s="44">
        <v>73</v>
      </c>
      <c r="L26" s="39">
        <v>14</v>
      </c>
      <c r="M26" s="39">
        <v>38</v>
      </c>
      <c r="N26" s="44">
        <v>94</v>
      </c>
      <c r="O26" s="39">
        <v>78</v>
      </c>
      <c r="P26" s="39">
        <v>59</v>
      </c>
      <c r="Q26" s="44">
        <v>22</v>
      </c>
      <c r="R26" s="39">
        <v>96</v>
      </c>
      <c r="S26" s="39">
        <v>69</v>
      </c>
      <c r="T26" s="44">
        <v>82</v>
      </c>
      <c r="U26" s="39">
        <v>68</v>
      </c>
      <c r="V26" s="39">
        <v>17</v>
      </c>
      <c r="W26" s="44">
        <v>44</v>
      </c>
      <c r="X26" s="39">
        <v>95</v>
      </c>
      <c r="Y26" s="39">
        <v>31</v>
      </c>
      <c r="Z26" s="44">
        <v>7</v>
      </c>
      <c r="AA26" s="39">
        <v>71</v>
      </c>
      <c r="AB26" s="39">
        <v>44</v>
      </c>
      <c r="AC26" s="39">
        <v>69</v>
      </c>
      <c r="AD26" s="39">
        <v>64</v>
      </c>
      <c r="AE26" s="39">
        <v>86</v>
      </c>
      <c r="AF26" s="39">
        <v>81</v>
      </c>
    </row>
    <row r="27" spans="1:32" ht="15" thickBot="1">
      <c r="A27" s="40">
        <v>27</v>
      </c>
      <c r="B27" t="s">
        <v>57</v>
      </c>
      <c r="C27" s="44">
        <v>23</v>
      </c>
      <c r="D27" s="39">
        <v>20</v>
      </c>
      <c r="E27" s="39">
        <v>82</v>
      </c>
      <c r="F27" s="44">
        <v>1</v>
      </c>
      <c r="G27" s="39">
        <v>55</v>
      </c>
      <c r="H27" s="39">
        <v>74</v>
      </c>
      <c r="I27" s="44">
        <v>80</v>
      </c>
      <c r="J27" s="39">
        <v>50</v>
      </c>
      <c r="K27" s="39">
        <v>87</v>
      </c>
      <c r="L27" s="44">
        <v>66</v>
      </c>
      <c r="M27" s="39">
        <v>10</v>
      </c>
      <c r="N27" s="39">
        <v>32</v>
      </c>
      <c r="O27" s="44">
        <v>56</v>
      </c>
      <c r="P27" s="39">
        <v>5</v>
      </c>
      <c r="Q27" s="39">
        <v>68</v>
      </c>
      <c r="R27" s="44">
        <v>51</v>
      </c>
      <c r="S27" s="39">
        <v>2</v>
      </c>
      <c r="T27" s="39">
        <v>36</v>
      </c>
      <c r="U27" s="44">
        <v>34</v>
      </c>
      <c r="V27" s="39">
        <v>59</v>
      </c>
      <c r="W27" s="39">
        <v>2</v>
      </c>
      <c r="X27" s="44">
        <v>83</v>
      </c>
      <c r="Y27" s="39">
        <v>82</v>
      </c>
      <c r="Z27" s="39">
        <v>57</v>
      </c>
      <c r="AA27" s="44">
        <v>12</v>
      </c>
      <c r="AB27" s="39">
        <v>26</v>
      </c>
      <c r="AC27" s="39">
        <v>16</v>
      </c>
      <c r="AD27" s="39">
        <v>23</v>
      </c>
      <c r="AE27" s="39">
        <v>50</v>
      </c>
      <c r="AF27" s="39">
        <v>95</v>
      </c>
    </row>
    <row r="28" spans="1:32" ht="15" thickBot="1">
      <c r="A28" s="40">
        <v>28</v>
      </c>
      <c r="C28" s="39">
        <v>76</v>
      </c>
      <c r="D28" s="44">
        <v>77</v>
      </c>
      <c r="E28" s="39">
        <v>68</v>
      </c>
      <c r="F28" s="39">
        <v>38</v>
      </c>
      <c r="G28" s="44">
        <v>73</v>
      </c>
      <c r="H28" s="39">
        <v>46</v>
      </c>
      <c r="I28" s="39">
        <v>27</v>
      </c>
      <c r="J28" s="44">
        <v>2</v>
      </c>
      <c r="K28" s="39">
        <v>88</v>
      </c>
      <c r="L28" s="39">
        <v>89</v>
      </c>
      <c r="M28" s="44">
        <v>40</v>
      </c>
      <c r="N28" s="39">
        <v>47</v>
      </c>
      <c r="O28" s="39">
        <v>31</v>
      </c>
      <c r="P28" s="44">
        <v>2</v>
      </c>
      <c r="Q28" s="39">
        <v>63</v>
      </c>
      <c r="R28" s="39">
        <v>80</v>
      </c>
      <c r="S28" s="44">
        <v>45</v>
      </c>
      <c r="T28" s="39">
        <v>78</v>
      </c>
      <c r="U28" s="39">
        <v>89</v>
      </c>
      <c r="V28" s="44">
        <v>79</v>
      </c>
      <c r="W28" s="39">
        <v>34</v>
      </c>
      <c r="X28" s="39">
        <v>57</v>
      </c>
      <c r="Y28" s="44">
        <v>12</v>
      </c>
      <c r="Z28" s="39">
        <v>39</v>
      </c>
      <c r="AA28" s="39">
        <v>53</v>
      </c>
      <c r="AB28" s="44">
        <v>75</v>
      </c>
      <c r="AC28" s="39">
        <v>41</v>
      </c>
      <c r="AD28" s="39">
        <v>81</v>
      </c>
      <c r="AE28" s="39">
        <v>98</v>
      </c>
      <c r="AF28" s="39">
        <v>48</v>
      </c>
    </row>
    <row r="29" spans="1:32" ht="15" thickBot="1">
      <c r="A29" s="40">
        <v>29</v>
      </c>
      <c r="C29" s="39">
        <v>58</v>
      </c>
      <c r="D29" s="39">
        <v>60</v>
      </c>
      <c r="E29" s="44">
        <v>87</v>
      </c>
      <c r="F29" s="39">
        <v>99</v>
      </c>
      <c r="G29" s="39">
        <v>26</v>
      </c>
      <c r="H29" s="44">
        <v>32</v>
      </c>
      <c r="I29" s="39">
        <v>96</v>
      </c>
      <c r="J29" s="39">
        <v>72</v>
      </c>
      <c r="K29" s="44">
        <v>18</v>
      </c>
      <c r="L29" s="39">
        <v>86</v>
      </c>
      <c r="M29" s="39">
        <v>66</v>
      </c>
      <c r="N29" s="44">
        <v>12</v>
      </c>
      <c r="O29" s="39">
        <v>35</v>
      </c>
      <c r="P29" s="39">
        <v>47</v>
      </c>
      <c r="Q29" s="44">
        <v>17</v>
      </c>
      <c r="R29" s="39">
        <v>85</v>
      </c>
      <c r="S29" s="39">
        <v>44</v>
      </c>
      <c r="T29" s="44">
        <v>27</v>
      </c>
      <c r="U29" s="39">
        <v>30</v>
      </c>
      <c r="V29" s="39">
        <v>89</v>
      </c>
      <c r="W29" s="44">
        <v>39</v>
      </c>
      <c r="X29" s="39">
        <v>78</v>
      </c>
      <c r="Y29" s="39">
        <v>95</v>
      </c>
      <c r="Z29" s="44">
        <v>80</v>
      </c>
      <c r="AA29" s="39">
        <v>69</v>
      </c>
      <c r="AB29" s="39">
        <v>35</v>
      </c>
      <c r="AC29" s="44">
        <v>1</v>
      </c>
      <c r="AD29" s="39">
        <v>61</v>
      </c>
      <c r="AE29" s="39">
        <v>61</v>
      </c>
      <c r="AF29" s="39">
        <v>96</v>
      </c>
    </row>
    <row r="30" spans="1:32" ht="15" thickBot="1">
      <c r="A30" s="40">
        <v>30</v>
      </c>
      <c r="B30" t="s">
        <v>58</v>
      </c>
      <c r="C30" s="44">
        <v>87</v>
      </c>
      <c r="D30" s="39">
        <v>27</v>
      </c>
      <c r="E30" s="39">
        <v>43</v>
      </c>
      <c r="F30" s="44">
        <v>27</v>
      </c>
      <c r="G30" s="39">
        <v>83</v>
      </c>
      <c r="H30" s="39">
        <v>3</v>
      </c>
      <c r="I30" s="44">
        <v>94</v>
      </c>
      <c r="J30" s="39">
        <v>65</v>
      </c>
      <c r="K30" s="39">
        <v>24</v>
      </c>
      <c r="L30" s="44">
        <v>86</v>
      </c>
      <c r="M30" s="39">
        <v>28</v>
      </c>
      <c r="N30" s="39">
        <v>73</v>
      </c>
      <c r="O30" s="44">
        <v>76</v>
      </c>
      <c r="P30" s="39">
        <v>35</v>
      </c>
      <c r="Q30" s="39">
        <v>8</v>
      </c>
      <c r="R30" s="44">
        <v>36</v>
      </c>
      <c r="S30" s="39">
        <v>34</v>
      </c>
      <c r="T30" s="39">
        <v>73</v>
      </c>
      <c r="U30" s="44">
        <v>58</v>
      </c>
      <c r="V30" s="39">
        <v>3</v>
      </c>
      <c r="W30" s="39">
        <v>89</v>
      </c>
      <c r="X30" s="44">
        <v>94</v>
      </c>
      <c r="Y30" s="39">
        <v>94</v>
      </c>
      <c r="Z30" s="39">
        <v>80</v>
      </c>
      <c r="AA30" s="44">
        <v>29</v>
      </c>
      <c r="AB30" s="39">
        <v>74</v>
      </c>
      <c r="AC30" s="39">
        <v>46</v>
      </c>
      <c r="AD30" s="44">
        <v>93</v>
      </c>
      <c r="AE30" s="39">
        <v>44</v>
      </c>
      <c r="AF30" s="39">
        <v>8</v>
      </c>
    </row>
    <row r="31" spans="1:32" ht="15" thickBot="1">
      <c r="A31" s="40">
        <v>31</v>
      </c>
      <c r="C31" s="39">
        <v>24</v>
      </c>
      <c r="D31" s="44">
        <v>36</v>
      </c>
      <c r="E31" s="39">
        <v>24</v>
      </c>
      <c r="F31" s="39">
        <v>19</v>
      </c>
      <c r="G31" s="44">
        <v>84</v>
      </c>
      <c r="H31" s="39">
        <v>3</v>
      </c>
      <c r="I31" s="39">
        <v>12</v>
      </c>
      <c r="J31" s="44">
        <v>54</v>
      </c>
      <c r="K31" s="39">
        <v>20</v>
      </c>
      <c r="L31" s="39">
        <v>11</v>
      </c>
      <c r="M31" s="44">
        <v>47</v>
      </c>
      <c r="N31" s="39">
        <v>14</v>
      </c>
      <c r="O31" s="39">
        <v>16</v>
      </c>
      <c r="P31" s="44">
        <v>15</v>
      </c>
      <c r="Q31" s="39">
        <v>32</v>
      </c>
      <c r="R31" s="39">
        <v>77</v>
      </c>
      <c r="S31" s="44">
        <v>86</v>
      </c>
      <c r="T31" s="39">
        <v>45</v>
      </c>
      <c r="U31" s="39">
        <v>16</v>
      </c>
      <c r="V31" s="44">
        <v>14</v>
      </c>
      <c r="W31" s="39">
        <v>11</v>
      </c>
      <c r="X31" s="39">
        <v>55</v>
      </c>
      <c r="Y31" s="44">
        <v>6</v>
      </c>
      <c r="Z31" s="39">
        <v>7</v>
      </c>
      <c r="AA31" s="39">
        <v>27</v>
      </c>
      <c r="AB31" s="44">
        <v>42</v>
      </c>
      <c r="AC31" s="39">
        <v>92</v>
      </c>
      <c r="AD31" s="39">
        <v>24</v>
      </c>
      <c r="AE31" s="44">
        <v>89</v>
      </c>
      <c r="AF31" s="39">
        <v>97</v>
      </c>
    </row>
    <row r="32" spans="1:32" ht="15" thickBot="1">
      <c r="A32" s="40">
        <v>32</v>
      </c>
      <c r="C32" s="39">
        <v>13</v>
      </c>
      <c r="D32" s="39">
        <v>24</v>
      </c>
      <c r="E32" s="44">
        <v>1</v>
      </c>
      <c r="F32" s="39">
        <v>9</v>
      </c>
      <c r="G32" s="39">
        <v>21</v>
      </c>
      <c r="H32" s="44">
        <v>38</v>
      </c>
      <c r="I32" s="39">
        <v>84</v>
      </c>
      <c r="J32" s="39">
        <v>29</v>
      </c>
      <c r="K32" s="44">
        <v>26</v>
      </c>
      <c r="L32" s="39">
        <v>36</v>
      </c>
      <c r="M32" s="39">
        <v>14</v>
      </c>
      <c r="N32" s="44">
        <v>88</v>
      </c>
      <c r="O32" s="39">
        <v>62</v>
      </c>
      <c r="P32" s="39">
        <v>26</v>
      </c>
      <c r="Q32" s="44">
        <v>33</v>
      </c>
      <c r="R32" s="39">
        <v>32</v>
      </c>
      <c r="S32" s="39">
        <v>37</v>
      </c>
      <c r="T32" s="44">
        <v>25</v>
      </c>
      <c r="U32" s="39">
        <v>62</v>
      </c>
      <c r="V32" s="39">
        <v>40</v>
      </c>
      <c r="W32" s="44">
        <v>38</v>
      </c>
      <c r="X32" s="39">
        <v>63</v>
      </c>
      <c r="Y32" s="39">
        <v>62</v>
      </c>
      <c r="Z32" s="44">
        <v>58</v>
      </c>
      <c r="AA32" s="39">
        <v>29</v>
      </c>
      <c r="AB32" s="39">
        <v>51</v>
      </c>
      <c r="AC32" s="44">
        <v>68</v>
      </c>
      <c r="AD32" s="39">
        <v>81</v>
      </c>
      <c r="AE32" s="39">
        <v>64</v>
      </c>
      <c r="AF32" s="44">
        <v>40</v>
      </c>
    </row>
    <row r="33" customFormat="1"/>
    <row r="34" customFormat="1" hidden="1"/>
    <row r="35" customFormat="1" hidden="1"/>
    <row r="36" customFormat="1" hidden="1"/>
    <row r="37" customFormat="1" hidden="1"/>
    <row r="38" customFormat="1" hidden="1"/>
    <row r="39" customFormat="1" hidden="1"/>
    <row r="40" customFormat="1" hidden="1"/>
    <row r="41" customFormat="1" hidden="1"/>
    <row r="42" customFormat="1" hidden="1"/>
  </sheetData>
  <sheetProtection algorithmName="SHA-512" hashValue="7RRO3Kyt4j2MMOIUwDOFwPEHg1O5/ofUeSSuszDl8H7QnWNJXXJe5oQQDwHTqMvMWltZOE7cNHPBO0Dytl7wlA==" saltValue="OICpqz83QEUW5a/PNdyWcQ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1FBD-E9FF-45A6-B786-3DBC8BBB0051}">
  <sheetPr codeName="Sheet4"/>
  <dimension ref="B1:P32"/>
  <sheetViews>
    <sheetView showGridLines="0" topLeftCell="A7" workbookViewId="0">
      <selection activeCell="M30" sqref="M30"/>
    </sheetView>
  </sheetViews>
  <sheetFormatPr defaultColWidth="8.85546875" defaultRowHeight="14.45"/>
  <cols>
    <col min="1" max="1" width="5.7109375" style="20" customWidth="1"/>
    <col min="2" max="2" width="10" style="20" customWidth="1"/>
    <col min="3" max="6" width="8.85546875" style="20"/>
    <col min="7" max="8" width="4.28515625" style="20" customWidth="1"/>
    <col min="9" max="9" width="8.85546875" style="20"/>
    <col min="10" max="10" width="10.42578125" style="20" customWidth="1"/>
    <col min="11" max="11" width="9.28515625" style="20" customWidth="1"/>
    <col min="12" max="13" width="8.85546875" style="20"/>
    <col min="14" max="14" width="26.42578125" style="20" customWidth="1"/>
    <col min="15" max="16384" width="8.85546875" style="20"/>
  </cols>
  <sheetData>
    <row r="1" spans="7:16">
      <c r="H1" s="21"/>
      <c r="I1" s="21"/>
      <c r="J1" s="21"/>
      <c r="K1" s="21"/>
      <c r="L1" s="21"/>
      <c r="M1" s="21"/>
      <c r="N1" s="21"/>
      <c r="O1" s="21"/>
      <c r="P1" s="21"/>
    </row>
    <row r="2" spans="7:16">
      <c r="H2" s="21"/>
      <c r="I2" s="21"/>
      <c r="J2" s="21"/>
      <c r="K2" s="21"/>
      <c r="L2" s="21"/>
      <c r="M2" s="21"/>
      <c r="N2" s="21"/>
      <c r="O2" s="21"/>
      <c r="P2" s="21"/>
    </row>
    <row r="3" spans="7:16">
      <c r="G3" s="22"/>
      <c r="H3" s="23"/>
      <c r="I3" s="21"/>
      <c r="J3" s="21"/>
      <c r="K3" s="21"/>
      <c r="L3" s="21"/>
      <c r="M3" s="21"/>
      <c r="N3" s="21"/>
      <c r="O3" s="21"/>
      <c r="P3" s="21"/>
    </row>
    <row r="4" spans="7:16">
      <c r="G4" s="22"/>
      <c r="H4" s="23"/>
      <c r="I4" s="21"/>
      <c r="J4" s="21"/>
      <c r="K4" s="21"/>
      <c r="L4" s="21"/>
      <c r="M4" s="21"/>
      <c r="N4" s="21"/>
      <c r="O4" s="21"/>
      <c r="P4" s="21"/>
    </row>
    <row r="5" spans="7:16">
      <c r="G5" s="22"/>
      <c r="H5" s="23"/>
      <c r="I5" s="21"/>
      <c r="J5" s="21"/>
      <c r="K5" s="21"/>
      <c r="L5" s="21"/>
      <c r="M5" s="21"/>
      <c r="N5" s="21"/>
      <c r="O5" s="21"/>
      <c r="P5" s="21"/>
    </row>
    <row r="6" spans="7:16">
      <c r="G6" s="22"/>
      <c r="H6" s="23"/>
      <c r="I6" s="21" t="s">
        <v>59</v>
      </c>
      <c r="J6" s="21"/>
      <c r="K6" s="21"/>
      <c r="L6" s="21"/>
      <c r="M6" s="21"/>
      <c r="N6" s="21"/>
      <c r="O6" s="21"/>
      <c r="P6" s="21"/>
    </row>
    <row r="7" spans="7:16">
      <c r="G7" s="22"/>
      <c r="H7" s="23"/>
      <c r="I7" s="21" t="s">
        <v>60</v>
      </c>
      <c r="J7" s="21"/>
      <c r="K7" s="21"/>
      <c r="L7" s="21"/>
      <c r="M7" s="21"/>
      <c r="N7" s="21"/>
      <c r="O7" s="21"/>
      <c r="P7" s="21"/>
    </row>
    <row r="8" spans="7:16">
      <c r="G8" s="22"/>
      <c r="H8" s="23"/>
      <c r="I8" s="21"/>
      <c r="J8" s="21"/>
      <c r="K8" s="21"/>
      <c r="L8" s="21"/>
      <c r="M8" s="21"/>
      <c r="N8" s="21"/>
      <c r="O8" s="21"/>
      <c r="P8" s="21"/>
    </row>
    <row r="9" spans="7:16">
      <c r="G9" s="22"/>
      <c r="H9" s="23"/>
      <c r="I9" s="21"/>
      <c r="J9" s="21"/>
      <c r="K9" s="21"/>
      <c r="L9" s="21"/>
      <c r="M9" s="21"/>
      <c r="N9" s="21"/>
      <c r="O9" s="21"/>
      <c r="P9" s="21"/>
    </row>
    <row r="10" spans="7:16">
      <c r="G10" s="22"/>
      <c r="H10" s="23"/>
      <c r="I10" s="21" t="s">
        <v>61</v>
      </c>
      <c r="J10" s="21"/>
      <c r="K10" s="21"/>
      <c r="L10" s="21"/>
      <c r="M10" s="21"/>
      <c r="N10" s="21"/>
      <c r="O10" s="21"/>
      <c r="P10" s="21"/>
    </row>
    <row r="11" spans="7:16">
      <c r="G11" s="22"/>
      <c r="H11" s="23"/>
      <c r="I11" s="21"/>
      <c r="J11" s="21"/>
      <c r="K11" s="21"/>
      <c r="L11" s="21"/>
      <c r="M11" s="21"/>
      <c r="N11" s="21"/>
      <c r="O11" s="21"/>
      <c r="P11" s="21"/>
    </row>
    <row r="12" spans="7:16">
      <c r="G12" s="22"/>
      <c r="H12" s="23"/>
      <c r="I12" s="24"/>
      <c r="J12" s="77" t="s">
        <v>62</v>
      </c>
      <c r="K12" s="77"/>
      <c r="L12" s="78" t="s">
        <v>63</v>
      </c>
      <c r="M12" s="78"/>
      <c r="N12" s="21"/>
      <c r="O12" s="21"/>
      <c r="P12" s="21"/>
    </row>
    <row r="13" spans="7:16">
      <c r="G13" s="22"/>
      <c r="H13" s="23"/>
      <c r="I13" s="24"/>
      <c r="J13" s="77" t="s">
        <v>64</v>
      </c>
      <c r="K13" s="77"/>
      <c r="L13" s="58" t="s">
        <v>65</v>
      </c>
      <c r="M13" s="58"/>
      <c r="N13" s="21"/>
      <c r="O13" s="21"/>
      <c r="P13" s="21"/>
    </row>
    <row r="14" spans="7:16">
      <c r="G14" s="22"/>
      <c r="H14" s="23"/>
      <c r="I14" s="24"/>
      <c r="J14" s="77" t="s">
        <v>66</v>
      </c>
      <c r="K14" s="77"/>
      <c r="L14" s="58" t="s">
        <v>67</v>
      </c>
      <c r="M14" s="25"/>
      <c r="N14" s="21"/>
      <c r="O14" s="21"/>
      <c r="P14" s="21"/>
    </row>
    <row r="15" spans="7:16">
      <c r="G15" s="22"/>
      <c r="H15" s="23"/>
      <c r="I15" s="24"/>
      <c r="J15" s="77" t="s">
        <v>68</v>
      </c>
      <c r="K15" s="77"/>
      <c r="L15" s="58" t="s">
        <v>69</v>
      </c>
      <c r="M15" s="25"/>
      <c r="N15" s="21"/>
      <c r="O15" s="21"/>
      <c r="P15" s="21"/>
    </row>
    <row r="16" spans="7:16">
      <c r="G16" s="22"/>
      <c r="H16" s="23"/>
      <c r="I16" s="24"/>
      <c r="J16" s="77" t="s">
        <v>70</v>
      </c>
      <c r="K16" s="77"/>
      <c r="L16" s="58" t="s">
        <v>71</v>
      </c>
      <c r="M16" s="25"/>
      <c r="N16" s="21"/>
      <c r="O16" s="21"/>
      <c r="P16" s="21"/>
    </row>
    <row r="17" spans="2:16" ht="54.6" customHeight="1">
      <c r="B17" s="71" t="s">
        <v>72</v>
      </c>
      <c r="C17" s="71"/>
      <c r="D17" s="71"/>
      <c r="E17" s="71"/>
      <c r="F17" s="72"/>
      <c r="G17" s="26"/>
      <c r="H17" s="23"/>
      <c r="I17" s="21" t="s">
        <v>73</v>
      </c>
      <c r="J17" s="21"/>
      <c r="K17" s="21"/>
      <c r="L17" s="21"/>
      <c r="M17" s="21"/>
      <c r="N17" s="21"/>
      <c r="O17" s="21"/>
      <c r="P17" s="21"/>
    </row>
    <row r="18" spans="2:16" ht="54.6" customHeight="1">
      <c r="B18" s="73" t="s">
        <v>74</v>
      </c>
      <c r="C18" s="73"/>
      <c r="D18" s="73"/>
      <c r="E18" s="73"/>
      <c r="F18" s="74"/>
      <c r="G18" s="27"/>
      <c r="H18" s="23"/>
      <c r="I18" s="28" t="s">
        <v>75</v>
      </c>
      <c r="J18" s="21"/>
      <c r="K18" s="21"/>
      <c r="L18" s="21"/>
      <c r="M18" s="21"/>
      <c r="N18" s="21"/>
      <c r="O18" s="21"/>
      <c r="P18" s="21"/>
    </row>
    <row r="19" spans="2:16">
      <c r="B19" s="29" t="s">
        <v>76</v>
      </c>
      <c r="H19" s="21"/>
      <c r="J19" s="21"/>
      <c r="K19" s="21"/>
      <c r="L19" s="21"/>
      <c r="M19" s="21"/>
      <c r="N19" s="21"/>
      <c r="O19" s="21"/>
      <c r="P19" s="21"/>
    </row>
    <row r="20" spans="2:16">
      <c r="B20" s="30" t="s">
        <v>77</v>
      </c>
      <c r="C20" s="31" t="s">
        <v>78</v>
      </c>
      <c r="H20" s="21"/>
      <c r="J20" s="21"/>
      <c r="K20" s="21"/>
      <c r="L20" s="21"/>
      <c r="M20" s="21"/>
      <c r="N20" s="21"/>
      <c r="O20" s="21"/>
      <c r="P20" s="21"/>
    </row>
    <row r="21" spans="2:16">
      <c r="B21" s="32" t="s">
        <v>79</v>
      </c>
      <c r="C21" s="31" t="s">
        <v>80</v>
      </c>
      <c r="H21" s="21"/>
      <c r="I21" s="21"/>
      <c r="J21" s="21"/>
      <c r="K21" s="21"/>
      <c r="L21" s="21"/>
      <c r="M21" s="21"/>
      <c r="N21" s="21"/>
      <c r="O21" s="21"/>
      <c r="P21" s="21"/>
    </row>
    <row r="22" spans="2:16">
      <c r="H22" s="21"/>
      <c r="I22" s="21"/>
      <c r="J22" s="21"/>
      <c r="K22" s="21"/>
      <c r="L22" s="21"/>
      <c r="M22" s="21"/>
      <c r="N22" s="21"/>
      <c r="O22" s="21"/>
      <c r="P22" s="21"/>
    </row>
    <row r="23" spans="2:16">
      <c r="N23" s="21"/>
      <c r="O23" s="21"/>
      <c r="P23" s="21"/>
    </row>
    <row r="24" spans="2:16">
      <c r="N24" s="21"/>
      <c r="O24" s="21"/>
      <c r="P24" s="21"/>
    </row>
    <row r="25" spans="2:16">
      <c r="B25" s="75"/>
      <c r="C25" s="76"/>
      <c r="D25" s="76"/>
      <c r="E25" s="76"/>
      <c r="F25" s="76"/>
      <c r="G25" s="76"/>
      <c r="H25" s="76"/>
      <c r="I25" s="76"/>
      <c r="N25" s="21"/>
      <c r="O25" s="21"/>
      <c r="P25" s="21"/>
    </row>
    <row r="26" spans="2:16">
      <c r="B26" s="33"/>
      <c r="C26" s="34"/>
      <c r="D26" s="33"/>
      <c r="E26" s="33"/>
      <c r="F26" s="33"/>
      <c r="G26" s="33"/>
      <c r="H26" s="33"/>
      <c r="I26" s="33"/>
    </row>
    <row r="27" spans="2:16">
      <c r="B27" s="33"/>
      <c r="C27" s="33"/>
      <c r="D27" s="35" t="s">
        <v>81</v>
      </c>
      <c r="E27" s="33"/>
      <c r="F27" s="33"/>
      <c r="G27" s="33"/>
      <c r="H27" s="33"/>
      <c r="I27" s="33"/>
    </row>
    <row r="28" spans="2:16">
      <c r="B28" s="33"/>
      <c r="C28" s="33"/>
      <c r="D28" s="36" t="s">
        <v>82</v>
      </c>
      <c r="E28" s="33"/>
      <c r="F28" s="33"/>
      <c r="G28" s="33"/>
      <c r="H28" s="33"/>
      <c r="I28" s="33"/>
    </row>
    <row r="29" spans="2:16">
      <c r="B29" s="33"/>
      <c r="C29" s="33"/>
      <c r="D29" s="37" t="s">
        <v>83</v>
      </c>
      <c r="E29" s="33"/>
      <c r="F29" s="33"/>
      <c r="G29" s="33"/>
      <c r="H29" s="33"/>
      <c r="I29" s="33"/>
    </row>
    <row r="30" spans="2:16">
      <c r="B30" s="33"/>
      <c r="C30" s="33"/>
      <c r="D30" s="33"/>
      <c r="E30" s="33"/>
      <c r="F30" s="33"/>
      <c r="G30" s="33"/>
      <c r="H30" s="33"/>
      <c r="I30" s="33"/>
    </row>
    <row r="31" spans="2:16">
      <c r="B31" s="33"/>
      <c r="C31" s="33"/>
      <c r="D31" s="33"/>
      <c r="E31" s="33"/>
      <c r="F31" s="33"/>
      <c r="G31" s="33"/>
      <c r="H31" s="33"/>
      <c r="I31" s="33"/>
    </row>
    <row r="32" spans="2:16">
      <c r="B32" s="75"/>
      <c r="C32" s="76"/>
      <c r="D32" s="76"/>
      <c r="E32" s="76"/>
      <c r="F32" s="76"/>
      <c r="G32" s="76"/>
      <c r="H32" s="76"/>
      <c r="I32" s="76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347909F0-24A4-4EB1-94D3-5FC2CAC788DD}"/>
    <hyperlink ref="C21" r:id="rId2" xr:uid="{D0689292-F320-4C45-9189-471CE9A03E33}"/>
    <hyperlink ref="C20" r:id="rId3" xr:uid="{7D57C486-319A-469A-8F87-8A00D807A0F7}"/>
    <hyperlink ref="D29" r:id="rId4" xr:uid="{ABBACBAE-65D2-46A4-9658-5FA19ED15DB4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03C8-2E05-401B-8AC2-B928D7F1CA3B}">
  <sheetPr codeName="Sheet2"/>
  <dimension ref="A1:V70"/>
  <sheetViews>
    <sheetView topLeftCell="A31" workbookViewId="0">
      <selection activeCell="O23" sqref="O23"/>
    </sheetView>
  </sheetViews>
  <sheetFormatPr defaultRowHeight="14.45"/>
  <cols>
    <col min="3" max="3" width="11.7109375" customWidth="1"/>
    <col min="4" max="4" width="10.5703125" customWidth="1"/>
    <col min="5" max="5" width="9.28515625" customWidth="1"/>
    <col min="6" max="6" width="10.28515625" customWidth="1"/>
    <col min="7" max="7" width="13.7109375" customWidth="1"/>
    <col min="8" max="8" width="12.28515625" customWidth="1"/>
    <col min="9" max="9" width="11.7109375" customWidth="1"/>
    <col min="10" max="10" width="10.42578125" customWidth="1"/>
    <col min="15" max="15" width="72.28515625" customWidth="1"/>
  </cols>
  <sheetData>
    <row r="1" spans="1:22">
      <c r="A1" t="s">
        <v>84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O1">
        <v>1</v>
      </c>
      <c r="P1">
        <v>2</v>
      </c>
      <c r="Q1">
        <v>3</v>
      </c>
      <c r="R1">
        <v>4</v>
      </c>
      <c r="S1">
        <v>5</v>
      </c>
      <c r="T1">
        <v>6</v>
      </c>
      <c r="U1">
        <v>7</v>
      </c>
      <c r="V1">
        <v>8</v>
      </c>
    </row>
    <row r="2" spans="1:22">
      <c r="A2" t="s">
        <v>85</v>
      </c>
      <c r="B2">
        <v>1</v>
      </c>
      <c r="C2">
        <f ca="1">'XL-Test'!D45</f>
        <v>257</v>
      </c>
      <c r="D2">
        <f ca="1">'XL-Test'!E45</f>
        <v>-143</v>
      </c>
      <c r="E2">
        <f>'XL-Test'!F45</f>
        <v>1768</v>
      </c>
      <c r="F2">
        <f>'XL-Test'!G45</f>
        <v>1839</v>
      </c>
      <c r="G2">
        <f>'XL-Test'!H45</f>
        <v>19</v>
      </c>
      <c r="H2">
        <f ca="1">'XL-Test'!I45</f>
        <v>367</v>
      </c>
      <c r="I2">
        <f ca="1">'XL-Test'!J45</f>
        <v>1154</v>
      </c>
      <c r="J2">
        <f>'XL-Test'!K45</f>
        <v>1542</v>
      </c>
      <c r="N2">
        <v>1</v>
      </c>
      <c r="O2" t="str">
        <f ca="1">_xlfn.FORMULATEXT('XL-Test'!D45)</f>
        <v>=BYROW(C45:C59;LAMBDA(a;SUM(INDIRECT("'Data Grid'!"&amp;TEXTSPLIT(a;";")))))</v>
      </c>
      <c r="P2" t="str">
        <f ca="1">_xlfn.FORMULATEXT('XL-Test'!E45)</f>
        <v>=BYROW(C45:C59;LAMBDA(a;LET(v;INDIRECT("'Data Grid'!"&amp;TEXTSPLIT(a;";"));2*INDEX(v;1)-SUM(v))))</v>
      </c>
      <c r="Q2" t="str">
        <f ca="1">_xlfn.FORMULATEXT('XL-Test'!F45)</f>
        <v>=TAKE(SORT(BYROW(Grid;LAMBDA(r;SUM(r)));;-1);15)</v>
      </c>
      <c r="R2" t="str">
        <f ca="1">_xlfn.FORMULATEXT('XL-Test'!G45)</f>
        <v>=LARGE(BYCOL(Grid;LAMBDA(k;SUM(k)));SEQUENCE(15))</v>
      </c>
      <c r="S2" t="str">
        <f ca="1">_xlfn.FORMULATEXT('XL-Test'!H45)</f>
        <v>=LARGE(BYROW(Grid;LAMBDA(b;SUM(1-MOD(b;2))));SEQUENCE(15))</v>
      </c>
      <c r="T2" t="str">
        <f ca="1">_xlfn.FORMULATEXT('XL-Test'!I45)</f>
        <v>=LARGE(MAKEARRAY(ROWS(Grid)-1;COLUMNS(Grid)-1;LAMBDA(r;c;SUM(INDEX(Grid;r;c):INDEX(Grid;r+1;c+1))));SEQUENCE(15))</v>
      </c>
      <c r="U2" t="str">
        <f ca="1">_xlfn.FORMULATEXT('XL-Test'!J45)</f>
        <v>=LARGE(MAKEARRAY(ROWS(Grid)-3;COLUMNS(Grid)-3;LAMBDA(r;c;SUM(INDEX(Grid;r;c):INDEX(Grid;r+3;c+3))));SEQUENCE(15))</v>
      </c>
      <c r="V2" t="str">
        <f ca="1">_xlfn.FORMULATEXT('XL-Test'!K45)</f>
        <v>=MAP({1;2;3;4;5;6;7;8;9;10};LAMBDA(i;LET(r;i-1;s;30-r*3;SUM(TAKE(DROP(Grid;r*3);s;s)*MUNIT(s)))))</v>
      </c>
    </row>
    <row r="3" spans="1:22">
      <c r="B3">
        <v>2</v>
      </c>
      <c r="C3">
        <f ca="1">'XL-Test'!D46</f>
        <v>138</v>
      </c>
      <c r="D3">
        <f ca="1">'XL-Test'!E46</f>
        <v>-22</v>
      </c>
      <c r="E3">
        <f>'XL-Test'!F46</f>
        <v>1701</v>
      </c>
      <c r="F3">
        <f>'XL-Test'!G46</f>
        <v>1765</v>
      </c>
      <c r="G3">
        <f>'XL-Test'!H46</f>
        <v>18</v>
      </c>
      <c r="H3">
        <f ca="1">'XL-Test'!I46</f>
        <v>361</v>
      </c>
      <c r="I3">
        <f ca="1">'XL-Test'!J46</f>
        <v>1109</v>
      </c>
      <c r="J3">
        <f>'XL-Test'!K46</f>
        <v>1341</v>
      </c>
      <c r="N3">
        <v>2</v>
      </c>
      <c r="O3" t="str">
        <f ca="1">_xlfn.FORMULATEXT('XL-Test'!E45)</f>
        <v>=BYROW(C45:C59;LAMBDA(a;LET(v;INDIRECT("'Data Grid'!"&amp;TEXTSPLIT(a;";"));2*INDEX(v;1)-SUM(v))))</v>
      </c>
    </row>
    <row r="4" spans="1:22">
      <c r="B4">
        <v>3</v>
      </c>
      <c r="C4">
        <f ca="1">'XL-Test'!D47</f>
        <v>355</v>
      </c>
      <c r="D4">
        <f ca="1">'XL-Test'!E47</f>
        <v>-165</v>
      </c>
      <c r="E4">
        <f>'XL-Test'!F47</f>
        <v>1700</v>
      </c>
      <c r="F4">
        <f>'XL-Test'!G47</f>
        <v>1730</v>
      </c>
      <c r="G4">
        <f>'XL-Test'!H47</f>
        <v>18</v>
      </c>
      <c r="H4">
        <f ca="1">'XL-Test'!I47</f>
        <v>357</v>
      </c>
      <c r="I4">
        <f ca="1">'XL-Test'!J47</f>
        <v>1108</v>
      </c>
      <c r="J4">
        <f>'XL-Test'!K47</f>
        <v>1203</v>
      </c>
      <c r="N4">
        <v>3</v>
      </c>
      <c r="O4" t="str">
        <f ca="1">_xlfn.FORMULATEXT('XL-Test'!F45)</f>
        <v>=TAKE(SORT(BYROW(Grid;LAMBDA(r;SUM(r)));;-1);15)</v>
      </c>
    </row>
    <row r="5" spans="1:22">
      <c r="B5">
        <v>4</v>
      </c>
      <c r="C5">
        <f ca="1">'XL-Test'!D48</f>
        <v>268</v>
      </c>
      <c r="D5">
        <f ca="1">'XL-Test'!E48</f>
        <v>-94</v>
      </c>
      <c r="E5">
        <f>'XL-Test'!F48</f>
        <v>1686</v>
      </c>
      <c r="F5">
        <f>'XL-Test'!G48</f>
        <v>1659</v>
      </c>
      <c r="G5">
        <f>'XL-Test'!H48</f>
        <v>17</v>
      </c>
      <c r="H5">
        <f ca="1">'XL-Test'!I48</f>
        <v>349</v>
      </c>
      <c r="I5">
        <f ca="1">'XL-Test'!J48</f>
        <v>1104</v>
      </c>
      <c r="J5">
        <f>'XL-Test'!K48</f>
        <v>1022</v>
      </c>
      <c r="N5">
        <v>4</v>
      </c>
      <c r="O5" t="str">
        <f ca="1">_xlfn.FORMULATEXT('XL-Test'!G45)</f>
        <v>=LARGE(BYCOL(Grid;LAMBDA(k;SUM(k)));SEQUENCE(15))</v>
      </c>
    </row>
    <row r="6" spans="1:22">
      <c r="B6">
        <v>5</v>
      </c>
      <c r="C6">
        <f ca="1">'XL-Test'!D49</f>
        <v>215</v>
      </c>
      <c r="D6">
        <f ca="1">'XL-Test'!E49</f>
        <v>-89</v>
      </c>
      <c r="E6">
        <f>'XL-Test'!F49</f>
        <v>1676</v>
      </c>
      <c r="F6">
        <f>'XL-Test'!G49</f>
        <v>1639</v>
      </c>
      <c r="G6">
        <f>'XL-Test'!H49</f>
        <v>17</v>
      </c>
      <c r="H6">
        <f ca="1">'XL-Test'!I49</f>
        <v>347</v>
      </c>
      <c r="I6">
        <f ca="1">'XL-Test'!J49</f>
        <v>1102</v>
      </c>
      <c r="J6">
        <f>'XL-Test'!K49</f>
        <v>908</v>
      </c>
      <c r="N6">
        <v>5</v>
      </c>
      <c r="O6" t="str">
        <f ca="1">_xlfn.FORMULATEXT('XL-Test'!H45)</f>
        <v>=LARGE(BYROW(Grid;LAMBDA(b;SUM(1-MOD(b;2))));SEQUENCE(15))</v>
      </c>
    </row>
    <row r="7" spans="1:22">
      <c r="B7">
        <v>6</v>
      </c>
      <c r="C7">
        <f ca="1">'XL-Test'!D50</f>
        <v>195</v>
      </c>
      <c r="D7">
        <f ca="1">'XL-Test'!E50</f>
        <v>-65</v>
      </c>
      <c r="E7">
        <f>'XL-Test'!F50</f>
        <v>1641</v>
      </c>
      <c r="F7">
        <f>'XL-Test'!G50</f>
        <v>1616</v>
      </c>
      <c r="G7">
        <f>'XL-Test'!H50</f>
        <v>16</v>
      </c>
      <c r="H7">
        <f ca="1">'XL-Test'!I50</f>
        <v>344</v>
      </c>
      <c r="I7">
        <f ca="1">'XL-Test'!J50</f>
        <v>1098</v>
      </c>
      <c r="J7">
        <f>'XL-Test'!K50</f>
        <v>688</v>
      </c>
      <c r="N7">
        <v>6</v>
      </c>
      <c r="O7" t="str">
        <f ca="1">_xlfn.FORMULATEXT('XL-Test'!I45)</f>
        <v>=LARGE(MAKEARRAY(ROWS(Grid)-1;COLUMNS(Grid)-1;LAMBDA(r;c;SUM(INDEX(Grid;r;c):INDEX(Grid;r+1;c+1))));SEQUENCE(15))</v>
      </c>
    </row>
    <row r="8" spans="1:22">
      <c r="B8">
        <v>7</v>
      </c>
      <c r="C8">
        <f ca="1">'XL-Test'!D51</f>
        <v>327</v>
      </c>
      <c r="D8">
        <f ca="1">'XL-Test'!E51</f>
        <v>-161</v>
      </c>
      <c r="E8">
        <f>'XL-Test'!F51</f>
        <v>1633</v>
      </c>
      <c r="F8">
        <f>'XL-Test'!G51</f>
        <v>1564</v>
      </c>
      <c r="G8">
        <f>'XL-Test'!H51</f>
        <v>16</v>
      </c>
      <c r="H8">
        <f ca="1">'XL-Test'!I51</f>
        <v>339</v>
      </c>
      <c r="I8">
        <f ca="1">'XL-Test'!J51</f>
        <v>1092</v>
      </c>
      <c r="J8">
        <f>'XL-Test'!K51</f>
        <v>607</v>
      </c>
      <c r="N8">
        <v>7</v>
      </c>
      <c r="O8" t="str">
        <f ca="1">_xlfn.FORMULATEXT('XL-Test'!J45)</f>
        <v>=LARGE(MAKEARRAY(ROWS(Grid)-3;COLUMNS(Grid)-3;LAMBDA(r;c;SUM(INDEX(Grid;r;c):INDEX(Grid;r+3;c+3))));SEQUENCE(15))</v>
      </c>
    </row>
    <row r="9" spans="1:22">
      <c r="B9">
        <v>8</v>
      </c>
      <c r="C9">
        <f ca="1">'XL-Test'!D52</f>
        <v>230</v>
      </c>
      <c r="D9">
        <f ca="1">'XL-Test'!E52</f>
        <v>-190</v>
      </c>
      <c r="E9">
        <f>'XL-Test'!F52</f>
        <v>1628</v>
      </c>
      <c r="F9">
        <f>'XL-Test'!G52</f>
        <v>1561</v>
      </c>
      <c r="G9">
        <f>'XL-Test'!H52</f>
        <v>16</v>
      </c>
      <c r="H9">
        <f ca="1">'XL-Test'!I52</f>
        <v>330</v>
      </c>
      <c r="I9">
        <f ca="1">'XL-Test'!J52</f>
        <v>1089</v>
      </c>
      <c r="J9">
        <f>'XL-Test'!K52</f>
        <v>376</v>
      </c>
      <c r="N9">
        <v>8</v>
      </c>
      <c r="O9" t="str">
        <f ca="1">_xlfn.FORMULATEXT('XL-Test'!K45)</f>
        <v>=MAP({1;2;3;4;5;6;7;8;9;10};LAMBDA(i;LET(r;i-1;s;30-r*3;SUM(TAKE(DROP(Grid;r*3);s;s)*MUNIT(s)))))</v>
      </c>
    </row>
    <row r="10" spans="1:22">
      <c r="B10">
        <v>9</v>
      </c>
      <c r="C10">
        <f ca="1">'XL-Test'!D53</f>
        <v>178</v>
      </c>
      <c r="D10">
        <f ca="1">'XL-Test'!E53</f>
        <v>-104</v>
      </c>
      <c r="E10">
        <f>'XL-Test'!F53</f>
        <v>1617</v>
      </c>
      <c r="F10">
        <f>'XL-Test'!G53</f>
        <v>1555</v>
      </c>
      <c r="G10">
        <f>'XL-Test'!H53</f>
        <v>16</v>
      </c>
      <c r="H10">
        <f ca="1">'XL-Test'!I53</f>
        <v>329</v>
      </c>
      <c r="I10">
        <f ca="1">'XL-Test'!J53</f>
        <v>1082</v>
      </c>
      <c r="J10">
        <f>'XL-Test'!K53</f>
        <v>336</v>
      </c>
    </row>
    <row r="11" spans="1:22">
      <c r="B11">
        <v>10</v>
      </c>
      <c r="C11">
        <f ca="1">'XL-Test'!D54</f>
        <v>177</v>
      </c>
      <c r="D11">
        <f ca="1">'XL-Test'!E54</f>
        <v>7</v>
      </c>
      <c r="E11">
        <f>'XL-Test'!F54</f>
        <v>1614</v>
      </c>
      <c r="F11">
        <f>'XL-Test'!G54</f>
        <v>1543</v>
      </c>
      <c r="G11">
        <f>'XL-Test'!H54</f>
        <v>16</v>
      </c>
      <c r="H11">
        <f ca="1">'XL-Test'!I54</f>
        <v>327</v>
      </c>
      <c r="I11">
        <f ca="1">'XL-Test'!J54</f>
        <v>1074</v>
      </c>
      <c r="J11">
        <f>'XL-Test'!K54</f>
        <v>124</v>
      </c>
    </row>
    <row r="12" spans="1:22">
      <c r="B12">
        <v>11</v>
      </c>
      <c r="C12">
        <f ca="1">'XL-Test'!D55</f>
        <v>316</v>
      </c>
      <c r="D12">
        <f ca="1">'XL-Test'!E55</f>
        <v>-182</v>
      </c>
      <c r="E12">
        <f>'XL-Test'!F55</f>
        <v>1594</v>
      </c>
      <c r="F12">
        <f>'XL-Test'!G55</f>
        <v>1539</v>
      </c>
      <c r="G12">
        <f>'XL-Test'!H55</f>
        <v>15</v>
      </c>
      <c r="H12">
        <f ca="1">'XL-Test'!I55</f>
        <v>326</v>
      </c>
      <c r="I12">
        <f ca="1">'XL-Test'!J55</f>
        <v>1068</v>
      </c>
      <c r="J12">
        <f>'XL-Test'!K55</f>
        <v>0</v>
      </c>
    </row>
    <row r="13" spans="1:22">
      <c r="B13">
        <v>12</v>
      </c>
      <c r="C13">
        <f ca="1">'XL-Test'!D56</f>
        <v>300</v>
      </c>
      <c r="D13">
        <f ca="1">'XL-Test'!E56</f>
        <v>-116</v>
      </c>
      <c r="E13">
        <f>'XL-Test'!F56</f>
        <v>1593</v>
      </c>
      <c r="F13">
        <f>'XL-Test'!G56</f>
        <v>1528</v>
      </c>
      <c r="G13">
        <f>'XL-Test'!H56</f>
        <v>15</v>
      </c>
      <c r="H13">
        <f ca="1">'XL-Test'!I56</f>
        <v>324</v>
      </c>
      <c r="I13">
        <f ca="1">'XL-Test'!J56</f>
        <v>1068</v>
      </c>
      <c r="J13">
        <f>'XL-Test'!K56</f>
        <v>0</v>
      </c>
    </row>
    <row r="14" spans="1:22">
      <c r="B14">
        <v>13</v>
      </c>
      <c r="C14">
        <f ca="1">'XL-Test'!D57</f>
        <v>289</v>
      </c>
      <c r="D14">
        <f ca="1">'XL-Test'!E57</f>
        <v>-249</v>
      </c>
      <c r="E14">
        <f>'XL-Test'!F57</f>
        <v>1592</v>
      </c>
      <c r="F14">
        <f>'XL-Test'!G57</f>
        <v>1509</v>
      </c>
      <c r="G14">
        <f>'XL-Test'!H57</f>
        <v>15</v>
      </c>
      <c r="H14">
        <f ca="1">'XL-Test'!I57</f>
        <v>322</v>
      </c>
      <c r="I14">
        <f ca="1">'XL-Test'!J57</f>
        <v>1064</v>
      </c>
      <c r="J14">
        <f>'XL-Test'!K57</f>
        <v>0</v>
      </c>
    </row>
    <row r="15" spans="1:22">
      <c r="B15">
        <v>14</v>
      </c>
      <c r="C15">
        <f ca="1">'XL-Test'!D58</f>
        <v>429</v>
      </c>
      <c r="D15">
        <f ca="1">'XL-Test'!E58</f>
        <v>-245</v>
      </c>
      <c r="E15">
        <f>'XL-Test'!F58</f>
        <v>1554</v>
      </c>
      <c r="F15">
        <f>'XL-Test'!G58</f>
        <v>1494</v>
      </c>
      <c r="G15">
        <f>'XL-Test'!H58</f>
        <v>15</v>
      </c>
      <c r="H15">
        <f ca="1">'XL-Test'!I58</f>
        <v>321</v>
      </c>
      <c r="I15">
        <f ca="1">'XL-Test'!J58</f>
        <v>1056</v>
      </c>
      <c r="J15">
        <f>'XL-Test'!K58</f>
        <v>0</v>
      </c>
    </row>
    <row r="16" spans="1:22">
      <c r="B16">
        <v>15</v>
      </c>
      <c r="C16">
        <f ca="1">'XL-Test'!D59</f>
        <v>123</v>
      </c>
      <c r="D16">
        <f ca="1">'XL-Test'!E59</f>
        <v>63</v>
      </c>
      <c r="E16">
        <f>'XL-Test'!F59</f>
        <v>1523</v>
      </c>
      <c r="F16">
        <f>'XL-Test'!G59</f>
        <v>1483</v>
      </c>
      <c r="G16">
        <f>'XL-Test'!H59</f>
        <v>15</v>
      </c>
      <c r="H16">
        <f ca="1">'XL-Test'!I59</f>
        <v>318</v>
      </c>
      <c r="I16">
        <f ca="1">'XL-Test'!J59</f>
        <v>1054</v>
      </c>
      <c r="J16">
        <f>'XL-Test'!K59</f>
        <v>0</v>
      </c>
    </row>
    <row r="19" spans="2:10">
      <c r="C19">
        <f ca="1">SUM(C2:C17)+C3+C5+C8+C10+C12+C14+C16</f>
        <v>5436</v>
      </c>
      <c r="D19">
        <f ca="1">ABS(SUM(D2:D17)+D3+D5+D8+D10+D12+D14+D16)</f>
        <v>2504</v>
      </c>
      <c r="E19">
        <f>SUM(E2:E17)+E3+E5+E8+E10+E12+E14+E16</f>
        <v>35866</v>
      </c>
      <c r="F19">
        <f>SUM(F2:F17)+F3+F5+F8+F10+F12+F14+F16</f>
        <v>35098</v>
      </c>
      <c r="G19">
        <f>SUM(G2:G17)+G3+G5+G8+G10+G12+G14+G16</f>
        <v>356</v>
      </c>
      <c r="H19">
        <f ca="1">SUM(H2:H17)+H3+H5+H8+H10+H12+H14+H16</f>
        <v>7405</v>
      </c>
      <c r="I19">
        <f ca="1">SUM(I2:I17)+I3+I5+I8+I10+I12+I14+I16</f>
        <v>23895</v>
      </c>
      <c r="J19">
        <f>SUM(J2:J17)+J3+J5+J8+J10+J12+J14+J16+J6</f>
        <v>12361</v>
      </c>
    </row>
    <row r="20" spans="2:10">
      <c r="C20">
        <f ca="1">C19</f>
        <v>5436</v>
      </c>
      <c r="D20">
        <f t="shared" ref="D20:J20" ca="1" si="0">D19</f>
        <v>2504</v>
      </c>
      <c r="E20">
        <f t="shared" si="0"/>
        <v>35866</v>
      </c>
      <c r="F20">
        <f t="shared" si="0"/>
        <v>35098</v>
      </c>
      <c r="G20">
        <f t="shared" si="0"/>
        <v>356</v>
      </c>
      <c r="H20">
        <f t="shared" ca="1" si="0"/>
        <v>7405</v>
      </c>
      <c r="I20">
        <f t="shared" ca="1" si="0"/>
        <v>23895</v>
      </c>
      <c r="J20">
        <f t="shared" si="0"/>
        <v>12361</v>
      </c>
    </row>
    <row r="22" spans="2:10">
      <c r="B22" t="s">
        <v>86</v>
      </c>
      <c r="C22">
        <v>1740</v>
      </c>
      <c r="D22">
        <v>3392</v>
      </c>
      <c r="E22">
        <v>1774</v>
      </c>
      <c r="F22">
        <v>1496</v>
      </c>
      <c r="G22">
        <v>1860</v>
      </c>
      <c r="H22">
        <v>9078</v>
      </c>
      <c r="I22">
        <v>4070</v>
      </c>
      <c r="J22">
        <v>4178</v>
      </c>
    </row>
    <row r="24" spans="2:10">
      <c r="B24" t="b">
        <v>1</v>
      </c>
      <c r="C24" t="str">
        <f>LEFT(DEC2HEX(C22+COLUMN()),2)</f>
        <v>6C</v>
      </c>
      <c r="D24" t="str">
        <f t="shared" ref="D24:J24" si="1">LEFT(DEC2HEX(D22+COLUMN()),2)</f>
        <v>D4</v>
      </c>
      <c r="E24" t="str">
        <f t="shared" si="1"/>
        <v>6F</v>
      </c>
      <c r="F24" t="str">
        <f t="shared" si="1"/>
        <v>5D</v>
      </c>
      <c r="G24" t="str">
        <f t="shared" si="1"/>
        <v>74</v>
      </c>
      <c r="H24" t="str">
        <f t="shared" si="1"/>
        <v>23</v>
      </c>
      <c r="I24" t="str">
        <f t="shared" si="1"/>
        <v>FE</v>
      </c>
      <c r="J24" t="str">
        <f t="shared" si="1"/>
        <v>10</v>
      </c>
    </row>
    <row r="25" spans="2:10">
      <c r="B25" t="b">
        <v>0</v>
      </c>
      <c r="C25" t="str">
        <f>RIGHT(DEC2HEX(C22+COLUMN()),2)</f>
        <v>CF</v>
      </c>
      <c r="D25" t="str">
        <f t="shared" ref="D25:J25" si="2">RIGHT(DEC2HEX(D22+COLUMN()),2)</f>
        <v>44</v>
      </c>
      <c r="E25" t="str">
        <f t="shared" si="2"/>
        <v>F3</v>
      </c>
      <c r="F25" t="str">
        <f t="shared" si="2"/>
        <v>DE</v>
      </c>
      <c r="G25" t="str">
        <f t="shared" si="2"/>
        <v>4B</v>
      </c>
      <c r="H25" t="str">
        <f t="shared" si="2"/>
        <v>7E</v>
      </c>
      <c r="I25" t="str">
        <f t="shared" si="2"/>
        <v>EF</v>
      </c>
      <c r="J25" t="str">
        <f t="shared" si="2"/>
        <v>5C</v>
      </c>
    </row>
    <row r="27" spans="2:10">
      <c r="B27" t="s">
        <v>87</v>
      </c>
      <c r="C27" t="b">
        <f ca="1">NOT(OR(C2=0,C2=""))</f>
        <v>1</v>
      </c>
      <c r="D27" t="b">
        <f t="shared" ref="D27:J27" ca="1" si="3">NOT(OR(D2=0,D2=""))</f>
        <v>1</v>
      </c>
      <c r="E27" t="b">
        <f t="shared" si="3"/>
        <v>1</v>
      </c>
      <c r="F27" t="b">
        <f t="shared" si="3"/>
        <v>1</v>
      </c>
      <c r="G27" t="b">
        <f t="shared" si="3"/>
        <v>1</v>
      </c>
      <c r="H27" t="b">
        <f t="shared" ca="1" si="3"/>
        <v>1</v>
      </c>
      <c r="I27" t="b">
        <f t="shared" ca="1" si="3"/>
        <v>1</v>
      </c>
      <c r="J27" t="b">
        <f t="shared" si="3"/>
        <v>1</v>
      </c>
    </row>
    <row r="28" spans="2:10">
      <c r="B28" t="s">
        <v>88</v>
      </c>
      <c r="C28" t="b">
        <f ca="1">AND(ISNUMBER(FIND("=",O2)),ISNUMBER(FIND("(",O2)),ISNUMBER(FIND("Grid",O2)))</f>
        <v>1</v>
      </c>
      <c r="D28" t="b">
        <f t="shared" ref="D28:J28" ca="1" si="4">AND(ISNUMBER(FIND("=",P2)),ISNUMBER(FIND("(",P2)),ISNUMBER(FIND("Grid",P2)))</f>
        <v>1</v>
      </c>
      <c r="E28" t="b">
        <f t="shared" ca="1" si="4"/>
        <v>1</v>
      </c>
      <c r="F28" t="b">
        <f t="shared" ca="1" si="4"/>
        <v>1</v>
      </c>
      <c r="G28" t="b">
        <f t="shared" ca="1" si="4"/>
        <v>1</v>
      </c>
      <c r="H28" t="b">
        <f t="shared" ca="1" si="4"/>
        <v>1</v>
      </c>
      <c r="I28" t="b">
        <f t="shared" ca="1" si="4"/>
        <v>1</v>
      </c>
      <c r="J28" t="b">
        <f t="shared" ca="1" si="4"/>
        <v>1</v>
      </c>
    </row>
    <row r="29" spans="2:10">
      <c r="B29" t="s">
        <v>89</v>
      </c>
      <c r="C29" t="b">
        <f t="shared" ref="C29:J29" ca="1" si="5">C61</f>
        <v>1</v>
      </c>
      <c r="D29" t="b">
        <f t="shared" ca="1" si="5"/>
        <v>1</v>
      </c>
      <c r="E29" t="b">
        <f t="shared" ca="1" si="5"/>
        <v>1</v>
      </c>
      <c r="F29" t="b">
        <f t="shared" ca="1" si="5"/>
        <v>1</v>
      </c>
      <c r="G29" t="b">
        <f t="shared" ca="1" si="5"/>
        <v>1</v>
      </c>
      <c r="H29" t="b">
        <f t="shared" ca="1" si="5"/>
        <v>1</v>
      </c>
      <c r="I29" t="b">
        <f t="shared" ca="1" si="5"/>
        <v>1</v>
      </c>
      <c r="J29" t="b">
        <f t="shared" ca="1" si="5"/>
        <v>1</v>
      </c>
    </row>
    <row r="31" spans="2:10">
      <c r="B31" t="s">
        <v>90</v>
      </c>
      <c r="C31" t="b">
        <f ca="1">AND(C27:C29)</f>
        <v>1</v>
      </c>
      <c r="D31" t="b">
        <f t="shared" ref="D31:J31" ca="1" si="6">AND(D27:D29)</f>
        <v>1</v>
      </c>
      <c r="E31" t="b">
        <f t="shared" ca="1" si="6"/>
        <v>1</v>
      </c>
      <c r="F31" t="b">
        <f t="shared" ca="1" si="6"/>
        <v>1</v>
      </c>
      <c r="G31" t="b">
        <f t="shared" ca="1" si="6"/>
        <v>1</v>
      </c>
      <c r="H31" t="b">
        <f t="shared" ca="1" si="6"/>
        <v>1</v>
      </c>
      <c r="I31" t="b">
        <f t="shared" ca="1" si="6"/>
        <v>1</v>
      </c>
      <c r="J31" t="b">
        <f t="shared" ca="1" si="6"/>
        <v>1</v>
      </c>
    </row>
    <row r="33" spans="2:10">
      <c r="B33" t="s">
        <v>91</v>
      </c>
      <c r="C33" t="b">
        <f ca="1">AND(ISNUMBER(SEARCH("=",O2)),ISNUMBER(SEARCH("(",O2)),ISERROR(FIND(":F",SUBSTITUTE(O2,"$",""))),ISERROR(FIND(":G",SUBSTITUTE(O2,"$",""))),ISERROR(FIND(":H",SUBSTITUTE(O2,"$",""))),ISERROR(FIND(":M",SUBSTITUTE(O2,"$",""))),ISERROR(FIND(":N",SUBSTITUTE(O2,"$",""))),ISERROR(FIND(":O",SUBSTITUTE(O2,"$",""))))</f>
        <v>1</v>
      </c>
      <c r="D33" t="b">
        <f t="shared" ref="D33:I33" ca="1" si="7">AND(ISNUMBER(SEARCH("=",P2)),ISNUMBER(SEARCH("(",P2)),ISERROR(FIND(":F",SUBSTITUTE(P2,"$",""))),ISERROR(FIND(":G",SUBSTITUTE(P2,"$",""))),ISERROR(FIND(":H",SUBSTITUTE(P2,"$",""))),ISERROR(FIND(":M",SUBSTITUTE(P2,"$",""))),ISERROR(FIND(":N",SUBSTITUTE(P2,"$",""))),ISERROR(FIND(":O",SUBSTITUTE(P2,"$",""))))</f>
        <v>1</v>
      </c>
      <c r="E33" t="b">
        <f t="shared" ca="1" si="7"/>
        <v>1</v>
      </c>
      <c r="F33" t="b">
        <f t="shared" ca="1" si="7"/>
        <v>1</v>
      </c>
      <c r="G33" t="b">
        <f t="shared" ca="1" si="7"/>
        <v>1</v>
      </c>
      <c r="H33" t="b">
        <f t="shared" ca="1" si="7"/>
        <v>1</v>
      </c>
      <c r="I33" t="b">
        <f t="shared" ca="1" si="7"/>
        <v>1</v>
      </c>
      <c r="J33" t="b">
        <f ca="1">AND(ISNUMBER(SEARCH("=",V2)))</f>
        <v>1</v>
      </c>
    </row>
    <row r="37" spans="2:10">
      <c r="B37" t="s">
        <v>91</v>
      </c>
      <c r="C37" t="b">
        <f ca="1">AND(ISNUMBER(SEARCH("LAMBDA",O2)),ISNUMBER(SEARCH("GRID",O2)),ISNUMBER(FIND("SUM",O2)))</f>
        <v>1</v>
      </c>
      <c r="D37" t="b">
        <f ca="1">AND(ISNUMBER(SEARCH("LAMBDA",P2)),ISNUMBER(SEARCH("GRID",P2)),ISNUMBER(FIND("SUM",P2)))</f>
        <v>1</v>
      </c>
      <c r="E37" t="b">
        <f ca="1">AND(OR(ISNUMBER(SEARCH("TAKE",Q2)),ISNUMBER(SEARCH("LARGE",Q2)),ISNUMBER(SEARCH("DRO",Q2))),ISNUMBER(SEARCH("GRID",Q2)),ISNUMBER(FIND("SUM",Q2)))</f>
        <v>1</v>
      </c>
      <c r="F37" t="b">
        <f ca="1">AND(OR(ISNUMBER(SEARCH("TAKE",R2)),ISNUMBER(SEARCH("LARGE",R2)),ISNUMBER(SEARCH("DRO",R2))),ISNUMBER(SEARCH("GRID",R2)),ISNUMBER(FIND("SUM",R2)))</f>
        <v>1</v>
      </c>
      <c r="G37" t="b">
        <f ca="1">AND(OR(ISNUMBER(SEARCH("TAKE",S2)),ISNUMBER(SEARCH("LARGE",S2)),ISNUMBER(SEARCH("DRO",S2))),ISNUMBER(SEARCH("GRID",S2)),ISNUMBER(FIND("SUM",S2)))</f>
        <v>1</v>
      </c>
      <c r="H37" t="b">
        <f ca="1">AND(OR(ISNUMBER(SEARCH("TAKE",T2)),ISNUMBER(SEARCH("LARGE",T2)),ISNUMBER(SEARCH("DRO",T2))),ISNUMBER(SEARCH("GRID",T2)),ISNUMBER(FIND("SUM",T2)))</f>
        <v>1</v>
      </c>
      <c r="I37" t="b">
        <f ca="1">AND(OR(ISNUMBER(SEARCH("TAKE",U2)),ISNUMBER(SEARCH("LARGE",U2)),ISNUMBER(SEARCH("DRO",U2))),ISNUMBER(SEARCH("GRID",U2)),ISNUMBER(FIND("SUM",U2)))</f>
        <v>1</v>
      </c>
      <c r="J37" t="b">
        <f ca="1">AND(ISNUMBER(SEARCH("MUNIT",V2)),ISNUMBER(SEARCH("GRID",V2)),ISNUMBER(FIND("SUM",SUBSTITUTE(V2,"$",""))))</f>
        <v>1</v>
      </c>
    </row>
    <row r="38" spans="2:10">
      <c r="C38">
        <f ca="1">IFERROR(LEN(O2)-LEN(SUBSTITUTE(O2,"(","")),999)</f>
        <v>5</v>
      </c>
      <c r="D38">
        <f t="shared" ref="D38:J38" ca="1" si="8">IFERROR(LEN(P2)-LEN(SUBSTITUTE(P2,"(","")),999)</f>
        <v>7</v>
      </c>
      <c r="E38">
        <f t="shared" ca="1" si="8"/>
        <v>5</v>
      </c>
      <c r="F38">
        <f t="shared" ca="1" si="8"/>
        <v>5</v>
      </c>
      <c r="G38">
        <f t="shared" ca="1" si="8"/>
        <v>6</v>
      </c>
      <c r="H38">
        <f t="shared" ca="1" si="8"/>
        <v>9</v>
      </c>
      <c r="I38">
        <f t="shared" ca="1" si="8"/>
        <v>9</v>
      </c>
      <c r="J38">
        <f t="shared" ca="1" si="8"/>
        <v>7</v>
      </c>
    </row>
    <row r="39" spans="2:10">
      <c r="C39">
        <v>9</v>
      </c>
      <c r="D39">
        <v>12</v>
      </c>
      <c r="E39">
        <v>5</v>
      </c>
      <c r="F39">
        <v>6</v>
      </c>
      <c r="G39">
        <v>6</v>
      </c>
      <c r="H39">
        <v>10</v>
      </c>
      <c r="I39">
        <v>10</v>
      </c>
      <c r="J39">
        <v>7</v>
      </c>
    </row>
    <row r="40" spans="2:10">
      <c r="C40" t="b">
        <f ca="1">C38&lt;=C39</f>
        <v>1</v>
      </c>
      <c r="D40" t="b">
        <f t="shared" ref="D40:J40" ca="1" si="9">D38&lt;=D39</f>
        <v>1</v>
      </c>
      <c r="E40" t="b">
        <f t="shared" ca="1" si="9"/>
        <v>1</v>
      </c>
      <c r="F40" t="b">
        <f t="shared" ca="1" si="9"/>
        <v>1</v>
      </c>
      <c r="G40" t="b">
        <f t="shared" ca="1" si="9"/>
        <v>1</v>
      </c>
      <c r="H40" t="b">
        <f t="shared" ca="1" si="9"/>
        <v>1</v>
      </c>
      <c r="I40" t="b">
        <f t="shared" ca="1" si="9"/>
        <v>1</v>
      </c>
      <c r="J40" t="b">
        <f t="shared" ca="1" si="9"/>
        <v>1</v>
      </c>
    </row>
    <row r="41" spans="2:10">
      <c r="B41" t="s">
        <v>92</v>
      </c>
      <c r="C41" t="b">
        <f ca="1">AND(C40,C37)</f>
        <v>1</v>
      </c>
      <c r="D41" t="b">
        <f t="shared" ref="D41:J41" ca="1" si="10">AND(D40,D37)</f>
        <v>1</v>
      </c>
      <c r="E41" t="b">
        <f t="shared" ca="1" si="10"/>
        <v>1</v>
      </c>
      <c r="F41" t="b">
        <f t="shared" ca="1" si="10"/>
        <v>1</v>
      </c>
      <c r="G41" t="b">
        <f t="shared" ca="1" si="10"/>
        <v>1</v>
      </c>
      <c r="H41" t="b">
        <f t="shared" ca="1" si="10"/>
        <v>1</v>
      </c>
      <c r="I41" t="b">
        <f t="shared" ca="1" si="10"/>
        <v>1</v>
      </c>
      <c r="J41" t="b">
        <f t="shared" ca="1" si="10"/>
        <v>1</v>
      </c>
    </row>
    <row r="44" spans="2:10">
      <c r="B44">
        <v>1</v>
      </c>
      <c r="C44">
        <f ca="1">IFERROR(LEN(_xlfn.FORMULATEXT('XL-Test'!D45)),0)</f>
        <v>72</v>
      </c>
      <c r="D44">
        <f ca="1">IFERROR(LEN(_xlfn.FORMULATEXT('XL-Test'!E45)),0)</f>
        <v>94</v>
      </c>
      <c r="E44">
        <f ca="1">IFERROR(LEN(_xlfn.FORMULATEXT('XL-Test'!F45)),0)</f>
        <v>48</v>
      </c>
      <c r="F44">
        <f ca="1">IFERROR(LEN(_xlfn.FORMULATEXT('XL-Test'!G45)),0)</f>
        <v>49</v>
      </c>
      <c r="G44">
        <f ca="1">IFERROR(LEN(_xlfn.FORMULATEXT('XL-Test'!H45)),0)</f>
        <v>58</v>
      </c>
      <c r="H44">
        <f ca="1">IFERROR(LEN(_xlfn.FORMULATEXT('XL-Test'!I45)),0)</f>
        <v>113</v>
      </c>
      <c r="I44">
        <f ca="1">IFERROR(LEN(_xlfn.FORMULATEXT('XL-Test'!J45)),0)</f>
        <v>113</v>
      </c>
      <c r="J44">
        <f ca="1">IFERROR(LEN(_xlfn.FORMULATEXT('XL-Test'!K45)),0)</f>
        <v>97</v>
      </c>
    </row>
    <row r="45" spans="2:10">
      <c r="B45">
        <v>2</v>
      </c>
      <c r="C45">
        <f ca="1">IFERROR(LEN(_xlfn.FORMULATEXT('XL-Test'!D46)),0)</f>
        <v>0</v>
      </c>
      <c r="D45">
        <f ca="1">IFERROR(LEN(_xlfn.FORMULATEXT('XL-Test'!E46)),0)</f>
        <v>0</v>
      </c>
      <c r="E45">
        <f ca="1">IFERROR(LEN(_xlfn.FORMULATEXT('XL-Test'!F46)),0)</f>
        <v>0</v>
      </c>
      <c r="F45">
        <f ca="1">IFERROR(LEN(_xlfn.FORMULATEXT('XL-Test'!G46)),0)</f>
        <v>0</v>
      </c>
      <c r="G45">
        <f ca="1">IFERROR(LEN(_xlfn.FORMULATEXT('XL-Test'!H46)),0)</f>
        <v>0</v>
      </c>
      <c r="H45">
        <f ca="1">IFERROR(LEN(_xlfn.FORMULATEXT('XL-Test'!I46)),0)</f>
        <v>0</v>
      </c>
      <c r="I45">
        <f ca="1">IFERROR(LEN(_xlfn.FORMULATEXT('XL-Test'!J46)),0)</f>
        <v>0</v>
      </c>
      <c r="J45">
        <f ca="1">IFERROR(LEN(_xlfn.FORMULATEXT('XL-Test'!K46)),0)</f>
        <v>0</v>
      </c>
    </row>
    <row r="46" spans="2:10">
      <c r="B46">
        <v>3</v>
      </c>
      <c r="C46">
        <f ca="1">IFERROR(LEN(_xlfn.FORMULATEXT('XL-Test'!D47)),0)</f>
        <v>0</v>
      </c>
      <c r="D46">
        <f ca="1">IFERROR(LEN(_xlfn.FORMULATEXT('XL-Test'!E47)),0)</f>
        <v>0</v>
      </c>
      <c r="E46">
        <f ca="1">IFERROR(LEN(_xlfn.FORMULATEXT('XL-Test'!F47)),0)</f>
        <v>0</v>
      </c>
      <c r="F46">
        <f ca="1">IFERROR(LEN(_xlfn.FORMULATEXT('XL-Test'!G47)),0)</f>
        <v>0</v>
      </c>
      <c r="G46">
        <f ca="1">IFERROR(LEN(_xlfn.FORMULATEXT('XL-Test'!H47)),0)</f>
        <v>0</v>
      </c>
      <c r="H46">
        <f ca="1">IFERROR(LEN(_xlfn.FORMULATEXT('XL-Test'!I47)),0)</f>
        <v>0</v>
      </c>
      <c r="I46">
        <f ca="1">IFERROR(LEN(_xlfn.FORMULATEXT('XL-Test'!J47)),0)</f>
        <v>0</v>
      </c>
      <c r="J46">
        <f ca="1">IFERROR(LEN(_xlfn.FORMULATEXT('XL-Test'!K47)),0)</f>
        <v>0</v>
      </c>
    </row>
    <row r="47" spans="2:10">
      <c r="B47">
        <v>4</v>
      </c>
      <c r="C47">
        <f ca="1">IFERROR(LEN(_xlfn.FORMULATEXT('XL-Test'!D48)),0)</f>
        <v>0</v>
      </c>
      <c r="D47">
        <f ca="1">IFERROR(LEN(_xlfn.FORMULATEXT('XL-Test'!E48)),0)</f>
        <v>0</v>
      </c>
      <c r="E47">
        <f ca="1">IFERROR(LEN(_xlfn.FORMULATEXT('XL-Test'!F48)),0)</f>
        <v>0</v>
      </c>
      <c r="F47">
        <f ca="1">IFERROR(LEN(_xlfn.FORMULATEXT('XL-Test'!G48)),0)</f>
        <v>0</v>
      </c>
      <c r="G47">
        <f ca="1">IFERROR(LEN(_xlfn.FORMULATEXT('XL-Test'!H48)),0)</f>
        <v>0</v>
      </c>
      <c r="H47">
        <f ca="1">IFERROR(LEN(_xlfn.FORMULATEXT('XL-Test'!I48)),0)</f>
        <v>0</v>
      </c>
      <c r="I47">
        <f ca="1">IFERROR(LEN(_xlfn.FORMULATEXT('XL-Test'!J48)),0)</f>
        <v>0</v>
      </c>
      <c r="J47">
        <f ca="1">IFERROR(LEN(_xlfn.FORMULATEXT('XL-Test'!K48)),0)</f>
        <v>0</v>
      </c>
    </row>
    <row r="48" spans="2:10">
      <c r="B48">
        <v>5</v>
      </c>
      <c r="C48">
        <f ca="1">IFERROR(LEN(_xlfn.FORMULATEXT('XL-Test'!D49)),0)</f>
        <v>0</v>
      </c>
      <c r="D48">
        <f ca="1">IFERROR(LEN(_xlfn.FORMULATEXT('XL-Test'!E49)),0)</f>
        <v>0</v>
      </c>
      <c r="E48">
        <f ca="1">IFERROR(LEN(_xlfn.FORMULATEXT('XL-Test'!F49)),0)</f>
        <v>0</v>
      </c>
      <c r="F48">
        <f ca="1">IFERROR(LEN(_xlfn.FORMULATEXT('XL-Test'!G49)),0)</f>
        <v>0</v>
      </c>
      <c r="G48">
        <f ca="1">IFERROR(LEN(_xlfn.FORMULATEXT('XL-Test'!H49)),0)</f>
        <v>0</v>
      </c>
      <c r="H48">
        <f ca="1">IFERROR(LEN(_xlfn.FORMULATEXT('XL-Test'!I49)),0)</f>
        <v>0</v>
      </c>
      <c r="I48">
        <f ca="1">IFERROR(LEN(_xlfn.FORMULATEXT('XL-Test'!J49)),0)</f>
        <v>0</v>
      </c>
      <c r="J48">
        <f ca="1">IFERROR(LEN(_xlfn.FORMULATEXT('XL-Test'!K49)),0)</f>
        <v>0</v>
      </c>
    </row>
    <row r="49" spans="2:14">
      <c r="B49">
        <v>6</v>
      </c>
      <c r="C49">
        <f ca="1">IFERROR(LEN(_xlfn.FORMULATEXT('XL-Test'!D50)),0)</f>
        <v>0</v>
      </c>
      <c r="D49">
        <f ca="1">IFERROR(LEN(_xlfn.FORMULATEXT('XL-Test'!E50)),0)</f>
        <v>0</v>
      </c>
      <c r="E49">
        <f ca="1">IFERROR(LEN(_xlfn.FORMULATEXT('XL-Test'!F50)),0)</f>
        <v>0</v>
      </c>
      <c r="F49">
        <f ca="1">IFERROR(LEN(_xlfn.FORMULATEXT('XL-Test'!G50)),0)</f>
        <v>0</v>
      </c>
      <c r="G49">
        <f ca="1">IFERROR(LEN(_xlfn.FORMULATEXT('XL-Test'!H50)),0)</f>
        <v>0</v>
      </c>
      <c r="H49">
        <f ca="1">IFERROR(LEN(_xlfn.FORMULATEXT('XL-Test'!I50)),0)</f>
        <v>0</v>
      </c>
      <c r="I49">
        <f ca="1">IFERROR(LEN(_xlfn.FORMULATEXT('XL-Test'!J50)),0)</f>
        <v>0</v>
      </c>
      <c r="J49">
        <f ca="1">IFERROR(LEN(_xlfn.FORMULATEXT('XL-Test'!K50)),0)</f>
        <v>0</v>
      </c>
    </row>
    <row r="50" spans="2:14">
      <c r="B50">
        <v>7</v>
      </c>
      <c r="C50">
        <f ca="1">IFERROR(LEN(_xlfn.FORMULATEXT('XL-Test'!D51)),0)</f>
        <v>0</v>
      </c>
      <c r="D50">
        <f ca="1">IFERROR(LEN(_xlfn.FORMULATEXT('XL-Test'!E51)),0)</f>
        <v>0</v>
      </c>
      <c r="E50">
        <f ca="1">IFERROR(LEN(_xlfn.FORMULATEXT('XL-Test'!F51)),0)</f>
        <v>0</v>
      </c>
      <c r="F50">
        <f ca="1">IFERROR(LEN(_xlfn.FORMULATEXT('XL-Test'!G51)),0)</f>
        <v>0</v>
      </c>
      <c r="G50">
        <f ca="1">IFERROR(LEN(_xlfn.FORMULATEXT('XL-Test'!H51)),0)</f>
        <v>0</v>
      </c>
      <c r="H50">
        <f ca="1">IFERROR(LEN(_xlfn.FORMULATEXT('XL-Test'!I51)),0)</f>
        <v>0</v>
      </c>
      <c r="I50">
        <f ca="1">IFERROR(LEN(_xlfn.FORMULATEXT('XL-Test'!J51)),0)</f>
        <v>0</v>
      </c>
      <c r="J50">
        <f ca="1">IFERROR(LEN(_xlfn.FORMULATEXT('XL-Test'!K51)),0)</f>
        <v>0</v>
      </c>
      <c r="N50" t="str">
        <f ca="1">HJKOKO</f>
        <v>XH2|6C-153C;D4-9C8;6F-8C1A;5D-891A;74-164;23-1CED;FE-5D57;10-3049</v>
      </c>
    </row>
    <row r="51" spans="2:14">
      <c r="B51">
        <v>8</v>
      </c>
      <c r="C51">
        <f ca="1">IFERROR(LEN(_xlfn.FORMULATEXT('XL-Test'!D52)),0)</f>
        <v>0</v>
      </c>
      <c r="D51">
        <f ca="1">IFERROR(LEN(_xlfn.FORMULATEXT('XL-Test'!E52)),0)</f>
        <v>0</v>
      </c>
      <c r="E51">
        <f ca="1">IFERROR(LEN(_xlfn.FORMULATEXT('XL-Test'!F52)),0)</f>
        <v>0</v>
      </c>
      <c r="F51">
        <f ca="1">IFERROR(LEN(_xlfn.FORMULATEXT('XL-Test'!G52)),0)</f>
        <v>0</v>
      </c>
      <c r="G51">
        <f ca="1">IFERROR(LEN(_xlfn.FORMULATEXT('XL-Test'!H52)),0)</f>
        <v>0</v>
      </c>
      <c r="H51">
        <f ca="1">IFERROR(LEN(_xlfn.FORMULATEXT('XL-Test'!I52)),0)</f>
        <v>0</v>
      </c>
      <c r="I51">
        <f ca="1">IFERROR(LEN(_xlfn.FORMULATEXT('XL-Test'!J52)),0)</f>
        <v>0</v>
      </c>
      <c r="J51">
        <f ca="1">IFERROR(LEN(_xlfn.FORMULATEXT('XL-Test'!K52)),0)</f>
        <v>0</v>
      </c>
    </row>
    <row r="52" spans="2:14">
      <c r="B52">
        <v>9</v>
      </c>
      <c r="C52">
        <f ca="1">IFERROR(LEN(_xlfn.FORMULATEXT('XL-Test'!D53)),0)</f>
        <v>0</v>
      </c>
      <c r="D52">
        <f ca="1">IFERROR(LEN(_xlfn.FORMULATEXT('XL-Test'!E53)),0)</f>
        <v>0</v>
      </c>
      <c r="E52">
        <f ca="1">IFERROR(LEN(_xlfn.FORMULATEXT('XL-Test'!F53)),0)</f>
        <v>0</v>
      </c>
      <c r="F52">
        <f ca="1">IFERROR(LEN(_xlfn.FORMULATEXT('XL-Test'!G53)),0)</f>
        <v>0</v>
      </c>
      <c r="G52">
        <f ca="1">IFERROR(LEN(_xlfn.FORMULATEXT('XL-Test'!H53)),0)</f>
        <v>0</v>
      </c>
      <c r="H52">
        <f ca="1">IFERROR(LEN(_xlfn.FORMULATEXT('XL-Test'!I53)),0)</f>
        <v>0</v>
      </c>
      <c r="I52">
        <f ca="1">IFERROR(LEN(_xlfn.FORMULATEXT('XL-Test'!J53)),0)</f>
        <v>0</v>
      </c>
      <c r="J52">
        <f ca="1">IFERROR(LEN(_xlfn.FORMULATEXT('XL-Test'!K53)),0)</f>
        <v>0</v>
      </c>
    </row>
    <row r="53" spans="2:14">
      <c r="B53">
        <v>10</v>
      </c>
      <c r="C53">
        <f ca="1">IFERROR(LEN(_xlfn.FORMULATEXT('XL-Test'!D54)),0)</f>
        <v>0</v>
      </c>
      <c r="D53">
        <f ca="1">IFERROR(LEN(_xlfn.FORMULATEXT('XL-Test'!E54)),0)</f>
        <v>0</v>
      </c>
      <c r="E53">
        <f ca="1">IFERROR(LEN(_xlfn.FORMULATEXT('XL-Test'!F54)),0)</f>
        <v>0</v>
      </c>
      <c r="F53">
        <f ca="1">IFERROR(LEN(_xlfn.FORMULATEXT('XL-Test'!G54)),0)</f>
        <v>0</v>
      </c>
      <c r="G53">
        <f ca="1">IFERROR(LEN(_xlfn.FORMULATEXT('XL-Test'!H54)),0)</f>
        <v>0</v>
      </c>
      <c r="H53">
        <f ca="1">IFERROR(LEN(_xlfn.FORMULATEXT('XL-Test'!I54)),0)</f>
        <v>0</v>
      </c>
      <c r="I53">
        <f ca="1">IFERROR(LEN(_xlfn.FORMULATEXT('XL-Test'!J54)),0)</f>
        <v>0</v>
      </c>
      <c r="J53">
        <f ca="1">IFERROR(LEN(_xlfn.FORMULATEXT('XL-Test'!K54)),0)</f>
        <v>0</v>
      </c>
    </row>
    <row r="54" spans="2:14">
      <c r="B54">
        <v>11</v>
      </c>
      <c r="C54">
        <f ca="1">IFERROR(LEN(_xlfn.FORMULATEXT('XL-Test'!D55)),0)</f>
        <v>0</v>
      </c>
      <c r="D54">
        <f ca="1">IFERROR(LEN(_xlfn.FORMULATEXT('XL-Test'!E55)),0)</f>
        <v>0</v>
      </c>
      <c r="E54">
        <f ca="1">IFERROR(LEN(_xlfn.FORMULATEXT('XL-Test'!F55)),0)</f>
        <v>0</v>
      </c>
      <c r="F54">
        <f ca="1">IFERROR(LEN(_xlfn.FORMULATEXT('XL-Test'!G55)),0)</f>
        <v>0</v>
      </c>
      <c r="G54">
        <f ca="1">IFERROR(LEN(_xlfn.FORMULATEXT('XL-Test'!H55)),0)</f>
        <v>0</v>
      </c>
      <c r="H54">
        <f ca="1">IFERROR(LEN(_xlfn.FORMULATEXT('XL-Test'!I55)),0)</f>
        <v>0</v>
      </c>
      <c r="I54">
        <f ca="1">IFERROR(LEN(_xlfn.FORMULATEXT('XL-Test'!J55)),0)</f>
        <v>0</v>
      </c>
      <c r="J54">
        <f ca="1">IFERROR(LEN(_xlfn.FORMULATEXT('XL-Test'!K55)),0)</f>
        <v>0</v>
      </c>
      <c r="N54" t="s">
        <v>93</v>
      </c>
    </row>
    <row r="55" spans="2:14">
      <c r="B55">
        <v>12</v>
      </c>
      <c r="C55">
        <f ca="1">IFERROR(LEN(_xlfn.FORMULATEXT('XL-Test'!D56)),0)</f>
        <v>0</v>
      </c>
      <c r="D55">
        <f ca="1">IFERROR(LEN(_xlfn.FORMULATEXT('XL-Test'!E56)),0)</f>
        <v>0</v>
      </c>
      <c r="E55">
        <f ca="1">IFERROR(LEN(_xlfn.FORMULATEXT('XL-Test'!F56)),0)</f>
        <v>0</v>
      </c>
      <c r="F55">
        <f ca="1">IFERROR(LEN(_xlfn.FORMULATEXT('XL-Test'!G56)),0)</f>
        <v>0</v>
      </c>
      <c r="G55">
        <f ca="1">IFERROR(LEN(_xlfn.FORMULATEXT('XL-Test'!H56)),0)</f>
        <v>0</v>
      </c>
      <c r="H55">
        <f ca="1">IFERROR(LEN(_xlfn.FORMULATEXT('XL-Test'!I56)),0)</f>
        <v>0</v>
      </c>
      <c r="I55">
        <f ca="1">IFERROR(LEN(_xlfn.FORMULATEXT('XL-Test'!J56)),0)</f>
        <v>0</v>
      </c>
      <c r="J55">
        <f ca="1">IFERROR(LEN(_xlfn.FORMULATEXT('XL-Test'!K56)),0)</f>
        <v>0</v>
      </c>
      <c r="N55" t="s">
        <v>93</v>
      </c>
    </row>
    <row r="56" spans="2:14">
      <c r="B56">
        <v>13</v>
      </c>
      <c r="C56">
        <f ca="1">IFERROR(LEN(_xlfn.FORMULATEXT('XL-Test'!D57)),0)</f>
        <v>0</v>
      </c>
      <c r="D56">
        <f ca="1">IFERROR(LEN(_xlfn.FORMULATEXT('XL-Test'!E57)),0)</f>
        <v>0</v>
      </c>
      <c r="E56">
        <f ca="1">IFERROR(LEN(_xlfn.FORMULATEXT('XL-Test'!F57)),0)</f>
        <v>0</v>
      </c>
      <c r="F56">
        <f ca="1">IFERROR(LEN(_xlfn.FORMULATEXT('XL-Test'!G57)),0)</f>
        <v>0</v>
      </c>
      <c r="G56">
        <f ca="1">IFERROR(LEN(_xlfn.FORMULATEXT('XL-Test'!H57)),0)</f>
        <v>0</v>
      </c>
      <c r="H56">
        <f ca="1">IFERROR(LEN(_xlfn.FORMULATEXT('XL-Test'!I57)),0)</f>
        <v>0</v>
      </c>
      <c r="I56">
        <f ca="1">IFERROR(LEN(_xlfn.FORMULATEXT('XL-Test'!J57)),0)</f>
        <v>0</v>
      </c>
      <c r="J56">
        <f ca="1">IFERROR(LEN(_xlfn.FORMULATEXT('XL-Test'!K57)),0)</f>
        <v>0</v>
      </c>
    </row>
    <row r="57" spans="2:14">
      <c r="B57">
        <v>14</v>
      </c>
      <c r="C57">
        <f ca="1">IFERROR(LEN(_xlfn.FORMULATEXT('XL-Test'!D58)),0)</f>
        <v>0</v>
      </c>
      <c r="D57">
        <f ca="1">IFERROR(LEN(_xlfn.FORMULATEXT('XL-Test'!E58)),0)</f>
        <v>0</v>
      </c>
      <c r="E57">
        <f ca="1">IFERROR(LEN(_xlfn.FORMULATEXT('XL-Test'!F58)),0)</f>
        <v>0</v>
      </c>
      <c r="F57">
        <f ca="1">IFERROR(LEN(_xlfn.FORMULATEXT('XL-Test'!G58)),0)</f>
        <v>0</v>
      </c>
      <c r="G57">
        <f ca="1">IFERROR(LEN(_xlfn.FORMULATEXT('XL-Test'!H58)),0)</f>
        <v>0</v>
      </c>
      <c r="H57">
        <f ca="1">IFERROR(LEN(_xlfn.FORMULATEXT('XL-Test'!I58)),0)</f>
        <v>0</v>
      </c>
      <c r="I57">
        <f ca="1">IFERROR(LEN(_xlfn.FORMULATEXT('XL-Test'!J58)),0)</f>
        <v>0</v>
      </c>
      <c r="J57">
        <f ca="1">IFERROR(LEN(_xlfn.FORMULATEXT('XL-Test'!K58)),0)</f>
        <v>0</v>
      </c>
    </row>
    <row r="58" spans="2:14">
      <c r="B58">
        <v>15</v>
      </c>
      <c r="C58">
        <f ca="1">IFERROR(LEN(_xlfn.FORMULATEXT('XL-Test'!D59)),0)</f>
        <v>0</v>
      </c>
      <c r="D58">
        <f ca="1">IFERROR(LEN(_xlfn.FORMULATEXT('XL-Test'!E59)),0)</f>
        <v>0</v>
      </c>
      <c r="E58">
        <f ca="1">IFERROR(LEN(_xlfn.FORMULATEXT('XL-Test'!F59)),0)</f>
        <v>0</v>
      </c>
      <c r="F58">
        <f ca="1">IFERROR(LEN(_xlfn.FORMULATEXT('XL-Test'!G59)),0)</f>
        <v>0</v>
      </c>
      <c r="G58">
        <f ca="1">IFERROR(LEN(_xlfn.FORMULATEXT('XL-Test'!H59)),0)</f>
        <v>0</v>
      </c>
      <c r="H58">
        <f ca="1">IFERROR(LEN(_xlfn.FORMULATEXT('XL-Test'!I59)),0)</f>
        <v>0</v>
      </c>
      <c r="I58">
        <f ca="1">IFERROR(LEN(_xlfn.FORMULATEXT('XL-Test'!J59)),0)</f>
        <v>0</v>
      </c>
      <c r="J58">
        <f ca="1">IFERROR(LEN(_xlfn.FORMULATEXT('XL-Test'!K59)),0)</f>
        <v>0</v>
      </c>
    </row>
    <row r="61" spans="2:14">
      <c r="B61" t="s">
        <v>94</v>
      </c>
      <c r="C61" t="b">
        <f t="shared" ref="C61:J61" ca="1" si="11">IFERROR(AND(C44&gt;0,C46=0,ABS(C4)&gt;0,ABS(C10)&gt;0,C52=0),FALSE)</f>
        <v>1</v>
      </c>
      <c r="D61" t="b">
        <f t="shared" ca="1" si="11"/>
        <v>1</v>
      </c>
      <c r="E61" t="b">
        <f t="shared" ca="1" si="11"/>
        <v>1</v>
      </c>
      <c r="F61" t="b">
        <f t="shared" ca="1" si="11"/>
        <v>1</v>
      </c>
      <c r="G61" t="b">
        <f t="shared" ca="1" si="11"/>
        <v>1</v>
      </c>
      <c r="H61" t="b">
        <f t="shared" ca="1" si="11"/>
        <v>1</v>
      </c>
      <c r="I61" t="b">
        <f t="shared" ca="1" si="11"/>
        <v>1</v>
      </c>
      <c r="J61" t="b">
        <f t="shared" ca="1" si="11"/>
        <v>1</v>
      </c>
    </row>
    <row r="64" spans="2:14">
      <c r="C64" t="str">
        <f ca="1">DEC2HEX(IF(C31,C20,C22))</f>
        <v>153C</v>
      </c>
      <c r="D64" t="str">
        <f t="shared" ref="D64:J64" ca="1" si="12">DEC2HEX(IF(D31,D20,D22))</f>
        <v>9C8</v>
      </c>
      <c r="E64" t="str">
        <f t="shared" ca="1" si="12"/>
        <v>8C1A</v>
      </c>
      <c r="F64" t="str">
        <f t="shared" ca="1" si="12"/>
        <v>891A</v>
      </c>
      <c r="G64" t="str">
        <f t="shared" ca="1" si="12"/>
        <v>164</v>
      </c>
      <c r="H64" t="str">
        <f t="shared" ca="1" si="12"/>
        <v>1CED</v>
      </c>
      <c r="I64" t="str">
        <f t="shared" ca="1" si="12"/>
        <v>5D57</v>
      </c>
      <c r="J64" t="str">
        <f t="shared" ca="1" si="12"/>
        <v>3049</v>
      </c>
    </row>
    <row r="65" spans="3:14">
      <c r="C65" t="str">
        <f ca="1">IF(C41,C24,C25)</f>
        <v>6C</v>
      </c>
      <c r="D65" t="str">
        <f t="shared" ref="D65:J65" ca="1" si="13">IF(D41,D24,D25)</f>
        <v>D4</v>
      </c>
      <c r="E65" t="str">
        <f t="shared" ca="1" si="13"/>
        <v>6F</v>
      </c>
      <c r="F65" t="str">
        <f t="shared" ca="1" si="13"/>
        <v>5D</v>
      </c>
      <c r="G65" t="str">
        <f t="shared" ca="1" si="13"/>
        <v>74</v>
      </c>
      <c r="H65" t="str">
        <f t="shared" ca="1" si="13"/>
        <v>23</v>
      </c>
      <c r="I65" t="str">
        <f t="shared" ca="1" si="13"/>
        <v>FE</v>
      </c>
      <c r="J65" t="str">
        <f t="shared" ca="1" si="13"/>
        <v>10</v>
      </c>
      <c r="M65">
        <v>1</v>
      </c>
      <c r="N65" t="s">
        <v>95</v>
      </c>
    </row>
    <row r="66" spans="3:14">
      <c r="C66" t="str">
        <f ca="1">C65&amp;"-"&amp;C64&amp;";"</f>
        <v>6C-153C;</v>
      </c>
      <c r="D66" t="str">
        <f t="shared" ref="D66:I66" ca="1" si="14">D65&amp;"-"&amp;D64&amp;";"</f>
        <v>D4-9C8;</v>
      </c>
      <c r="E66" t="str">
        <f t="shared" ca="1" si="14"/>
        <v>6F-8C1A;</v>
      </c>
      <c r="F66" t="str">
        <f t="shared" ca="1" si="14"/>
        <v>5D-891A;</v>
      </c>
      <c r="G66" t="str">
        <f t="shared" ca="1" si="14"/>
        <v>74-164;</v>
      </c>
      <c r="H66" t="str">
        <f t="shared" ca="1" si="14"/>
        <v>23-1CED;</v>
      </c>
      <c r="I66" t="str">
        <f t="shared" ca="1" si="14"/>
        <v>FE-5D57;</v>
      </c>
      <c r="J66" t="str">
        <f ca="1">J65&amp;"-"&amp;J64</f>
        <v>10-3049</v>
      </c>
      <c r="M66">
        <v>2</v>
      </c>
      <c r="N66" t="s">
        <v>96</v>
      </c>
    </row>
    <row r="67" spans="3:14">
      <c r="C67" t="str">
        <f ca="1">A2&amp;"|"&amp;C66&amp;D66&amp;E66&amp;F66&amp;G66&amp;H66&amp;I66&amp;J66</f>
        <v>XH2|6C-153C;D4-9C8;6F-8C1A;5D-891A;74-164;23-1CED;FE-5D57;10-3049</v>
      </c>
      <c r="M67">
        <v>3</v>
      </c>
      <c r="N67" t="s">
        <v>93</v>
      </c>
    </row>
    <row r="70" spans="3:14">
      <c r="C70" t="str" cm="1">
        <f t="array" aca="1" ref="C70" ca="1">IFERROR(INDIRECT(INDEX(N65:N67,B45)&amp;N54&amp;N55),"KODE ERROR!")</f>
        <v>XH2|6C-153C;D4-9C8;6F-8C1A;5D-891A;74-164;23-1CED;FE-5D57;10-3049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Siti Rukoyah Al Munazalah</cp:lastModifiedBy>
  <cp:revision/>
  <dcterms:created xsi:type="dcterms:W3CDTF">2025-12-20T05:52:35Z</dcterms:created>
  <dcterms:modified xsi:type="dcterms:W3CDTF">2026-06-16T07:19:45Z</dcterms:modified>
  <cp:category/>
  <cp:contentStatus/>
</cp:coreProperties>
</file>