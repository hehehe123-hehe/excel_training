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4b3130b3dd6cff9/VBA REPO/File BelajarExcel.id/Soal/"/>
    </mc:Choice>
  </mc:AlternateContent>
  <xr:revisionPtr revIDLastSave="23" documentId="8_{69511A97-FA1D-4253-BAD9-7BF12A7F00D1}" xr6:coauthVersionLast="47" xr6:coauthVersionMax="47" xr10:uidLastSave="{47D4E4ED-1D83-4417-9D28-EC2BCBF18778}"/>
  <bookViews>
    <workbookView xWindow="28692" yWindow="-108" windowWidth="29016" windowHeight="15696" xr2:uid="{59985E1D-7062-406A-9A64-6EF25417AAB1}"/>
  </bookViews>
  <sheets>
    <sheet name="Extreme" sheetId="1" r:id="rId1"/>
  </sheets>
  <definedNames>
    <definedName name="Kode_jawaban">Extreme!$C$109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1" l="1" a="1"/>
  <c r="F27" i="1"/>
  <c r="F28" i="1" a="1"/>
  <c r="F28" i="1"/>
  <c r="F29" i="1" a="1"/>
  <c r="F29" i="1"/>
  <c r="F30" i="1" a="1"/>
  <c r="F30" i="1"/>
  <c r="F31" i="1" a="1"/>
  <c r="F31" i="1"/>
  <c r="F32" i="1" a="1"/>
  <c r="F32" i="1"/>
  <c r="F33" i="1" a="1"/>
  <c r="F33" i="1"/>
  <c r="F34" i="1" a="1"/>
  <c r="F34" i="1"/>
  <c r="F35" i="1" a="1"/>
  <c r="F35" i="1"/>
  <c r="F36" i="1" a="1"/>
  <c r="F36" i="1"/>
  <c r="F37" i="1" a="1"/>
  <c r="F37" i="1"/>
  <c r="F38" i="1" a="1"/>
  <c r="F38" i="1"/>
  <c r="F39" i="1" a="1"/>
  <c r="F39" i="1"/>
  <c r="F40" i="1" a="1"/>
  <c r="F40" i="1"/>
  <c r="F26" i="1" a="1"/>
  <c r="F26" i="1"/>
  <c r="E27" i="1" a="1"/>
  <c r="E27" i="1"/>
  <c r="E28" i="1" a="1"/>
  <c r="E28" i="1"/>
  <c r="E29" i="1" a="1"/>
  <c r="E29" i="1"/>
  <c r="E30" i="1" a="1"/>
  <c r="E30" i="1"/>
  <c r="E31" i="1" a="1"/>
  <c r="E31" i="1"/>
  <c r="E32" i="1" a="1"/>
  <c r="E32" i="1"/>
  <c r="E33" i="1" a="1"/>
  <c r="E33" i="1"/>
  <c r="E34" i="1" a="1"/>
  <c r="E34" i="1"/>
  <c r="E35" i="1" a="1"/>
  <c r="E35" i="1"/>
  <c r="E36" i="1" a="1"/>
  <c r="E36" i="1"/>
  <c r="E37" i="1" a="1"/>
  <c r="E37" i="1"/>
  <c r="E38" i="1" a="1"/>
  <c r="E38" i="1"/>
  <c r="E39" i="1" a="1"/>
  <c r="E39" i="1"/>
  <c r="E40" i="1" a="1"/>
  <c r="E40" i="1"/>
  <c r="E26" i="1" a="1"/>
  <c r="E26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7" i="1"/>
  <c r="E8" i="1" a="1"/>
  <c r="E8" i="1"/>
  <c r="E9" i="1" a="1"/>
  <c r="E9" i="1"/>
  <c r="E10" i="1" a="1"/>
  <c r="E10" i="1"/>
  <c r="E11" i="1" a="1"/>
  <c r="E11" i="1"/>
  <c r="E12" i="1" a="1"/>
  <c r="E12" i="1"/>
  <c r="E13" i="1" a="1"/>
  <c r="E13" i="1"/>
  <c r="E14" i="1" a="1"/>
  <c r="E14" i="1"/>
  <c r="E15" i="1" a="1"/>
  <c r="E15" i="1"/>
  <c r="E16" i="1" a="1"/>
  <c r="E16" i="1"/>
  <c r="E17" i="1" a="1"/>
  <c r="E17" i="1"/>
  <c r="E18" i="1" a="1"/>
  <c r="E18" i="1"/>
  <c r="E19" i="1" a="1"/>
  <c r="E19" i="1"/>
  <c r="E20" i="1" a="1"/>
  <c r="E20" i="1"/>
  <c r="E21" i="1" a="1"/>
  <c r="E21" i="1"/>
  <c r="E7" i="1" a="1"/>
  <c r="E7" i="1"/>
  <c r="F107" i="1"/>
  <c r="E107" i="1"/>
  <c r="D107" i="1"/>
  <c r="C107" i="1"/>
  <c r="B106" i="1"/>
  <c r="F101" i="1"/>
  <c r="F102" i="1"/>
  <c r="F104" i="1"/>
  <c r="E104" i="1"/>
  <c r="E102" i="1"/>
  <c r="E101" i="1"/>
  <c r="D101" i="1"/>
  <c r="D102" i="1"/>
  <c r="D103" i="1"/>
  <c r="D104" i="1"/>
  <c r="C104" i="1"/>
  <c r="C103" i="1"/>
  <c r="C102" i="1"/>
  <c r="C101" i="1"/>
  <c r="F103" i="1"/>
  <c r="E103" i="1"/>
  <c r="F106" i="1" l="1"/>
  <c r="E106" i="1"/>
  <c r="D106" i="1"/>
  <c r="C106" i="1"/>
  <c r="F108" i="1"/>
  <c r="E108" i="1"/>
  <c r="D108" i="1"/>
  <c r="C108" i="1"/>
  <c r="C109" i="1" l="1"/>
  <c r="E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<sst xmlns="http://schemas.openxmlformats.org/spreadsheetml/2006/main" count="114" uniqueCount="104">
  <si>
    <t>KODE SOAL</t>
  </si>
  <si>
    <t>SBEX003</t>
  </si>
  <si>
    <t>KODE JAWABAN</t>
  </si>
  <si>
    <t>Soal 1 &amp; 2</t>
  </si>
  <si>
    <t>Text</t>
  </si>
  <si>
    <t>Hasil Yang Diharapkan 1</t>
  </si>
  <si>
    <t>Hasil Yang Diharapkan 2</t>
  </si>
  <si>
    <t>Jawaban 1</t>
  </si>
  <si>
    <t>Jawaban 2</t>
  </si>
  <si>
    <t>SOAL : LEFT, MID, RIGHT</t>
  </si>
  <si>
    <t>000000000B7239KLM4-2000DO</t>
  </si>
  <si>
    <t>B7239KLM4</t>
  </si>
  <si>
    <t>2000</t>
  </si>
  <si>
    <r>
      <t xml:space="preserve">- Isi Jawaban menggunakan Rumus, </t>
    </r>
    <r>
      <rPr>
        <b/>
        <sz val="11"/>
        <color rgb="FF0070C0"/>
        <rFont val="Aptos Narrow"/>
        <family val="2"/>
        <scheme val="minor"/>
      </rPr>
      <t>LEFT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rgb="FF0070C0"/>
        <rFont val="Aptos Narrow"/>
        <family val="2"/>
        <scheme val="minor"/>
      </rPr>
      <t>MID</t>
    </r>
    <r>
      <rPr>
        <sz val="11"/>
        <color theme="1"/>
        <rFont val="Aptos Narrow"/>
        <family val="2"/>
        <scheme val="minor"/>
      </rPr>
      <t xml:space="preserve"> atau </t>
    </r>
    <r>
      <rPr>
        <b/>
        <sz val="11"/>
        <color rgb="FF0070C0"/>
        <rFont val="Aptos Narrow"/>
        <family val="2"/>
        <scheme val="minor"/>
      </rPr>
      <t>RIGHT</t>
    </r>
  </si>
  <si>
    <t>000000891PLO2407-2001SH</t>
  </si>
  <si>
    <t>891PLO2407</t>
  </si>
  <si>
    <t>2001</t>
  </si>
  <si>
    <t>- diperbolehkan menambah rumus Excel lain untuk membantu mencapai tujuan rumus  LEFT ,MID atau RIGHT</t>
  </si>
  <si>
    <t>000000000C456QWE8-2019FC</t>
  </si>
  <si>
    <t>C456QWE8</t>
  </si>
  <si>
    <t>2019</t>
  </si>
  <si>
    <t>- Batasan Excel Minimal Excel 2003</t>
  </si>
  <si>
    <t>00000000321RTY9006-2001XV</t>
  </si>
  <si>
    <t>321RTY9006</t>
  </si>
  <si>
    <t>0000000000D789UIO3-2015EF</t>
  </si>
  <si>
    <t>D789UIO3</t>
  </si>
  <si>
    <t>2015</t>
  </si>
  <si>
    <t>00000000654IOP1234-2008RX</t>
  </si>
  <si>
    <t>654IOP1234</t>
  </si>
  <si>
    <t>2008</t>
  </si>
  <si>
    <t>0000000000E012PAS5-2011UF</t>
  </si>
  <si>
    <t>E012PAS5</t>
  </si>
  <si>
    <t>2011</t>
  </si>
  <si>
    <t>0000987LKH5432-2021VL</t>
  </si>
  <si>
    <t>987LKH5432</t>
  </si>
  <si>
    <t>2021</t>
  </si>
  <si>
    <t>https://belajarexcel.id/xl-test/</t>
  </si>
  <si>
    <t>0000000000F345M0B7-2008JX</t>
  </si>
  <si>
    <t>F345M0B7</t>
  </si>
  <si>
    <t>0000A2100ZXC6789-2010LB</t>
  </si>
  <si>
    <t>A2100ZXC6789</t>
  </si>
  <si>
    <t>2010</t>
  </si>
  <si>
    <t>0000000000G678VBN2-2008UJ</t>
  </si>
  <si>
    <t>G678VBN2</t>
  </si>
  <si>
    <r>
      <t xml:space="preserve">Kirimkan </t>
    </r>
    <r>
      <rPr>
        <b/>
        <i/>
        <sz val="11"/>
        <color theme="4" tint="-0.249977111117893"/>
        <rFont val="Aptos Narrow"/>
        <family val="2"/>
        <scheme val="minor"/>
      </rPr>
      <t>Kode Soal</t>
    </r>
    <r>
      <rPr>
        <i/>
        <sz val="11"/>
        <color theme="4" tint="-0.249977111117893"/>
        <rFont val="Aptos Narrow"/>
        <family val="2"/>
        <scheme val="minor"/>
      </rPr>
      <t xml:space="preserve"> dan </t>
    </r>
    <r>
      <rPr>
        <b/>
        <i/>
        <sz val="11"/>
        <color theme="4" tint="-0.249977111117893"/>
        <rFont val="Aptos Narrow"/>
        <family val="2"/>
        <scheme val="minor"/>
      </rPr>
      <t>Kode Jawaban</t>
    </r>
    <r>
      <rPr>
        <i/>
        <sz val="11"/>
        <color theme="4" tint="-0.249977111117893"/>
        <rFont val="Aptos Narrow"/>
        <family val="2"/>
        <scheme val="minor"/>
      </rPr>
      <t xml:space="preserve"> ke alamat :  </t>
    </r>
    <r>
      <rPr>
        <b/>
        <i/>
        <u/>
        <sz val="11"/>
        <color theme="4" tint="-0.249977111117893"/>
        <rFont val="Aptos Narrow"/>
        <family val="2"/>
        <scheme val="minor"/>
      </rPr>
      <t>https://belajarexcel.id/xl-test/jawaban</t>
    </r>
    <r>
      <rPr>
        <i/>
        <sz val="11"/>
        <color theme="4" tint="-0.249977111117893"/>
        <rFont val="Aptos Narrow"/>
        <family val="2"/>
        <scheme val="minor"/>
      </rPr>
      <t xml:space="preserve">  untuk mengecek hasil benar/salah</t>
    </r>
  </si>
  <si>
    <t>0000000543DFG8901-2008BW</t>
  </si>
  <si>
    <t>543DFG8901</t>
  </si>
  <si>
    <t>0000000000H901QAZ4-2024RP</t>
  </si>
  <si>
    <t>H901QAZ4</t>
  </si>
  <si>
    <t>2024</t>
  </si>
  <si>
    <t>000000876W0R3456-2024BT</t>
  </si>
  <si>
    <t>876W0R3456</t>
  </si>
  <si>
    <t>0000000500J234TYU9-2011VL</t>
  </si>
  <si>
    <t>500J234TYU9</t>
  </si>
  <si>
    <t>Soal 3 &amp; 4</t>
  </si>
  <si>
    <t>Kode</t>
  </si>
  <si>
    <t>BudiSantoso86011224</t>
  </si>
  <si>
    <t>BudiSantoso</t>
  </si>
  <si>
    <t>86011224</t>
  </si>
  <si>
    <t>CitraNurul764353</t>
  </si>
  <si>
    <t>CitraNurul</t>
  </si>
  <si>
    <t>764353</t>
  </si>
  <si>
    <t>DianPratama5521591</t>
  </si>
  <si>
    <t>DianPratama</t>
  </si>
  <si>
    <t>5521591</t>
  </si>
  <si>
    <t>EkaWulandari3980824</t>
  </si>
  <si>
    <t>EkaWulandari</t>
  </si>
  <si>
    <t>3980824</t>
  </si>
  <si>
    <t>FajarRahman3661070</t>
  </si>
  <si>
    <t>FajarRahman</t>
  </si>
  <si>
    <t>3661070</t>
  </si>
  <si>
    <t>GitaPermata3610473</t>
  </si>
  <si>
    <t>GitaPermata</t>
  </si>
  <si>
    <t>3610473</t>
  </si>
  <si>
    <t>HendraKurniawan75122</t>
  </si>
  <si>
    <t>HendraKurniawan</t>
  </si>
  <si>
    <t>75122</t>
  </si>
  <si>
    <t>IndraWijaya5803828</t>
  </si>
  <si>
    <t>IndraWijaya</t>
  </si>
  <si>
    <t>5803828</t>
  </si>
  <si>
    <t>JokoSusilo6676973</t>
  </si>
  <si>
    <t>JokoSusilo</t>
  </si>
  <si>
    <t>6676973</t>
  </si>
  <si>
    <t>KartikaSari5066460</t>
  </si>
  <si>
    <t>KartikaSari</t>
  </si>
  <si>
    <t>5066460</t>
  </si>
  <si>
    <t>LinaMarlina308214</t>
  </si>
  <si>
    <t>LinaMarlina</t>
  </si>
  <si>
    <t>308214</t>
  </si>
  <si>
    <t>MayaIndah6527502</t>
  </si>
  <si>
    <t>MayaIndah</t>
  </si>
  <si>
    <t>6527502</t>
  </si>
  <si>
    <t>NinaRosita30863785</t>
  </si>
  <si>
    <t>NinaRosita</t>
  </si>
  <si>
    <t>30863785</t>
  </si>
  <si>
    <t>OkiPratama6071718</t>
  </si>
  <si>
    <t>OkiPratama</t>
  </si>
  <si>
    <t>6071718</t>
  </si>
  <si>
    <t>PutriAyu96827926</t>
  </si>
  <si>
    <t>PutriAyu</t>
  </si>
  <si>
    <t>96827926</t>
  </si>
  <si>
    <t>DEF</t>
  </si>
  <si>
    <t>Jawaban</t>
  </si>
  <si>
    <t>DEF2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</si>
</sst>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Courier New"/>
      <family val="3"/>
    </font>
    <font>
      <b/>
      <sz val="11"/>
      <color rgb="FF0070C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002060"/>
      <name val="Aptos Narrow"/>
      <family val="2"/>
      <scheme val="minor"/>
    </font>
    <font>
      <i/>
      <sz val="11"/>
      <color theme="4" tint="-0.249977111117893"/>
      <name val="Aptos Narrow"/>
      <family val="2"/>
      <scheme val="minor"/>
    </font>
    <font>
      <b/>
      <i/>
      <sz val="11"/>
      <color theme="4" tint="-0.249977111117893"/>
      <name val="Aptos Narrow"/>
      <family val="2"/>
      <scheme val="minor"/>
    </font>
    <font>
      <b/>
      <i/>
      <u/>
      <sz val="11"/>
      <color theme="4" tint="-0.249977111117893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 indent="1"/>
    </xf>
    <xf numFmtId="0" fontId="0" fillId="6" borderId="0" xfId="0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1" fillId="0" borderId="0" xfId="0" applyFont="1"/>
    <xf numFmtId="0" fontId="2" fillId="6" borderId="0" xfId="0" applyFont="1" applyFill="1" applyAlignment="1">
      <alignment horizontal="left" vertical="center" indent="1"/>
    </xf>
    <xf numFmtId="0" fontId="0" fillId="0" borderId="0" xfId="0" quotePrefix="1"/>
    <xf numFmtId="0" fontId="4" fillId="0" borderId="0" xfId="1"/>
    <xf numFmtId="0" fontId="5" fillId="7" borderId="0" xfId="0" applyFont="1" applyFill="1"/>
    <xf numFmtId="0" fontId="6" fillId="0" borderId="0" xfId="0" applyFont="1"/>
    <xf numFmtId="0" fontId="7" fillId="0" borderId="0" xfId="0" applyFont="1"/>
    <xf numFmtId="0" fontId="0" fillId="5" borderId="0" xfId="0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belajarexcel.id/xl-test/jawaban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548640</xdr:colOff>
      <xdr:row>10</xdr:row>
      <xdr:rowOff>175260</xdr:rowOff>
    </xdr:from>
    <xdr:to>
      <xdr:col>9</xdr:col>
      <xdr:colOff>133350</xdr:colOff>
      <xdr:row>13</xdr:row>
      <xdr:rowOff>54382</xdr:rowOff>
    </xdr:to>
    <xdr:pic>
      <xdr:nvPicPr>
        <xdr:cNvPr id="2" name="Picture 1" descr="A black background with white text&#10;&#10;AI-generated content may be incorrect.">
          <a:extLst>
            <a:ext uri="{FF2B5EF4-FFF2-40B4-BE49-F238E27FC236}">
              <a16:creationId xmlns:a16="http://schemas.microsoft.com/office/drawing/2014/main" id="{B2D9521D-A455-4CA2-8A14-9F27E7FC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17480" y="1767840"/>
          <a:ext cx="1413510" cy="473482"/>
        </a:xfrm>
        <a:prstGeom prst="rect">
          <a:avLst/>
        </a:prstGeom>
      </xdr:spPr>
    </xdr:pic>
    <xdr:clientData/>
  </xdr:twoCellAnchor>
  <xdr:twoCellAnchor>
    <xdr:from>
      <xdr:col>7</xdr:col>
      <xdr:colOff>30480</xdr:colOff>
      <xdr:row>17</xdr:row>
      <xdr:rowOff>121920</xdr:rowOff>
    </xdr:from>
    <xdr:to>
      <xdr:col>9</xdr:col>
      <xdr:colOff>480060</xdr:colOff>
      <xdr:row>18</xdr:row>
      <xdr:rowOff>182880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5D3EADF-304F-447E-9EC1-6D670F733155}"/>
            </a:ext>
          </a:extLst>
        </xdr:cNvPr>
        <xdr:cNvSpPr/>
      </xdr:nvSpPr>
      <xdr:spPr>
        <a:xfrm>
          <a:off x="10408920" y="3512820"/>
          <a:ext cx="1668780" cy="25908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Cek hasil Jawaban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belajarexcel.id/xl-te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A2F9D-EA20-44DA-84AC-1FF166B0D979}">
  <sheetPr codeName="Sheet1"/>
  <dimension ref="B2:J110"/>
  <sheetViews>
    <sheetView tabSelected="1" topLeftCell="A21" workbookViewId="0">
      <selection activeCell="F26" sqref="F26"/>
    </sheetView>
  </sheetViews>
  <sheetFormatPr defaultRowHeight="14.45"/>
  <cols>
    <col min="2" max="2" width="35.7109375" customWidth="1"/>
    <col min="3" max="3" width="33" customWidth="1"/>
    <col min="4" max="4" width="23.28515625" customWidth="1"/>
    <col min="5" max="5" width="21.28515625" customWidth="1"/>
    <col min="6" max="6" width="20.28515625" customWidth="1"/>
  </cols>
  <sheetData>
    <row r="2" spans="2:10" ht="18">
      <c r="B2" s="11" t="s">
        <v>0</v>
      </c>
      <c r="C2" s="12" t="s">
        <v>1</v>
      </c>
      <c r="D2" s="11" t="s">
        <v>2</v>
      </c>
      <c r="E2" s="12" t="str">
        <f ca="1">Kode_jawaban</f>
        <v>DEF2|845-34DB723PAS5543DU9;621-26D11000811;451-1C3DISJARNAMTRI;218-DA860110703026</v>
      </c>
    </row>
    <row r="4" spans="2:10" ht="19.899999999999999" customHeight="1">
      <c r="B4" s="3" t="s">
        <v>3</v>
      </c>
    </row>
    <row r="5" spans="2:10" ht="3.6" customHeight="1"/>
    <row r="6" spans="2:10" ht="25.15" customHeight="1">
      <c r="B6" s="1" t="s">
        <v>4</v>
      </c>
      <c r="C6" s="1" t="s">
        <v>5</v>
      </c>
      <c r="D6" s="1" t="s">
        <v>6</v>
      </c>
      <c r="E6" s="2" t="s">
        <v>7</v>
      </c>
      <c r="F6" s="2" t="s">
        <v>8</v>
      </c>
      <c r="G6" s="7"/>
      <c r="H6" s="7" t="s">
        <v>9</v>
      </c>
      <c r="I6" s="7"/>
      <c r="J6" s="7"/>
    </row>
    <row r="7" spans="2:10" ht="15.6">
      <c r="B7" s="8" t="s">
        <v>10</v>
      </c>
      <c r="C7" s="5" t="s">
        <v>11</v>
      </c>
      <c r="D7" s="5" t="s">
        <v>12</v>
      </c>
      <c r="E7" s="6" t="str" cm="1">
        <f t="array" aca="1" ref="E7" ca="1">MID(B7,MATCH(FALSE,LEFT(MID(B7,ROW(INDIRECT("1:"&amp;FIND("-",B7)-1)),1))="0",0),FIND("-",B7)-MATCH(FALSE,LEFT(MID(B7,ROW(INDIRECT("1:"&amp;FIND("-",B7)-1)),1))="0",0))</f>
        <v>B7239KLM4</v>
      </c>
      <c r="F7" s="6" t="str">
        <f>MID(B7,FIND("-",B7)+1,4)</f>
        <v>2000</v>
      </c>
      <c r="H7" s="9" t="s">
        <v>13</v>
      </c>
    </row>
    <row r="8" spans="2:10" ht="15.6">
      <c r="B8" s="8" t="s">
        <v>14</v>
      </c>
      <c r="C8" s="5" t="s">
        <v>15</v>
      </c>
      <c r="D8" s="5" t="s">
        <v>16</v>
      </c>
      <c r="E8" s="6" t="str" cm="1">
        <f t="array" aca="1" ref="E8" ca="1">MID(B8,MATCH(FALSE,LEFT(MID(B8,ROW(INDIRECT("1:"&amp;FIND("-",B8)-1)),1))="0",0),FIND("-",B8)-MATCH(FALSE,LEFT(MID(B8,ROW(INDIRECT("1:"&amp;FIND("-",B8)-1)),1))="0",0))</f>
        <v>891PLO2407</v>
      </c>
      <c r="F8" s="6" t="str">
        <f t="shared" ref="F8:F21" si="0">MID(B8,FIND("-",B8)+1,4)</f>
        <v>2001</v>
      </c>
      <c r="H8" s="9" t="s">
        <v>17</v>
      </c>
    </row>
    <row r="9" spans="2:10" ht="15.6">
      <c r="B9" s="8" t="s">
        <v>18</v>
      </c>
      <c r="C9" s="5" t="s">
        <v>19</v>
      </c>
      <c r="D9" s="5" t="s">
        <v>20</v>
      </c>
      <c r="E9" s="6" t="str" cm="1">
        <f t="array" aca="1" ref="E9" ca="1">MID(B9,MATCH(FALSE,LEFT(MID(B9,ROW(INDIRECT("1:"&amp;FIND("-",B9)-1)),1))="0",0),FIND("-",B9)-MATCH(FALSE,LEFT(MID(B9,ROW(INDIRECT("1:"&amp;FIND("-",B9)-1)),1))="0",0))</f>
        <v>C456QWE8</v>
      </c>
      <c r="F9" s="6" t="str">
        <f t="shared" si="0"/>
        <v>2019</v>
      </c>
      <c r="H9" s="9" t="s">
        <v>21</v>
      </c>
    </row>
    <row r="10" spans="2:10" ht="15.6">
      <c r="B10" s="8" t="s">
        <v>22</v>
      </c>
      <c r="C10" s="5" t="s">
        <v>23</v>
      </c>
      <c r="D10" s="5" t="s">
        <v>16</v>
      </c>
      <c r="E10" s="6" t="str" cm="1">
        <f t="array" aca="1" ref="E10" ca="1">MID(B10,MATCH(FALSE,LEFT(MID(B10,ROW(INDIRECT("1:"&amp;FIND("-",B10)-1)),1))="0",0),FIND("-",B10)-MATCH(FALSE,LEFT(MID(B10,ROW(INDIRECT("1:"&amp;FIND("-",B10)-1)),1))="0",0))</f>
        <v>321RTY9006</v>
      </c>
      <c r="F10" s="6" t="str">
        <f t="shared" si="0"/>
        <v>2001</v>
      </c>
    </row>
    <row r="11" spans="2:10" ht="15.6">
      <c r="B11" s="8" t="s">
        <v>24</v>
      </c>
      <c r="C11" s="5" t="s">
        <v>25</v>
      </c>
      <c r="D11" s="5" t="s">
        <v>26</v>
      </c>
      <c r="E11" s="6" t="str" cm="1">
        <f t="array" aca="1" ref="E11" ca="1">MID(B11,MATCH(FALSE,LEFT(MID(B11,ROW(INDIRECT("1:"&amp;FIND("-",B11)-1)),1))="0",0),FIND("-",B11)-MATCH(FALSE,LEFT(MID(B11,ROW(INDIRECT("1:"&amp;FIND("-",B11)-1)),1))="0",0))</f>
        <v>D789UIO3</v>
      </c>
      <c r="F11" s="6" t="str">
        <f t="shared" si="0"/>
        <v>2015</v>
      </c>
    </row>
    <row r="12" spans="2:10" ht="15.6">
      <c r="B12" s="8" t="s">
        <v>27</v>
      </c>
      <c r="C12" s="5" t="s">
        <v>28</v>
      </c>
      <c r="D12" s="5" t="s">
        <v>29</v>
      </c>
      <c r="E12" s="6" t="str" cm="1">
        <f t="array" aca="1" ref="E12" ca="1">MID(B12,MATCH(FALSE,LEFT(MID(B12,ROW(INDIRECT("1:"&amp;FIND("-",B12)-1)),1))="0",0),FIND("-",B12)-MATCH(FALSE,LEFT(MID(B12,ROW(INDIRECT("1:"&amp;FIND("-",B12)-1)),1))="0",0))</f>
        <v>654IOP1234</v>
      </c>
      <c r="F12" s="6" t="str">
        <f t="shared" si="0"/>
        <v>2008</v>
      </c>
    </row>
    <row r="13" spans="2:10" ht="15.6">
      <c r="B13" s="8" t="s">
        <v>30</v>
      </c>
      <c r="C13" s="5" t="s">
        <v>31</v>
      </c>
      <c r="D13" s="5" t="s">
        <v>32</v>
      </c>
      <c r="E13" s="6" t="str" cm="1">
        <f t="array" aca="1" ref="E13" ca="1">MID(B13,MATCH(FALSE,LEFT(MID(B13,ROW(INDIRECT("1:"&amp;FIND("-",B13)-1)),1))="0",0),FIND("-",B13)-MATCH(FALSE,LEFT(MID(B13,ROW(INDIRECT("1:"&amp;FIND("-",B13)-1)),1))="0",0))</f>
        <v>E012PAS5</v>
      </c>
      <c r="F13" s="6" t="str">
        <f t="shared" si="0"/>
        <v>2011</v>
      </c>
    </row>
    <row r="14" spans="2:10" ht="15.6">
      <c r="B14" s="8" t="s">
        <v>33</v>
      </c>
      <c r="C14" s="5" t="s">
        <v>34</v>
      </c>
      <c r="D14" s="5" t="s">
        <v>35</v>
      </c>
      <c r="E14" s="6" t="str" cm="1">
        <f t="array" aca="1" ref="E14" ca="1">MID(B14,MATCH(FALSE,LEFT(MID(B14,ROW(INDIRECT("1:"&amp;FIND("-",B14)-1)),1))="0",0),FIND("-",B14)-MATCH(FALSE,LEFT(MID(B14,ROW(INDIRECT("1:"&amp;FIND("-",B14)-1)),1))="0",0))</f>
        <v>987LKH5432</v>
      </c>
      <c r="F14" s="6" t="str">
        <f t="shared" si="0"/>
        <v>2021</v>
      </c>
      <c r="H14" s="10" t="s">
        <v>36</v>
      </c>
    </row>
    <row r="15" spans="2:10" ht="15.6">
      <c r="B15" s="8" t="s">
        <v>37</v>
      </c>
      <c r="C15" s="5" t="s">
        <v>38</v>
      </c>
      <c r="D15" s="5" t="s">
        <v>29</v>
      </c>
      <c r="E15" s="6" t="str" cm="1">
        <f t="array" aca="1" ref="E15" ca="1">MID(B15,MATCH(FALSE,LEFT(MID(B15,ROW(INDIRECT("1:"&amp;FIND("-",B15)-1)),1))="0",0),FIND("-",B15)-MATCH(FALSE,LEFT(MID(B15,ROW(INDIRECT("1:"&amp;FIND("-",B15)-1)),1))="0",0))</f>
        <v>F345M0B7</v>
      </c>
      <c r="F15" s="6" t="str">
        <f t="shared" si="0"/>
        <v>2008</v>
      </c>
    </row>
    <row r="16" spans="2:10" ht="15.6">
      <c r="B16" s="8" t="s">
        <v>39</v>
      </c>
      <c r="C16" s="5" t="s">
        <v>40</v>
      </c>
      <c r="D16" s="5" t="s">
        <v>41</v>
      </c>
      <c r="E16" s="6" t="str" cm="1">
        <f t="array" aca="1" ref="E16" ca="1">MID(B16,MATCH(FALSE,LEFT(MID(B16,ROW(INDIRECT("1:"&amp;FIND("-",B16)-1)),1))="0",0),FIND("-",B16)-MATCH(FALSE,LEFT(MID(B16,ROW(INDIRECT("1:"&amp;FIND("-",B16)-1)),1))="0",0))</f>
        <v>A2100ZXC6789</v>
      </c>
      <c r="F16" s="6" t="str">
        <f t="shared" si="0"/>
        <v>2010</v>
      </c>
    </row>
    <row r="17" spans="2:8" ht="15.6">
      <c r="B17" s="8" t="s">
        <v>42</v>
      </c>
      <c r="C17" s="5" t="s">
        <v>43</v>
      </c>
      <c r="D17" s="5" t="s">
        <v>29</v>
      </c>
      <c r="E17" s="6" t="str" cm="1">
        <f t="array" aca="1" ref="E17" ca="1">MID(B17,MATCH(FALSE,LEFT(MID(B17,ROW(INDIRECT("1:"&amp;FIND("-",B17)-1)),1))="0",0),FIND("-",B17)-MATCH(FALSE,LEFT(MID(B17,ROW(INDIRECT("1:"&amp;FIND("-",B17)-1)),1))="0",0))</f>
        <v>G678VBN2</v>
      </c>
      <c r="F17" s="6" t="str">
        <f t="shared" si="0"/>
        <v>2008</v>
      </c>
      <c r="H17" s="13" t="s">
        <v>44</v>
      </c>
    </row>
    <row r="18" spans="2:8" ht="15.6">
      <c r="B18" s="8" t="s">
        <v>45</v>
      </c>
      <c r="C18" s="5" t="s">
        <v>46</v>
      </c>
      <c r="D18" s="5" t="s">
        <v>29</v>
      </c>
      <c r="E18" s="6" t="str" cm="1">
        <f t="array" aca="1" ref="E18" ca="1">MID(B18,MATCH(FALSE,LEFT(MID(B18,ROW(INDIRECT("1:"&amp;FIND("-",B18)-1)),1))="0",0),FIND("-",B18)-MATCH(FALSE,LEFT(MID(B18,ROW(INDIRECT("1:"&amp;FIND("-",B18)-1)),1))="0",0))</f>
        <v>543DFG8901</v>
      </c>
      <c r="F18" s="6" t="str">
        <f t="shared" si="0"/>
        <v>2008</v>
      </c>
    </row>
    <row r="19" spans="2:8" ht="15.6">
      <c r="B19" s="8" t="s">
        <v>47</v>
      </c>
      <c r="C19" s="5" t="s">
        <v>48</v>
      </c>
      <c r="D19" s="5" t="s">
        <v>49</v>
      </c>
      <c r="E19" s="6" t="str" cm="1">
        <f t="array" aca="1" ref="E19" ca="1">MID(B19,MATCH(FALSE,LEFT(MID(B19,ROW(INDIRECT("1:"&amp;FIND("-",B19)-1)),1))="0",0),FIND("-",B19)-MATCH(FALSE,LEFT(MID(B19,ROW(INDIRECT("1:"&amp;FIND("-",B19)-1)),1))="0",0))</f>
        <v>H901QAZ4</v>
      </c>
      <c r="F19" s="6" t="str">
        <f t="shared" si="0"/>
        <v>2024</v>
      </c>
    </row>
    <row r="20" spans="2:8" ht="15.6">
      <c r="B20" s="8" t="s">
        <v>50</v>
      </c>
      <c r="C20" s="5" t="s">
        <v>51</v>
      </c>
      <c r="D20" s="5" t="s">
        <v>49</v>
      </c>
      <c r="E20" s="6" t="str" cm="1">
        <f t="array" aca="1" ref="E20" ca="1">MID(B20,MATCH(FALSE,LEFT(MID(B20,ROW(INDIRECT("1:"&amp;FIND("-",B20)-1)),1))="0",0),FIND("-",B20)-MATCH(FALSE,LEFT(MID(B20,ROW(INDIRECT("1:"&amp;FIND("-",B20)-1)),1))="0",0))</f>
        <v>876W0R3456</v>
      </c>
      <c r="F20" s="6" t="str">
        <f t="shared" si="0"/>
        <v>2024</v>
      </c>
    </row>
    <row r="21" spans="2:8" ht="15.6">
      <c r="B21" s="8" t="s">
        <v>52</v>
      </c>
      <c r="C21" s="5" t="s">
        <v>53</v>
      </c>
      <c r="D21" s="5" t="s">
        <v>32</v>
      </c>
      <c r="E21" s="6" t="str" cm="1">
        <f t="array" aca="1" ref="E21" ca="1">MID(B21,MATCH(FALSE,LEFT(MID(B21,ROW(INDIRECT("1:"&amp;FIND("-",B21)-1)),1))="0",0),FIND("-",B21)-MATCH(FALSE,LEFT(MID(B21,ROW(INDIRECT("1:"&amp;FIND("-",B21)-1)),1))="0",0))</f>
        <v>500J234TYU9</v>
      </c>
      <c r="F21" s="6" t="str">
        <f t="shared" si="0"/>
        <v>2011</v>
      </c>
    </row>
    <row r="23" spans="2:8" ht="19.899999999999999" customHeight="1">
      <c r="B23" s="3" t="s">
        <v>54</v>
      </c>
    </row>
    <row r="24" spans="2:8" ht="3.6" customHeight="1"/>
    <row r="25" spans="2:8" ht="25.15" customHeight="1">
      <c r="B25" s="1" t="s">
        <v>55</v>
      </c>
      <c r="C25" s="1" t="s">
        <v>5</v>
      </c>
      <c r="D25" s="1" t="s">
        <v>6</v>
      </c>
      <c r="E25" s="2" t="s">
        <v>7</v>
      </c>
      <c r="F25" s="2" t="s">
        <v>8</v>
      </c>
    </row>
    <row r="26" spans="2:8" ht="15.75">
      <c r="B26" s="4" t="s">
        <v>56</v>
      </c>
      <c r="C26" s="5" t="s">
        <v>57</v>
      </c>
      <c r="D26" s="5" t="s">
        <v>58</v>
      </c>
      <c r="E26" s="14" t="str" cm="1">
        <f t="array" ref="E26">LEFT(B26,MIN(FIND({0,1,2,3,4,5,6,7,8,9},B26&amp;"0123456789"))-1)</f>
        <v>BudiSantoso</v>
      </c>
      <c r="F26" s="14" t="str" cm="1">
        <f t="array" ref="F26">MID(B26,MIN(FIND({0,1,2,3,4,5,6,7,8,9},B26&amp;"0123456789")),LEN(B26))</f>
        <v>86011224</v>
      </c>
    </row>
    <row r="27" spans="2:8" ht="15.75">
      <c r="B27" s="4" t="s">
        <v>59</v>
      </c>
      <c r="C27" s="5" t="s">
        <v>60</v>
      </c>
      <c r="D27" s="5" t="s">
        <v>61</v>
      </c>
      <c r="E27" s="14" t="str" cm="1">
        <f t="array" ref="E27">LEFT(B27,MIN(FIND({0,1,2,3,4,5,6,7,8,9},B27&amp;"0123456789"))-1)</f>
        <v>CitraNurul</v>
      </c>
      <c r="F27" s="14" t="str" cm="1">
        <f t="array" ref="F27">MID(B27,MIN(FIND({0,1,2,3,4,5,6,7,8,9},B27&amp;"0123456789")),LEN(B27))</f>
        <v>764353</v>
      </c>
    </row>
    <row r="28" spans="2:8" ht="15.75">
      <c r="B28" s="4" t="s">
        <v>62</v>
      </c>
      <c r="C28" s="5" t="s">
        <v>63</v>
      </c>
      <c r="D28" s="5" t="s">
        <v>64</v>
      </c>
      <c r="E28" s="14" t="str" cm="1">
        <f t="array" ref="E28">LEFT(B28,MIN(FIND({0,1,2,3,4,5,6,7,8,9},B28&amp;"0123456789"))-1)</f>
        <v>DianPratama</v>
      </c>
      <c r="F28" s="14" t="str" cm="1">
        <f t="array" ref="F28">MID(B28,MIN(FIND({0,1,2,3,4,5,6,7,8,9},B28&amp;"0123456789")),LEN(B28))</f>
        <v>5521591</v>
      </c>
    </row>
    <row r="29" spans="2:8" ht="15.75">
      <c r="B29" s="4" t="s">
        <v>65</v>
      </c>
      <c r="C29" s="5" t="s">
        <v>66</v>
      </c>
      <c r="D29" s="5" t="s">
        <v>67</v>
      </c>
      <c r="E29" s="14" t="str" cm="1">
        <f t="array" ref="E29">LEFT(B29,MIN(FIND({0,1,2,3,4,5,6,7,8,9},B29&amp;"0123456789"))-1)</f>
        <v>EkaWulandari</v>
      </c>
      <c r="F29" s="14" t="str" cm="1">
        <f t="array" ref="F29">MID(B29,MIN(FIND({0,1,2,3,4,5,6,7,8,9},B29&amp;"0123456789")),LEN(B29))</f>
        <v>3980824</v>
      </c>
    </row>
    <row r="30" spans="2:8" ht="15.75">
      <c r="B30" s="4" t="s">
        <v>68</v>
      </c>
      <c r="C30" s="5" t="s">
        <v>69</v>
      </c>
      <c r="D30" s="5" t="s">
        <v>70</v>
      </c>
      <c r="E30" s="14" t="str" cm="1">
        <f t="array" ref="E30">LEFT(B30,MIN(FIND({0,1,2,3,4,5,6,7,8,9},B30&amp;"0123456789"))-1)</f>
        <v>FajarRahman</v>
      </c>
      <c r="F30" s="14" t="str" cm="1">
        <f t="array" ref="F30">MID(B30,MIN(FIND({0,1,2,3,4,5,6,7,8,9},B30&amp;"0123456789")),LEN(B30))</f>
        <v>3661070</v>
      </c>
    </row>
    <row r="31" spans="2:8" ht="15.75">
      <c r="B31" s="4" t="s">
        <v>71</v>
      </c>
      <c r="C31" s="5" t="s">
        <v>72</v>
      </c>
      <c r="D31" s="5" t="s">
        <v>73</v>
      </c>
      <c r="E31" s="14" t="str" cm="1">
        <f t="array" ref="E31">LEFT(B31,MIN(FIND({0,1,2,3,4,5,6,7,8,9},B31&amp;"0123456789"))-1)</f>
        <v>GitaPermata</v>
      </c>
      <c r="F31" s="14" t="str" cm="1">
        <f t="array" ref="F31">MID(B31,MIN(FIND({0,1,2,3,4,5,6,7,8,9},B31&amp;"0123456789")),LEN(B31))</f>
        <v>3610473</v>
      </c>
    </row>
    <row r="32" spans="2:8" ht="15.75">
      <c r="B32" s="4" t="s">
        <v>74</v>
      </c>
      <c r="C32" s="5" t="s">
        <v>75</v>
      </c>
      <c r="D32" s="5" t="s">
        <v>76</v>
      </c>
      <c r="E32" s="14" t="str" cm="1">
        <f t="array" ref="E32">LEFT(B32,MIN(FIND({0,1,2,3,4,5,6,7,8,9},B32&amp;"0123456789"))-1)</f>
        <v>HendraKurniawan</v>
      </c>
      <c r="F32" s="14" t="str" cm="1">
        <f t="array" ref="F32">MID(B32,MIN(FIND({0,1,2,3,4,5,6,7,8,9},B32&amp;"0123456789")),LEN(B32))</f>
        <v>75122</v>
      </c>
    </row>
    <row r="33" spans="2:6" ht="15.75">
      <c r="B33" s="4" t="s">
        <v>77</v>
      </c>
      <c r="C33" s="5" t="s">
        <v>78</v>
      </c>
      <c r="D33" s="5" t="s">
        <v>79</v>
      </c>
      <c r="E33" s="14" t="str" cm="1">
        <f t="array" ref="E33">LEFT(B33,MIN(FIND({0,1,2,3,4,5,6,7,8,9},B33&amp;"0123456789"))-1)</f>
        <v>IndraWijaya</v>
      </c>
      <c r="F33" s="14" t="str" cm="1">
        <f t="array" ref="F33">MID(B33,MIN(FIND({0,1,2,3,4,5,6,7,8,9},B33&amp;"0123456789")),LEN(B33))</f>
        <v>5803828</v>
      </c>
    </row>
    <row r="34" spans="2:6" ht="15.75">
      <c r="B34" s="4" t="s">
        <v>80</v>
      </c>
      <c r="C34" s="5" t="s">
        <v>81</v>
      </c>
      <c r="D34" s="5" t="s">
        <v>82</v>
      </c>
      <c r="E34" s="14" t="str" cm="1">
        <f t="array" ref="E34">LEFT(B34,MIN(FIND({0,1,2,3,4,5,6,7,8,9},B34&amp;"0123456789"))-1)</f>
        <v>JokoSusilo</v>
      </c>
      <c r="F34" s="14" t="str" cm="1">
        <f t="array" ref="F34">MID(B34,MIN(FIND({0,1,2,3,4,5,6,7,8,9},B34&amp;"0123456789")),LEN(B34))</f>
        <v>6676973</v>
      </c>
    </row>
    <row r="35" spans="2:6" ht="15.75">
      <c r="B35" s="4" t="s">
        <v>83</v>
      </c>
      <c r="C35" s="5" t="s">
        <v>84</v>
      </c>
      <c r="D35" s="5" t="s">
        <v>85</v>
      </c>
      <c r="E35" s="14" t="str" cm="1">
        <f t="array" ref="E35">LEFT(B35,MIN(FIND({0,1,2,3,4,5,6,7,8,9},B35&amp;"0123456789"))-1)</f>
        <v>KartikaSari</v>
      </c>
      <c r="F35" s="14" t="str" cm="1">
        <f t="array" ref="F35">MID(B35,MIN(FIND({0,1,2,3,4,5,6,7,8,9},B35&amp;"0123456789")),LEN(B35))</f>
        <v>5066460</v>
      </c>
    </row>
    <row r="36" spans="2:6" ht="15.75">
      <c r="B36" s="4" t="s">
        <v>86</v>
      </c>
      <c r="C36" s="5" t="s">
        <v>87</v>
      </c>
      <c r="D36" s="5" t="s">
        <v>88</v>
      </c>
      <c r="E36" s="14" t="str" cm="1">
        <f t="array" ref="E36">LEFT(B36,MIN(FIND({0,1,2,3,4,5,6,7,8,9},B36&amp;"0123456789"))-1)</f>
        <v>LinaMarlina</v>
      </c>
      <c r="F36" s="14" t="str" cm="1">
        <f t="array" ref="F36">MID(B36,MIN(FIND({0,1,2,3,4,5,6,7,8,9},B36&amp;"0123456789")),LEN(B36))</f>
        <v>308214</v>
      </c>
    </row>
    <row r="37" spans="2:6" ht="15.75">
      <c r="B37" s="4" t="s">
        <v>89</v>
      </c>
      <c r="C37" s="5" t="s">
        <v>90</v>
      </c>
      <c r="D37" s="5" t="s">
        <v>91</v>
      </c>
      <c r="E37" s="14" t="str" cm="1">
        <f t="array" ref="E37">LEFT(B37,MIN(FIND({0,1,2,3,4,5,6,7,8,9},B37&amp;"0123456789"))-1)</f>
        <v>MayaIndah</v>
      </c>
      <c r="F37" s="14" t="str" cm="1">
        <f t="array" ref="F37">MID(B37,MIN(FIND({0,1,2,3,4,5,6,7,8,9},B37&amp;"0123456789")),LEN(B37))</f>
        <v>6527502</v>
      </c>
    </row>
    <row r="38" spans="2:6" ht="15.75">
      <c r="B38" s="4" t="s">
        <v>92</v>
      </c>
      <c r="C38" s="5" t="s">
        <v>93</v>
      </c>
      <c r="D38" s="5" t="s">
        <v>94</v>
      </c>
      <c r="E38" s="14" t="str" cm="1">
        <f t="array" ref="E38">LEFT(B38,MIN(FIND({0,1,2,3,4,5,6,7,8,9},B38&amp;"0123456789"))-1)</f>
        <v>NinaRosita</v>
      </c>
      <c r="F38" s="14" t="str" cm="1">
        <f t="array" ref="F38">MID(B38,MIN(FIND({0,1,2,3,4,5,6,7,8,9},B38&amp;"0123456789")),LEN(B38))</f>
        <v>30863785</v>
      </c>
    </row>
    <row r="39" spans="2:6" ht="15.75">
      <c r="B39" s="4" t="s">
        <v>95</v>
      </c>
      <c r="C39" s="5" t="s">
        <v>96</v>
      </c>
      <c r="D39" s="5" t="s">
        <v>97</v>
      </c>
      <c r="E39" s="14" t="str" cm="1">
        <f t="array" ref="E39">LEFT(B39,MIN(FIND({0,1,2,3,4,5,6,7,8,9},B39&amp;"0123456789"))-1)</f>
        <v>OkiPratama</v>
      </c>
      <c r="F39" s="14" t="str" cm="1">
        <f t="array" ref="F39">MID(B39,MIN(FIND({0,1,2,3,4,5,6,7,8,9},B39&amp;"0123456789")),LEN(B39))</f>
        <v>6071718</v>
      </c>
    </row>
    <row r="40" spans="2:6" ht="15.75">
      <c r="B40" s="4" t="s">
        <v>98</v>
      </c>
      <c r="C40" s="5" t="s">
        <v>99</v>
      </c>
      <c r="D40" s="5" t="s">
        <v>100</v>
      </c>
      <c r="E40" s="14" t="str" cm="1">
        <f t="array" ref="E40">LEFT(B40,MIN(FIND({0,1,2,3,4,5,6,7,8,9},B40&amp;"0123456789"))-1)</f>
        <v>PutriAyu</v>
      </c>
      <c r="F40" s="14" t="str" cm="1">
        <f t="array" ref="F40">MID(B40,MIN(FIND({0,1,2,3,4,5,6,7,8,9},B40&amp;"0123456789")),LEN(B40))</f>
        <v>96827926</v>
      </c>
    </row>
    <row r="98" spans="2:6" hidden="1"/>
    <row r="99" spans="2:6" hidden="1"/>
    <row r="100" spans="2:6" hidden="1">
      <c r="B100" t="s">
        <v>101</v>
      </c>
      <c r="C100" t="s">
        <v>102</v>
      </c>
    </row>
    <row r="101" spans="2:6" hidden="1">
      <c r="B101" t="s">
        <v>103</v>
      </c>
      <c r="C101" t="str">
        <f ca="1">E7</f>
        <v>B7239KLM4</v>
      </c>
      <c r="D101" t="str">
        <f>F7</f>
        <v>2000</v>
      </c>
      <c r="E101" t="str">
        <f>E26</f>
        <v>BudiSantoso</v>
      </c>
      <c r="F101" t="str">
        <f>F26</f>
        <v>86011224</v>
      </c>
    </row>
    <row r="102" spans="2:6" hidden="1">
      <c r="C102" t="str">
        <f ca="1">E13</f>
        <v>E012PAS5</v>
      </c>
      <c r="D102" t="str">
        <f>F13</f>
        <v>2011</v>
      </c>
      <c r="E102" t="str">
        <f>E30</f>
        <v>FajarRahman</v>
      </c>
      <c r="F102" t="str">
        <f>F30</f>
        <v>3661070</v>
      </c>
    </row>
    <row r="103" spans="2:6" hidden="1">
      <c r="C103" t="str">
        <f ca="1">E18</f>
        <v>543DFG8901</v>
      </c>
      <c r="D103" t="str">
        <f>F18</f>
        <v>2008</v>
      </c>
      <c r="E103" t="str">
        <f>E36</f>
        <v>LinaMarlina</v>
      </c>
      <c r="F103" t="str">
        <f>F36</f>
        <v>308214</v>
      </c>
    </row>
    <row r="104" spans="2:6" hidden="1">
      <c r="C104" t="str">
        <f ca="1">E21</f>
        <v>500J234TYU9</v>
      </c>
      <c r="D104" t="str">
        <f>F21</f>
        <v>2011</v>
      </c>
      <c r="E104" t="str">
        <f>E40</f>
        <v>PutriAyu</v>
      </c>
      <c r="F104" t="str">
        <f>F40</f>
        <v>96827926</v>
      </c>
    </row>
    <row r="105" spans="2:6" hidden="1"/>
    <row r="106" spans="2:6" hidden="1">
      <c r="B106" t="str">
        <f>B101&amp;"|"</f>
        <v>DEF2|</v>
      </c>
      <c r="C106" t="str">
        <f ca="1">DEC2HEX(C107)&amp;LEFT(C101,4)&amp;RIGHT(C102,4)&amp;LEFT(C103,4)&amp;RIGHT(C104,2)</f>
        <v>34DB723PAS5543DU9</v>
      </c>
      <c r="D106" t="str">
        <f ca="1">DEC2HEX(D107)&amp;RIGHT(D102,2)&amp;RIGHT(D101,2)&amp;RIGHT(D103,2)&amp;RIGHT(D104,2)</f>
        <v>26D11000811</v>
      </c>
      <c r="E106" t="str">
        <f ca="1">DEC2HEX(E107)&amp;UPPER(MID(E101,3,3)&amp;MID(E102,3,3)&amp;MID(E103,3,3)&amp;MID(E104,3,3))</f>
        <v>1C3DISJARNAMTRI</v>
      </c>
      <c r="F106" t="str">
        <f ca="1">DEC2HEX(F107)&amp;LEFT(F101,4)&amp;RIGHT(F102,4)&amp;LEFT(F103,2)&amp;RIGHT(F104,2)</f>
        <v>DA860110703026</v>
      </c>
    </row>
    <row r="107" spans="2:6" hidden="1">
      <c r="C107">
        <f ca="1">(IF(ISERROR(FIND("ID",_xlfn.FORMULATEXT(E7))),245,845))</f>
        <v>845</v>
      </c>
      <c r="D107">
        <f ca="1">(IF(OR(ISNUMBER(FIND("FT",_xlfn.FORMULATEXT(F7))),ISNUMBER(FIND("ID",_xlfn.FORMULATEXT(F7)))),621,421))</f>
        <v>621</v>
      </c>
      <c r="E107">
        <f ca="1">IF(OR(ISNUMBER(SEARCH("Ft",_xlfn.FORMULATEXT(E26))),ISNUMBER(SEARCH("ID",_xlfn.FORMULATEXT(E26)))),451,321)</f>
        <v>451</v>
      </c>
      <c r="F107">
        <f ca="1">IF(OR(ISNUMBER(FIND("HT",_xlfn.FORMULATEXT(F26))),ISNUMBER(FIND("ID",_xlfn.FORMULATEXT(F26)))),218,981)</f>
        <v>218</v>
      </c>
    </row>
    <row r="108" spans="2:6" hidden="1">
      <c r="C108" t="str">
        <f ca="1">C107&amp;"-"&amp;C106</f>
        <v>845-34DB723PAS5543DU9</v>
      </c>
      <c r="D108" t="str">
        <f ca="1">D107&amp;"-"&amp;D106</f>
        <v>621-26D11000811</v>
      </c>
      <c r="E108" t="str">
        <f ca="1">E107&amp;"-"&amp;E106</f>
        <v>451-1C3DISJARNAMTRI</v>
      </c>
      <c r="F108" t="str">
        <f ca="1">F107&amp;"-"&amp;F106</f>
        <v>218-DA860110703026</v>
      </c>
    </row>
    <row r="109" spans="2:6" hidden="1">
      <c r="C109" t="str">
        <f ca="1">B106&amp;C108&amp;";"&amp;D108&amp;";"&amp;E108&amp;";"&amp;F108</f>
        <v>DEF2|845-34DB723PAS5543DU9;621-26D11000811;451-1C3DISJARNAMTRI;218-DA860110703026</v>
      </c>
    </row>
    <row r="110" spans="2:6" hidden="1"/>
  </sheetData>
  <hyperlinks>
    <hyperlink ref="H14" r:id="rId1" xr:uid="{802B0469-F5F2-465E-883A-D6328C143D8F}"/>
  </hyperlinks>
  <pageMargins left="0.7" right="0.7" top="0.75" bottom="0.75" header="0.3" footer="0.3"/>
  <ignoredErrors>
    <ignoredError sqref="D7:D21 D26:D40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andi setiadi</dc:creator>
  <cp:keywords/>
  <dc:description/>
  <cp:lastModifiedBy>Siti Rukoyah Al Munazalah</cp:lastModifiedBy>
  <cp:revision/>
  <dcterms:created xsi:type="dcterms:W3CDTF">2025-02-26T09:22:54Z</dcterms:created>
  <dcterms:modified xsi:type="dcterms:W3CDTF">2026-06-16T07:22:00Z</dcterms:modified>
  <cp:category/>
  <cp:contentStatus/>
</cp:coreProperties>
</file>