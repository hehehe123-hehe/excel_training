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349" documentId="8_{644E630A-0717-4DAE-8268-910CFEE0834A}" xr6:coauthVersionLast="47" xr6:coauthVersionMax="47" xr10:uidLastSave="{A88C5CBF-E0D6-45ED-B385-CCEFF562B824}"/>
  <workbookProtection workbookAlgorithmName="SHA-512" workbookHashValue="1QDkgvRcZTS9vFlis8qwMKHQgz8eTRwfjxl1F1S07J+tHosplolNq3oL7838df3dnDZgKlzrTP15ctdKKJ4rig==" workbookSaltValue="3ngUZoerTRBM4PUyKRhB1A==" workbookSpinCount="100000" lockStructure="1"/>
  <bookViews>
    <workbookView xWindow="28692" yWindow="-108" windowWidth="29016" windowHeight="15696" xr2:uid="{F08B91E5-40EB-42D3-8CF4-57CB1FF39E77}"/>
  </bookViews>
  <sheets>
    <sheet name="XL-Test" sheetId="1" r:id="rId1"/>
    <sheet name="DF" sheetId="2" state="veryHidden" r:id="rId2"/>
  </sheets>
  <definedNames>
    <definedName name="kode_jawaban">DF!$C$19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1" i="1"/>
  <c r="E8" i="1"/>
  <c r="E9" i="1"/>
  <c r="E10" i="1"/>
  <c r="E12" i="1"/>
  <c r="E13" i="1"/>
  <c r="E14" i="1"/>
  <c r="E15" i="1"/>
  <c r="E16" i="1"/>
  <c r="E17" i="1"/>
  <c r="E19" i="1"/>
  <c r="E20" i="1"/>
  <c r="E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7" i="1"/>
  <c r="M7" i="1"/>
  <c r="K7" i="1"/>
  <c r="L7" i="1" s="1"/>
  <c r="J7" i="1"/>
  <c r="I7" i="1"/>
  <c r="H7" i="1"/>
  <c r="G7" i="1"/>
  <c r="F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K1" i="2"/>
  <c r="K5" i="2"/>
  <c r="K2" i="2"/>
  <c r="K3" i="2"/>
  <c r="K6" i="2"/>
  <c r="K4" i="2"/>
  <c r="Q21" i="2"/>
  <c r="Q22" i="2"/>
  <c r="Q23" i="2"/>
  <c r="Q24" i="2"/>
  <c r="L2" i="2"/>
  <c r="L6" i="2"/>
  <c r="L4" i="2"/>
  <c r="L1" i="2"/>
  <c r="J5" i="2"/>
  <c r="J2" i="2"/>
  <c r="J3" i="2"/>
  <c r="J6" i="2"/>
  <c r="J4" i="2"/>
  <c r="J1" i="2"/>
  <c r="I5" i="2"/>
  <c r="I4" i="2"/>
  <c r="H2" i="2"/>
  <c r="H3" i="2"/>
  <c r="H4" i="2"/>
  <c r="G2" i="2"/>
  <c r="G3" i="2"/>
  <c r="G4" i="2"/>
  <c r="F2" i="2"/>
  <c r="F6" i="2"/>
  <c r="F4" i="2"/>
  <c r="F1" i="2"/>
  <c r="E5" i="2"/>
  <c r="E2" i="2"/>
  <c r="E3" i="2"/>
  <c r="E6" i="2"/>
  <c r="E4" i="2"/>
  <c r="D6" i="2"/>
  <c r="C1" i="2"/>
  <c r="C41" i="2"/>
  <c r="G29" i="2"/>
  <c r="G30" i="2"/>
  <c r="G28" i="2"/>
  <c r="J29" i="2"/>
  <c r="J30" i="2"/>
  <c r="J28" i="2"/>
  <c r="I29" i="2"/>
  <c r="I30" i="2"/>
  <c r="I28" i="2"/>
  <c r="H29" i="2"/>
  <c r="H30" i="2"/>
  <c r="H28" i="2"/>
  <c r="L29" i="2"/>
  <c r="L30" i="2"/>
  <c r="L28" i="2"/>
  <c r="C29" i="2"/>
  <c r="D29" i="2"/>
  <c r="E29" i="2"/>
  <c r="F29" i="2"/>
  <c r="K29" i="2"/>
  <c r="C30" i="2"/>
  <c r="D30" i="2"/>
  <c r="E30" i="2"/>
  <c r="F30" i="2"/>
  <c r="K30" i="2"/>
  <c r="D28" i="2"/>
  <c r="E28" i="2"/>
  <c r="F28" i="2"/>
  <c r="K28" i="2"/>
  <c r="C28" i="2"/>
  <c r="D31" i="2"/>
  <c r="E31" i="2"/>
  <c r="F31" i="2"/>
  <c r="G31" i="2"/>
  <c r="H31" i="2"/>
  <c r="I31" i="2"/>
  <c r="J31" i="2"/>
  <c r="K31" i="2"/>
  <c r="L31" i="2"/>
  <c r="D32" i="2"/>
  <c r="E32" i="2"/>
  <c r="F32" i="2"/>
  <c r="G32" i="2"/>
  <c r="H32" i="2"/>
  <c r="I32" i="2"/>
  <c r="J32" i="2"/>
  <c r="K32" i="2"/>
  <c r="L32" i="2"/>
  <c r="D33" i="2"/>
  <c r="E33" i="2"/>
  <c r="F33" i="2"/>
  <c r="G33" i="2"/>
  <c r="H33" i="2"/>
  <c r="I33" i="2"/>
  <c r="J33" i="2"/>
  <c r="K33" i="2"/>
  <c r="L33" i="2"/>
  <c r="D34" i="2"/>
  <c r="E34" i="2"/>
  <c r="F34" i="2"/>
  <c r="G34" i="2"/>
  <c r="H34" i="2"/>
  <c r="I34" i="2"/>
  <c r="J34" i="2"/>
  <c r="K34" i="2"/>
  <c r="L34" i="2"/>
  <c r="D35" i="2"/>
  <c r="E35" i="2"/>
  <c r="F35" i="2"/>
  <c r="G35" i="2"/>
  <c r="H35" i="2"/>
  <c r="I35" i="2"/>
  <c r="J35" i="2"/>
  <c r="K35" i="2"/>
  <c r="L35" i="2"/>
  <c r="D36" i="2"/>
  <c r="E36" i="2"/>
  <c r="F36" i="2"/>
  <c r="G36" i="2"/>
  <c r="H36" i="2"/>
  <c r="I36" i="2"/>
  <c r="J36" i="2"/>
  <c r="K36" i="2"/>
  <c r="L36" i="2"/>
  <c r="D37" i="2"/>
  <c r="E37" i="2"/>
  <c r="F37" i="2"/>
  <c r="G37" i="2"/>
  <c r="H37" i="2"/>
  <c r="I37" i="2"/>
  <c r="J37" i="2"/>
  <c r="K37" i="2"/>
  <c r="L37" i="2"/>
  <c r="D38" i="2"/>
  <c r="E38" i="2"/>
  <c r="F38" i="2"/>
  <c r="G38" i="2"/>
  <c r="H38" i="2"/>
  <c r="I38" i="2"/>
  <c r="J38" i="2"/>
  <c r="K38" i="2"/>
  <c r="L38" i="2"/>
  <c r="D39" i="2"/>
  <c r="E39" i="2"/>
  <c r="F39" i="2"/>
  <c r="G39" i="2"/>
  <c r="H39" i="2"/>
  <c r="I39" i="2"/>
  <c r="J39" i="2"/>
  <c r="K39" i="2"/>
  <c r="L39" i="2"/>
  <c r="D40" i="2"/>
  <c r="E40" i="2"/>
  <c r="F40" i="2"/>
  <c r="G40" i="2"/>
  <c r="H40" i="2"/>
  <c r="I40" i="2"/>
  <c r="J40" i="2"/>
  <c r="K40" i="2"/>
  <c r="L40" i="2"/>
  <c r="D41" i="2"/>
  <c r="D44" i="2" s="1"/>
  <c r="E41" i="2"/>
  <c r="E44" i="2" s="1"/>
  <c r="F41" i="2"/>
  <c r="F44" i="2" s="1"/>
  <c r="G41" i="2"/>
  <c r="G44" i="2" s="1"/>
  <c r="H41" i="2"/>
  <c r="H44" i="2" s="1"/>
  <c r="I41" i="2"/>
  <c r="I44" i="2" s="1"/>
  <c r="J41" i="2"/>
  <c r="J44" i="2" s="1"/>
  <c r="K41" i="2"/>
  <c r="K44" i="2" s="1"/>
  <c r="L41" i="2"/>
  <c r="L44" i="2" s="1"/>
  <c r="C31" i="2"/>
  <c r="C32" i="2"/>
  <c r="C33" i="2"/>
  <c r="C34" i="2"/>
  <c r="C35" i="2"/>
  <c r="C36" i="2"/>
  <c r="C37" i="2"/>
  <c r="C38" i="2"/>
  <c r="C39" i="2"/>
  <c r="C40" i="2"/>
  <c r="L5" i="2"/>
  <c r="L3" i="2"/>
  <c r="I1" i="2"/>
  <c r="E1" i="2"/>
  <c r="B20" i="2"/>
  <c r="B19" i="2"/>
  <c r="I2" i="2"/>
  <c r="I3" i="2"/>
  <c r="I6" i="2"/>
  <c r="F5" i="2"/>
  <c r="F3" i="2"/>
  <c r="D5" i="2"/>
  <c r="D2" i="2"/>
  <c r="S1" i="2"/>
  <c r="T1" i="2"/>
  <c r="U1" i="2"/>
  <c r="V1" i="2"/>
  <c r="W1" i="2"/>
  <c r="X1" i="2"/>
  <c r="Y1" i="2"/>
  <c r="Z1" i="2"/>
  <c r="AA1" i="2"/>
  <c r="R9" i="2"/>
  <c r="R10" i="2"/>
  <c r="R7" i="2"/>
  <c r="R8" i="2"/>
  <c r="R2" i="2"/>
  <c r="R3" i="2"/>
  <c r="R4" i="2"/>
  <c r="R5" i="2"/>
  <c r="R6" i="2"/>
  <c r="R1" i="2"/>
  <c r="L43" i="2" l="1"/>
  <c r="K43" i="2"/>
  <c r="J43" i="2"/>
  <c r="I43" i="2"/>
  <c r="H43" i="2"/>
  <c r="G43" i="2"/>
  <c r="F43" i="2"/>
  <c r="E43" i="2"/>
  <c r="D43" i="2"/>
  <c r="C43" i="2"/>
  <c r="C44" i="2"/>
  <c r="Q20" i="2"/>
  <c r="R20" i="2" s="1"/>
  <c r="R21" i="2" s="1"/>
  <c r="K14" i="2" s="1"/>
  <c r="L14" i="2"/>
  <c r="I14" i="2"/>
  <c r="J14" i="2"/>
  <c r="C14" i="2"/>
  <c r="H15" i="2"/>
  <c r="H14" i="2"/>
  <c r="G14" i="2"/>
  <c r="D14" i="2"/>
  <c r="E14" i="2"/>
  <c r="F14" i="2"/>
  <c r="G15" i="2"/>
  <c r="K15" i="2"/>
  <c r="D3" i="2"/>
  <c r="C5" i="2"/>
  <c r="C2" i="2"/>
  <c r="C6" i="2"/>
  <c r="D4" i="2"/>
  <c r="D15" i="2"/>
  <c r="E15" i="2"/>
  <c r="F15" i="2"/>
  <c r="I15" i="2"/>
  <c r="J15" i="2"/>
  <c r="L15" i="2"/>
  <c r="H1" i="2"/>
  <c r="H5" i="2"/>
  <c r="D23" i="2"/>
  <c r="D25" i="2" s="1"/>
  <c r="E23" i="2"/>
  <c r="E25" i="2" s="1"/>
  <c r="F23" i="2"/>
  <c r="F25" i="2" s="1"/>
  <c r="G23" i="2"/>
  <c r="G25" i="2" s="1"/>
  <c r="H23" i="2"/>
  <c r="H25" i="2" s="1"/>
  <c r="I23" i="2"/>
  <c r="I25" i="2" s="1"/>
  <c r="J23" i="2"/>
  <c r="J25" i="2" s="1"/>
  <c r="K23" i="2"/>
  <c r="K25" i="2" s="1"/>
  <c r="L23" i="2"/>
  <c r="L25" i="2" s="1"/>
  <c r="C23" i="2"/>
  <c r="C15" i="2"/>
  <c r="C3" i="2"/>
  <c r="D1" i="2"/>
  <c r="C4" i="2"/>
  <c r="D11" i="2" l="1"/>
  <c r="D12" i="2"/>
  <c r="E11" i="2"/>
  <c r="E12" i="2"/>
  <c r="F11" i="2"/>
  <c r="F12" i="2"/>
  <c r="G11" i="2"/>
  <c r="G12" i="2"/>
  <c r="H11" i="2"/>
  <c r="H12" i="2"/>
  <c r="I11" i="2"/>
  <c r="I12" i="2"/>
  <c r="J11" i="2"/>
  <c r="J12" i="2"/>
  <c r="K11" i="2"/>
  <c r="K12" i="2"/>
  <c r="L11" i="2"/>
  <c r="L12" i="2"/>
  <c r="C9" i="2"/>
  <c r="C25" i="2"/>
  <c r="F9" i="2"/>
  <c r="K9" i="2"/>
  <c r="E9" i="2"/>
  <c r="L9" i="2"/>
  <c r="I9" i="2"/>
  <c r="J9" i="2"/>
  <c r="H6" i="2"/>
  <c r="H9" i="2" s="1"/>
  <c r="D9" i="2"/>
  <c r="G5" i="2"/>
  <c r="G1" i="2"/>
  <c r="L17" i="2" l="1"/>
  <c r="D17" i="2"/>
  <c r="E17" i="2"/>
  <c r="F17" i="2"/>
  <c r="H17" i="2"/>
  <c r="I17" i="2"/>
  <c r="J17" i="2"/>
  <c r="K17" i="2"/>
  <c r="C11" i="2"/>
  <c r="C12" i="2"/>
  <c r="G6" i="2"/>
  <c r="G9" i="2" s="1"/>
  <c r="G17" i="2" s="1"/>
  <c r="C17" i="2" l="1"/>
  <c r="C19" i="2" s="1"/>
  <c r="G2" i="1" s="1"/>
</calcChain>
</file>

<file path=xl/sharedStrings.xml><?xml version="1.0" encoding="utf-8"?>
<sst xmlns="http://schemas.openxmlformats.org/spreadsheetml/2006/main" count="96" uniqueCount="95">
  <si>
    <r>
      <t xml:space="preserve">Extreme Level  </t>
    </r>
    <r>
      <rPr>
        <sz val="9"/>
        <color rgb="FFFFC000"/>
        <rFont val="Aptos Narrow"/>
        <family val="2"/>
        <scheme val="minor"/>
      </rPr>
      <t>(⭐⭐⭐⭐)</t>
    </r>
  </si>
  <si>
    <t>KODE SOAL</t>
  </si>
  <si>
    <t>SBEX006</t>
  </si>
  <si>
    <t>KODE JAWABAN</t>
  </si>
  <si>
    <t>Kode Surat</t>
  </si>
  <si>
    <t>Nama Peserta Raw</t>
  </si>
  <si>
    <t>Nilai</t>
  </si>
  <si>
    <t>Nama Peserta</t>
  </si>
  <si>
    <t>Tahun Surat</t>
  </si>
  <si>
    <t>Bulan Surat</t>
  </si>
  <si>
    <t>Tanggal Surat</t>
  </si>
  <si>
    <t>Tanggal</t>
  </si>
  <si>
    <t>Jumlah Hurup A</t>
  </si>
  <si>
    <t>Inisial Nama</t>
  </si>
  <si>
    <t>Inisial &amp; Tanggal</t>
  </si>
  <si>
    <t>Status Nilai</t>
  </si>
  <si>
    <t>Sensor Nama Peserta</t>
  </si>
  <si>
    <t xml:space="preserve"> B-001/2024/08/19   </t>
  </si>
  <si>
    <t xml:space="preserve">   aNdi sApUtRa</t>
  </si>
  <si>
    <t xml:space="preserve">                   R-002/2024/04/20         </t>
  </si>
  <si>
    <t xml:space="preserve">       bUDi         sANtoSo       </t>
  </si>
  <si>
    <t xml:space="preserve">      B-003/2024/05/21    </t>
  </si>
  <si>
    <t xml:space="preserve">   mA'Arif AlFaRizi   </t>
  </si>
  <si>
    <t xml:space="preserve">   B-004/2024/08/22      </t>
  </si>
  <si>
    <t xml:space="preserve">   dIaN    prAseTyo      </t>
  </si>
  <si>
    <t xml:space="preserve">       S-005/2023/07/23</t>
  </si>
  <si>
    <t xml:space="preserve">   AlfA'iZ muHaMmad</t>
  </si>
  <si>
    <t xml:space="preserve">             B-006/2024/08/24     </t>
  </si>
  <si>
    <t xml:space="preserve">        fiTRi    aNJaNi    </t>
  </si>
  <si>
    <t> B-007/2024/08/25 </t>
  </si>
  <si>
    <t xml:space="preserve">   gAlIh pErMAnA      </t>
  </si>
  <si>
    <t xml:space="preserve">               R-008/2024/08/02               </t>
  </si>
  <si>
    <t>ba'ASyir        aNaNDa</t>
  </si>
  <si>
    <t xml:space="preserve">      S-009/2024/09/27        </t>
  </si>
  <si>
    <t xml:space="preserve">   iNdAh sARi</t>
  </si>
  <si>
    <t xml:space="preserve">         B-010/2024/10/28</t>
  </si>
  <si>
    <t>  joKo sUSiLo        </t>
  </si>
  <si>
    <t> B-011/2024/08/29</t>
  </si>
  <si>
    <t xml:space="preserve">   KaRTiKa pUtRi       </t>
  </si>
  <si>
    <t xml:space="preserve">                   R-012/2024/08/29  </t>
  </si>
  <si>
    <t>SYa'baN    riZki</t>
  </si>
  <si>
    <t xml:space="preserve">        S-013/2024/08/30         </t>
  </si>
  <si>
    <t xml:space="preserve">         muHAmMad RiZkY   </t>
  </si>
  <si>
    <t xml:space="preserve">        S-014/2025/11/30    </t>
  </si>
  <si>
    <t xml:space="preserve">      naDiA kUsUmA   </t>
  </si>
  <si>
    <r>
      <t>Data soal harus tetap "</t>
    </r>
    <r>
      <rPr>
        <b/>
        <i/>
        <sz val="11"/>
        <color rgb="FF0070C0"/>
        <rFont val="Aptos Narrow"/>
        <family val="2"/>
        <scheme val="minor"/>
      </rPr>
      <t>as is</t>
    </r>
    <r>
      <rPr>
        <b/>
        <i/>
        <sz val="11"/>
        <color theme="1"/>
        <rFont val="Aptos Narrow"/>
        <family val="2"/>
        <scheme val="minor"/>
      </rPr>
      <t>" alias tidak boleh diubah.</t>
    </r>
  </si>
  <si>
    <t>Soal:</t>
  </si>
  <si>
    <t>Website:</t>
  </si>
  <si>
    <r>
      <t xml:space="preserve">Isi Kolom-kolom kosong diatas </t>
    </r>
    <r>
      <rPr>
        <b/>
        <u/>
        <sz val="11"/>
        <color theme="1"/>
        <rFont val="Aptos Narrow"/>
        <family val="2"/>
        <scheme val="minor"/>
      </rPr>
      <t>hanya</t>
    </r>
    <r>
      <rPr>
        <sz val="11"/>
        <color theme="1"/>
        <rFont val="Aptos Narrow"/>
        <family val="2"/>
        <scheme val="minor"/>
      </rPr>
      <t xml:space="preserve"> menggunakan Fungsi yang tergolong dalam </t>
    </r>
    <r>
      <rPr>
        <b/>
        <sz val="11"/>
        <color theme="1"/>
        <rFont val="Aptos Narrow"/>
        <family val="2"/>
        <scheme val="minor"/>
      </rPr>
      <t>fungsi Text</t>
    </r>
    <r>
      <rPr>
        <sz val="11"/>
        <color theme="1"/>
        <rFont val="Aptos Narrow"/>
        <family val="2"/>
        <scheme val="minor"/>
      </rPr>
      <t xml:space="preserve"> yang ada pada list dibawah ini :</t>
    </r>
  </si>
  <si>
    <t>Fungsi Text :</t>
  </si>
  <si>
    <t>LEFT, MID, RIGHT, LEN, SUBSTITUTE, CLEAN, TRIM, CODE, CHAR, CONCAT, CONCATENATE, SEARCH, FIND, LOWER, UPPER, PROPER, TEXT, REPT</t>
  </si>
  <si>
    <r>
      <t xml:space="preserve">isi kolom </t>
    </r>
    <r>
      <rPr>
        <b/>
        <sz val="11"/>
        <color theme="1"/>
        <rFont val="Aptos Narrow"/>
        <family val="2"/>
        <scheme val="minor"/>
      </rPr>
      <t>Nama Peserta</t>
    </r>
    <r>
      <rPr>
        <sz val="11"/>
        <color theme="1"/>
        <rFont val="Aptos Narrow"/>
        <family val="2"/>
        <scheme val="minor"/>
      </rPr>
      <t xml:space="preserve"> dari nama peserta raw yang sudah dirapihkan dalam bentuk Proper Case (Hurup Pertama yang Hurup Besar)</t>
    </r>
  </si>
  <si>
    <t>https://belajarexcel.id</t>
  </si>
  <si>
    <r>
      <t xml:space="preserve">Isi kolom </t>
    </r>
    <r>
      <rPr>
        <b/>
        <sz val="11"/>
        <color theme="1"/>
        <rFont val="Aptos Narrow"/>
        <family val="2"/>
        <scheme val="minor"/>
      </rPr>
      <t>Tahun Surat</t>
    </r>
    <r>
      <rPr>
        <sz val="11"/>
        <color theme="1"/>
        <rFont val="Aptos Narrow"/>
        <family val="2"/>
        <scheme val="minor"/>
      </rPr>
      <t xml:space="preserve"> berdasarkan kode surat diambil dari karakter ke 7 sampai karakter ke 10</t>
    </r>
  </si>
  <si>
    <r>
      <t xml:space="preserve">Copyright </t>
    </r>
    <r>
      <rPr>
        <sz val="9"/>
        <color theme="1"/>
        <rFont val="Calibri"/>
        <family val="2"/>
      </rPr>
      <t>© 2023 | BelajarExcel.id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</si>
  <si>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Bulan Surat</t>
    </r>
    <r>
      <rPr>
        <sz val="11"/>
        <color theme="1"/>
        <rFont val="Aptos Narrow"/>
        <family val="2"/>
        <scheme val="minor"/>
      </rPr>
      <t xml:space="preserve"> berdasarkan kode surat diambil dari karakter ke 12 sampai karakter ke 13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</si>
  <si>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Tanggal Surat</t>
    </r>
    <r>
      <rPr>
        <sz val="11"/>
        <color theme="1"/>
        <rFont val="Aptos Narrow"/>
        <family val="2"/>
        <scheme val="minor"/>
      </rPr>
      <t xml:space="preserve"> berdasarkan kode surat diambil dari 2 karakter ke terakhir</t>
    </r>
  </si>
  <si>
    <r>
      <t xml:space="preserve">Isi </t>
    </r>
    <r>
      <rPr>
        <b/>
        <sz val="11"/>
        <color theme="1"/>
        <rFont val="Aptos Narrow"/>
        <family val="2"/>
        <scheme val="minor"/>
      </rPr>
      <t>Tanggal</t>
    </r>
    <r>
      <rPr>
        <sz val="11"/>
        <color theme="1"/>
        <rFont val="Aptos Narrow"/>
        <family val="2"/>
        <scheme val="minor"/>
      </rPr>
      <t xml:space="preserve"> dengan Tangal yang valid didapat dari gabungan  Tahun surat, bulan surat dan tanggal surat dengan Format DD-MMM-YYYY</t>
    </r>
  </si>
  <si>
    <r>
      <t xml:space="preserve">Isi </t>
    </r>
    <r>
      <rPr>
        <b/>
        <sz val="11"/>
        <color theme="1"/>
        <rFont val="Aptos Narrow"/>
        <family val="2"/>
        <scheme val="minor"/>
      </rPr>
      <t>Jumlah Hurup A</t>
    </r>
    <r>
      <rPr>
        <sz val="11"/>
        <color theme="1"/>
        <rFont val="Aptos Narrow"/>
        <family val="2"/>
        <scheme val="minor"/>
      </rPr>
      <t xml:space="preserve"> dengan jumlah semua hurup A yang ada pada kolom nama peserta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</si>
  <si>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Inisial Nama</t>
    </r>
    <r>
      <rPr>
        <sz val="11"/>
        <color theme="1"/>
        <rFont val="Aptos Narrow"/>
        <family val="2"/>
        <scheme val="minor"/>
      </rPr>
      <t xml:space="preserve"> dengan Inisial dari Nama Peserta yang diambil dari hurup pertama, contoh: </t>
    </r>
    <r>
      <rPr>
        <b/>
        <sz val="11"/>
        <color theme="1"/>
        <rFont val="Aptos Narrow"/>
        <family val="2"/>
        <scheme val="minor"/>
      </rPr>
      <t>AS</t>
    </r>
    <r>
      <rPr>
        <sz val="11"/>
        <color theme="1"/>
        <rFont val="Aptos Narrow"/>
        <family val="2"/>
        <scheme val="minor"/>
      </rPr>
      <t xml:space="preserve"> untuk </t>
    </r>
    <r>
      <rPr>
        <b/>
        <sz val="11"/>
        <color theme="1"/>
        <rFont val="Aptos Narrow"/>
        <family val="2"/>
        <scheme val="minor"/>
      </rPr>
      <t>Andi Saputra</t>
    </r>
  </si>
  <si>
    <r>
      <t xml:space="preserve">Gabungkan Inisial dan juga tanggal dalam format </t>
    </r>
    <r>
      <rPr>
        <b/>
        <sz val="11"/>
        <color rgb="FF0070C0"/>
        <rFont val="Aptos Narrow"/>
        <family val="2"/>
        <scheme val="minor"/>
      </rPr>
      <t>InisialDD-MMM-YYYY</t>
    </r>
    <r>
      <rPr>
        <sz val="11"/>
        <color theme="1"/>
        <rFont val="Aptos Narrow"/>
        <family val="2"/>
        <scheme val="minor"/>
      </rPr>
      <t xml:space="preserve"> dimana bulan harus berbahasa indonesia, contoh : AS19-Agu-2024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</si>
  <si>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kolom status nilai</t>
    </r>
    <r>
      <rPr>
        <sz val="11"/>
        <color theme="1"/>
        <rFont val="Aptos Narrow"/>
        <family val="2"/>
        <scheme val="minor"/>
      </rPr>
      <t xml:space="preserve"> jika nilai 0-60 "Cukup", jika nilai 61-80 "Baik", lebih besar dari 80 maka "Bagus" 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</si>
  <si>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Sensor Nama</t>
    </r>
    <r>
      <rPr>
        <sz val="11"/>
        <color theme="1"/>
        <rFont val="Aptos Narrow"/>
        <family val="2"/>
        <scheme val="minor"/>
      </rPr>
      <t xml:space="preserve"> dengan ketentuan hanya 1 hurup diawal dan 1 hurup diakhir yang ditampilkan, contoh: Andi Saputra maka akan menjadi A***i S*****a</t>
    </r>
  </si>
  <si>
    <t>Selesai mengerjakan,</t>
  </si>
  <si>
    <r>
      <t xml:space="preserve">Kirimkan Kode Jawaban diatas ke alamat :  </t>
    </r>
    <r>
      <rPr>
        <b/>
        <sz val="11"/>
        <color rgb="FF0070C0"/>
        <rFont val="Aptos Narrow"/>
        <family val="2"/>
        <scheme val="minor"/>
      </rPr>
      <t>https://belajarexcel.id/xl-test/</t>
    </r>
    <r>
      <rPr>
        <sz val="11"/>
        <color rgb="FF0070C0"/>
        <rFont val="Aptos Narrow"/>
        <family val="2"/>
        <scheme val="minor"/>
      </rPr>
      <t xml:space="preserve">  untuk mengecek hasil jawaban</t>
    </r>
  </si>
  <si>
    <t>DF</t>
  </si>
  <si>
    <t>XF8</t>
  </si>
  <si>
    <t>RND</t>
  </si>
  <si>
    <t>Cek F</t>
  </si>
  <si>
    <t>V</t>
  </si>
  <si>
    <t>LEFT</t>
  </si>
  <si>
    <t>IF</t>
  </si>
  <si>
    <t>MID</t>
  </si>
  <si>
    <t>SWITCH</t>
  </si>
  <si>
    <t>RIGHT</t>
  </si>
  <si>
    <t>CHOOSE</t>
  </si>
  <si>
    <t>Banyak</t>
  </si>
  <si>
    <t>LEN</t>
  </si>
  <si>
    <t>VLOOKUP</t>
  </si>
  <si>
    <t>SUBSTITUTE</t>
  </si>
  <si>
    <t>IFS</t>
  </si>
  <si>
    <t>Cek Banyak</t>
  </si>
  <si>
    <t>CLEAN</t>
  </si>
  <si>
    <t>TRIM</t>
  </si>
  <si>
    <t>CODE</t>
  </si>
  <si>
    <t>CHAR</t>
  </si>
  <si>
    <t>CONCAT</t>
  </si>
  <si>
    <t>CONCATENATE</t>
  </si>
  <si>
    <t>SEARCH</t>
  </si>
  <si>
    <t>FIND</t>
  </si>
  <si>
    <t>LOWER</t>
  </si>
  <si>
    <t>UPPER</t>
  </si>
  <si>
    <t>PROPER</t>
  </si>
  <si>
    <t>TEXT</t>
  </si>
  <si>
    <t>REPT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</si>
</sst>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dd\-mmm\-yyyy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16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65" fontId="0" fillId="5" borderId="1" xfId="1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0" fillId="5" borderId="1" xfId="0" applyNumberFormat="1" applyFill="1" applyBorder="1"/>
    <xf numFmtId="0" fontId="8" fillId="0" borderId="0" xfId="0" applyFont="1"/>
    <xf numFmtId="0" fontId="9" fillId="0" borderId="0" xfId="0" applyFont="1"/>
    <xf numFmtId="0" fontId="6" fillId="0" borderId="0" xfId="2" applyAlignment="1">
      <alignment horizontal="left"/>
    </xf>
    <xf numFmtId="0" fontId="10" fillId="0" borderId="0" xfId="0" applyFont="1"/>
    <xf numFmtId="0" fontId="7" fillId="0" borderId="0" xfId="0" applyFont="1"/>
    <xf numFmtId="0" fontId="12" fillId="2" borderId="0" xfId="0" applyFont="1" applyFill="1"/>
    <xf numFmtId="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5" fillId="0" borderId="0" xfId="0" applyFont="1"/>
    <xf numFmtId="0" fontId="0" fillId="4" borderId="1" xfId="0" applyFill="1" applyBorder="1" applyAlignment="1">
      <alignment horizontal="left" vertical="center" indent="1"/>
    </xf>
    <xf numFmtId="0" fontId="16" fillId="0" borderId="0" xfId="0" applyFont="1" applyAlignment="1">
      <alignment horizontal="left" vertical="center"/>
    </xf>
    <xf numFmtId="0" fontId="0" fillId="5" borderId="1" xfId="0" applyFill="1" applyBorder="1" applyAlignment="1">
      <alignment horizontal="left" indent="2"/>
    </xf>
    <xf numFmtId="166" fontId="0" fillId="5" borderId="1" xfId="0" applyNumberFormat="1" applyFill="1" applyBorder="1" applyAlignment="1">
      <alignment horizontal="right" indent="2"/>
    </xf>
    <xf numFmtId="0" fontId="0" fillId="4" borderId="1" xfId="0" applyFill="1" applyBorder="1" applyAlignment="1">
      <alignment horizontal="right" vertical="center" indent="1"/>
    </xf>
    <xf numFmtId="0" fontId="3" fillId="0" borderId="0" xfId="0" applyFont="1" applyAlignment="1">
      <alignment horizontal="right"/>
    </xf>
    <xf numFmtId="0" fontId="18" fillId="0" borderId="0" xfId="0" applyFont="1"/>
    <xf numFmtId="0" fontId="14" fillId="3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indent="1"/>
    </xf>
    <xf numFmtId="165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left" indent="1"/>
    </xf>
    <xf numFmtId="0" fontId="20" fillId="6" borderId="0" xfId="0" applyFont="1" applyFill="1"/>
    <xf numFmtId="0" fontId="13" fillId="7" borderId="0" xfId="0" applyFont="1" applyFill="1"/>
    <xf numFmtId="0" fontId="0" fillId="7" borderId="0" xfId="0" applyFill="1"/>
    <xf numFmtId="0" fontId="22" fillId="0" borderId="0" xfId="0" applyFont="1"/>
    <xf numFmtId="0" fontId="12" fillId="2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922020</xdr:colOff>
      <xdr:row>24</xdr:row>
      <xdr:rowOff>38100</xdr:rowOff>
    </xdr:from>
    <xdr:to>
      <xdr:col>14</xdr:col>
      <xdr:colOff>20955</xdr:colOff>
      <xdr:row>27</xdr:row>
      <xdr:rowOff>96267</xdr:rowOff>
    </xdr:to>
    <xdr:pic>
      <xdr:nvPicPr>
        <xdr:cNvPr id="2" name="Picture 1" descr="A black background with white text&#10;&#10;Description automatically generated">
          <a:extLst>
            <a:ext uri="{FF2B5EF4-FFF2-40B4-BE49-F238E27FC236}">
              <a16:creationId xmlns:a16="http://schemas.microsoft.com/office/drawing/2014/main" id="{56B924F4-5314-470C-B515-39014BD82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1380" y="5539740"/>
          <a:ext cx="1819275" cy="622047"/>
        </a:xfrm>
        <a:prstGeom prst="rect">
          <a:avLst/>
        </a:prstGeom>
      </xdr:spPr>
    </xdr:pic>
    <xdr:clientData/>
  </xdr:twoCellAnchor>
  <xdr:twoCellAnchor>
    <xdr:from>
      <xdr:col>6</xdr:col>
      <xdr:colOff>15240</xdr:colOff>
      <xdr:row>40</xdr:row>
      <xdr:rowOff>76200</xdr:rowOff>
    </xdr:from>
    <xdr:to>
      <xdr:col>7</xdr:col>
      <xdr:colOff>419100</xdr:colOff>
      <xdr:row>41</xdr:row>
      <xdr:rowOff>160020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A7E7E6-EB8A-4AAB-8954-5585F6B63313}"/>
            </a:ext>
          </a:extLst>
        </xdr:cNvPr>
        <xdr:cNvSpPr/>
      </xdr:nvSpPr>
      <xdr:spPr>
        <a:xfrm flipH="1">
          <a:off x="7063740" y="8519160"/>
          <a:ext cx="1325880" cy="2667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Kirim Jawaban</a:t>
          </a:r>
        </a:p>
      </xdr:txBody>
    </xdr:sp>
    <xdr:clientData/>
  </xdr:twoCellAnchor>
  <xdr:twoCellAnchor editAs="oneCell">
    <xdr:from>
      <xdr:col>1</xdr:col>
      <xdr:colOff>99061</xdr:colOff>
      <xdr:row>22</xdr:row>
      <xdr:rowOff>137161</xdr:rowOff>
    </xdr:from>
    <xdr:to>
      <xdr:col>1</xdr:col>
      <xdr:colOff>1889761</xdr:colOff>
      <xdr:row>26</xdr:row>
      <xdr:rowOff>63123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21197B-985E-1A3E-40AE-024934208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1" y="5273041"/>
          <a:ext cx="1790700" cy="672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1877-B3EA-4412-B568-060A61DBC08B}">
  <sheetPr codeName="Sheet1"/>
  <dimension ref="B1:P55"/>
  <sheetViews>
    <sheetView tabSelected="1" topLeftCell="C1" workbookViewId="0">
      <selection activeCell="G2" sqref="G2"/>
    </sheetView>
  </sheetViews>
  <sheetFormatPr defaultRowHeight="14.45"/>
  <cols>
    <col min="2" max="2" width="28.7109375" customWidth="1"/>
    <col min="3" max="3" width="20" customWidth="1"/>
    <col min="4" max="4" width="11.28515625" customWidth="1"/>
    <col min="5" max="5" width="19.7109375" customWidth="1"/>
    <col min="6" max="6" width="14.140625" customWidth="1"/>
    <col min="7" max="7" width="13.42578125" customWidth="1"/>
    <col min="8" max="8" width="12.5703125" customWidth="1"/>
    <col min="9" max="9" width="14.7109375" customWidth="1"/>
    <col min="10" max="10" width="15.140625" bestFit="1" customWidth="1"/>
    <col min="11" max="11" width="14.28515625" customWidth="1"/>
    <col min="12" max="12" width="21.5703125" customWidth="1"/>
    <col min="13" max="13" width="15.5703125" customWidth="1"/>
    <col min="14" max="14" width="24.140625" customWidth="1"/>
    <col min="16" max="16" width="23.7109375" bestFit="1" customWidth="1"/>
    <col min="17" max="17" width="17.140625" customWidth="1"/>
  </cols>
  <sheetData>
    <row r="1" spans="2:16">
      <c r="B1" s="27" t="s">
        <v>0</v>
      </c>
    </row>
    <row r="2" spans="2:16" ht="23.45">
      <c r="B2" s="11" t="s">
        <v>1</v>
      </c>
      <c r="C2" s="28" t="s">
        <v>2</v>
      </c>
      <c r="E2" s="31" t="s">
        <v>3</v>
      </c>
      <c r="F2" s="31"/>
      <c r="G2" s="28" t="str">
        <f ca="1">kode_jawaban</f>
        <v>XF8|151-41A1;401-2F701;311-1C31;761-12B1;981-C81111;001-321;601-1A21;951-3CA1;561-26D1;301-33D1</v>
      </c>
      <c r="H2" s="29"/>
      <c r="I2" s="29"/>
      <c r="J2" s="29"/>
      <c r="K2" s="29"/>
      <c r="L2" s="29"/>
      <c r="M2" s="29"/>
      <c r="N2" s="29"/>
      <c r="O2" s="29"/>
      <c r="P2" s="29"/>
    </row>
    <row r="5" spans="2:16">
      <c r="C5" s="4"/>
      <c r="D5" s="4"/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</row>
    <row r="6" spans="2:16" ht="34.15" customHeight="1">
      <c r="B6" s="3" t="s">
        <v>4</v>
      </c>
      <c r="C6" s="3" t="s">
        <v>5</v>
      </c>
      <c r="D6" s="3" t="s">
        <v>6</v>
      </c>
      <c r="E6" s="13" t="s">
        <v>7</v>
      </c>
      <c r="F6" s="13" t="s">
        <v>8</v>
      </c>
      <c r="G6" s="13" t="s">
        <v>9</v>
      </c>
      <c r="H6" s="13" t="s">
        <v>10</v>
      </c>
      <c r="I6" s="13" t="s">
        <v>11</v>
      </c>
      <c r="J6" s="1" t="s">
        <v>12</v>
      </c>
      <c r="K6" s="13" t="s">
        <v>13</v>
      </c>
      <c r="L6" s="13" t="s">
        <v>14</v>
      </c>
      <c r="M6" s="22" t="s">
        <v>15</v>
      </c>
      <c r="N6" s="13" t="s">
        <v>16</v>
      </c>
    </row>
    <row r="7" spans="2:16" ht="19.149999999999999" customHeight="1">
      <c r="B7" s="23" t="s">
        <v>17</v>
      </c>
      <c r="C7" s="15" t="s">
        <v>18</v>
      </c>
      <c r="D7" s="19">
        <v>56</v>
      </c>
      <c r="E7" s="24" t="str">
        <f>SUBSTITUTE(PROPER(TRIM(SUBSTITUTE(C7,CHAR(160)," "))),"'A","'a")</f>
        <v>Andi Saputra</v>
      </c>
      <c r="F7" s="17" t="str">
        <f>MID(TRIM(SUBSTITUTE(B7, CHAR(160)," ")),7,4)</f>
        <v>2024</v>
      </c>
      <c r="G7" s="17" t="str">
        <f>MID(TRIM(SUBSTITUTE(B7, CHAR(160)," ")),12,2)</f>
        <v>08</v>
      </c>
      <c r="H7" s="17" t="str">
        <f>RIGHT(TRIM(SUBSTITUTE(B7, CHAR(160)," ")),2)</f>
        <v>19</v>
      </c>
      <c r="I7" s="18">
        <f>(F7&amp;"-"&amp;G7&amp;"-"&amp;H7)*1</f>
        <v>45523</v>
      </c>
      <c r="J7" s="2">
        <f>LEN(C7)-LEN(SUBSTITUTE(UPPER(C7),"A",""))</f>
        <v>3</v>
      </c>
      <c r="K7" s="25" t="str">
        <f>LEFT(E7,1)&amp;MID(E7,FIND(" ",E7,1)+1,1)</f>
        <v>AS</v>
      </c>
      <c r="L7" s="26" t="str">
        <f>K7&amp;TEXT(I7,"[$-id-ID]dd-mmm-yyyy")</f>
        <v>AS19-Agu-2024</v>
      </c>
      <c r="M7" s="5" t="str">
        <f>TEXT(D7,"[&gt;80]""Bagus"";[&gt;60]""Baik"";""Cukup""")</f>
        <v>Cukup</v>
      </c>
      <c r="N7" s="17" t="str">
        <f>REPLACE(REPLACE(E7,2,FIND(" ",E7)-3,REPT("*",FIND(" ",E7)-3)),FIND(" ",E7)+2,LEN(E7)-FIND(" ",E7)-2,REPT("*",LEN(E7)-FIND(" ",E7)-2))</f>
        <v>A**i S*****a</v>
      </c>
    </row>
    <row r="8" spans="2:16" ht="19.149999999999999" customHeight="1">
      <c r="B8" s="23" t="s">
        <v>19</v>
      </c>
      <c r="C8" s="15" t="s">
        <v>20</v>
      </c>
      <c r="D8" s="19">
        <v>77</v>
      </c>
      <c r="E8" s="24" t="str">
        <f t="shared" ref="E8:E20" si="0">SUBSTITUTE(PROPER(TRIM(SUBSTITUTE(C8,CHAR(160)," "))),"'A","'a")</f>
        <v>Budi Santoso</v>
      </c>
      <c r="F8" s="17" t="str">
        <f t="shared" ref="F8:F20" si="1">MID(TRIM(SUBSTITUTE(B8, CHAR(160)," ")),7,4)</f>
        <v>2024</v>
      </c>
      <c r="G8" s="17" t="str">
        <f t="shared" ref="G8:G20" si="2">MID(TRIM(SUBSTITUTE(B8, CHAR(160)," ")),12,2)</f>
        <v>04</v>
      </c>
      <c r="H8" s="17" t="str">
        <f t="shared" ref="H8:H20" si="3">RIGHT(TRIM(SUBSTITUTE(B8, CHAR(160)," ")),2)</f>
        <v>20</v>
      </c>
      <c r="I8" s="18">
        <f t="shared" ref="I8:I20" si="4">(F8&amp;"-"&amp;G8&amp;"-"&amp;H8)*1</f>
        <v>45402</v>
      </c>
      <c r="J8" s="2">
        <f t="shared" ref="J8:J20" si="5">LEN(C8)-LEN(SUBSTITUTE(UPPER(C8),"A",""))</f>
        <v>1</v>
      </c>
      <c r="K8" s="25" t="str">
        <f t="shared" ref="K8:K20" si="6">LEFT(E8,1)&amp;MID(E8,FIND(" ",E8,1)+1,1)</f>
        <v>BS</v>
      </c>
      <c r="L8" s="26" t="str">
        <f t="shared" ref="L8:L20" si="7">K8&amp;TEXT(I8,"[$-id-ID]dd-mmm-yyyy")</f>
        <v>BS20-Apr-2024</v>
      </c>
      <c r="M8" s="5" t="str">
        <f t="shared" ref="M8:M20" si="8">TEXT(D8,"[&gt;80]""Bagus"";[&gt;60]""Baik"";""Cukup""")</f>
        <v>Baik</v>
      </c>
      <c r="N8" s="17" t="str">
        <f t="shared" ref="N8:N20" si="9">REPLACE(REPLACE(E8,2,FIND(" ",E8)-3,REPT("*",FIND(" ",E8)-3)),FIND(" ",E8)+2,LEN(E8)-FIND(" ",E8)-2,REPT("*",LEN(E8)-FIND(" ",E8)-2))</f>
        <v>B**i S*****o</v>
      </c>
    </row>
    <row r="9" spans="2:16" ht="19.149999999999999" customHeight="1">
      <c r="B9" s="23" t="s">
        <v>21</v>
      </c>
      <c r="C9" s="15" t="s">
        <v>22</v>
      </c>
      <c r="D9" s="19">
        <v>40</v>
      </c>
      <c r="E9" s="24" t="str">
        <f t="shared" si="0"/>
        <v>Ma'arif Alfarizi</v>
      </c>
      <c r="F9" s="17" t="str">
        <f t="shared" si="1"/>
        <v>2024</v>
      </c>
      <c r="G9" s="17" t="str">
        <f t="shared" si="2"/>
        <v>05</v>
      </c>
      <c r="H9" s="17" t="str">
        <f t="shared" si="3"/>
        <v>21</v>
      </c>
      <c r="I9" s="18">
        <f t="shared" si="4"/>
        <v>45433</v>
      </c>
      <c r="J9" s="2">
        <f t="shared" si="5"/>
        <v>4</v>
      </c>
      <c r="K9" s="25" t="str">
        <f t="shared" si="6"/>
        <v>MA</v>
      </c>
      <c r="L9" s="26" t="str">
        <f t="shared" si="7"/>
        <v>MA21-Mei-2024</v>
      </c>
      <c r="M9" s="5" t="str">
        <f t="shared" si="8"/>
        <v>Cukup</v>
      </c>
      <c r="N9" s="17" t="str">
        <f t="shared" si="9"/>
        <v>M*****f A******i</v>
      </c>
    </row>
    <row r="10" spans="2:16" ht="19.149999999999999" customHeight="1">
      <c r="B10" s="23" t="s">
        <v>23</v>
      </c>
      <c r="C10" s="15" t="s">
        <v>24</v>
      </c>
      <c r="D10" s="19">
        <v>67</v>
      </c>
      <c r="E10" s="24" t="str">
        <f t="shared" si="0"/>
        <v>Dian Prasetyo</v>
      </c>
      <c r="F10" s="17" t="str">
        <f t="shared" si="1"/>
        <v>2024</v>
      </c>
      <c r="G10" s="17" t="str">
        <f t="shared" si="2"/>
        <v>08</v>
      </c>
      <c r="H10" s="17" t="str">
        <f t="shared" si="3"/>
        <v>22</v>
      </c>
      <c r="I10" s="18">
        <f t="shared" si="4"/>
        <v>45526</v>
      </c>
      <c r="J10" s="2">
        <f t="shared" si="5"/>
        <v>2</v>
      </c>
      <c r="K10" s="25" t="str">
        <f t="shared" si="6"/>
        <v>DP</v>
      </c>
      <c r="L10" s="26" t="str">
        <f t="shared" si="7"/>
        <v>DP22-Agu-2024</v>
      </c>
      <c r="M10" s="5" t="str">
        <f t="shared" si="8"/>
        <v>Baik</v>
      </c>
      <c r="N10" s="17" t="str">
        <f t="shared" si="9"/>
        <v>D**n P******o</v>
      </c>
    </row>
    <row r="11" spans="2:16" ht="19.149999999999999" customHeight="1">
      <c r="B11" s="23" t="s">
        <v>25</v>
      </c>
      <c r="C11" s="15" t="s">
        <v>26</v>
      </c>
      <c r="D11" s="19">
        <v>28</v>
      </c>
      <c r="E11" s="24" t="str">
        <f>SUBSTITUTE(PROPER(TRIM(SUBSTITUTE(C11,CHAR(160)," "))),"'I","'i")</f>
        <v>Alfa'iz Muhammad</v>
      </c>
      <c r="F11" s="17" t="str">
        <f t="shared" si="1"/>
        <v>2023</v>
      </c>
      <c r="G11" s="17" t="str">
        <f t="shared" si="2"/>
        <v>07</v>
      </c>
      <c r="H11" s="17" t="str">
        <f t="shared" si="3"/>
        <v>23</v>
      </c>
      <c r="I11" s="18">
        <f t="shared" si="4"/>
        <v>45130</v>
      </c>
      <c r="J11" s="2">
        <f t="shared" si="5"/>
        <v>4</v>
      </c>
      <c r="K11" s="25" t="str">
        <f t="shared" si="6"/>
        <v>AM</v>
      </c>
      <c r="L11" s="26" t="str">
        <f t="shared" si="7"/>
        <v>AM23-Jul-2023</v>
      </c>
      <c r="M11" s="5" t="str">
        <f t="shared" si="8"/>
        <v>Cukup</v>
      </c>
      <c r="N11" s="17" t="str">
        <f t="shared" si="9"/>
        <v>A*****z M******d</v>
      </c>
    </row>
    <row r="12" spans="2:16" ht="19.149999999999999" customHeight="1">
      <c r="B12" s="23" t="s">
        <v>27</v>
      </c>
      <c r="C12" s="15" t="s">
        <v>28</v>
      </c>
      <c r="D12" s="19">
        <v>32</v>
      </c>
      <c r="E12" s="24" t="str">
        <f t="shared" si="0"/>
        <v>Fitri Anjani</v>
      </c>
      <c r="F12" s="17" t="str">
        <f t="shared" si="1"/>
        <v>2024</v>
      </c>
      <c r="G12" s="17" t="str">
        <f t="shared" si="2"/>
        <v>08</v>
      </c>
      <c r="H12" s="17" t="str">
        <f t="shared" si="3"/>
        <v>24</v>
      </c>
      <c r="I12" s="18">
        <f t="shared" si="4"/>
        <v>45528</v>
      </c>
      <c r="J12" s="2">
        <f t="shared" si="5"/>
        <v>2</v>
      </c>
      <c r="K12" s="25" t="str">
        <f t="shared" si="6"/>
        <v>FA</v>
      </c>
      <c r="L12" s="26" t="str">
        <f t="shared" si="7"/>
        <v>FA24-Agu-2024</v>
      </c>
      <c r="M12" s="5" t="str">
        <f t="shared" si="8"/>
        <v>Cukup</v>
      </c>
      <c r="N12" s="17" t="str">
        <f t="shared" si="9"/>
        <v>F***i A****i</v>
      </c>
    </row>
    <row r="13" spans="2:16" ht="19.149999999999999" customHeight="1">
      <c r="B13" s="23" t="s">
        <v>29</v>
      </c>
      <c r="C13" s="15" t="s">
        <v>30</v>
      </c>
      <c r="D13" s="19">
        <v>75</v>
      </c>
      <c r="E13" s="24" t="str">
        <f t="shared" si="0"/>
        <v>Galih Permana</v>
      </c>
      <c r="F13" s="17" t="str">
        <f t="shared" si="1"/>
        <v>2024</v>
      </c>
      <c r="G13" s="17" t="str">
        <f t="shared" si="2"/>
        <v>08</v>
      </c>
      <c r="H13" s="17" t="str">
        <f t="shared" si="3"/>
        <v>25</v>
      </c>
      <c r="I13" s="18">
        <f t="shared" si="4"/>
        <v>45529</v>
      </c>
      <c r="J13" s="2">
        <f t="shared" si="5"/>
        <v>3</v>
      </c>
      <c r="K13" s="25" t="str">
        <f t="shared" si="6"/>
        <v>GP</v>
      </c>
      <c r="L13" s="26" t="str">
        <f t="shared" si="7"/>
        <v>GP25-Agu-2024</v>
      </c>
      <c r="M13" s="5" t="str">
        <f t="shared" si="8"/>
        <v>Baik</v>
      </c>
      <c r="N13" s="17" t="str">
        <f t="shared" si="9"/>
        <v>G***h P*****a</v>
      </c>
    </row>
    <row r="14" spans="2:16" ht="19.149999999999999" customHeight="1">
      <c r="B14" s="23" t="s">
        <v>31</v>
      </c>
      <c r="C14" s="15" t="s">
        <v>32</v>
      </c>
      <c r="D14" s="19">
        <v>37</v>
      </c>
      <c r="E14" s="24" t="str">
        <f t="shared" si="0"/>
        <v>Ba'asyir Ananda</v>
      </c>
      <c r="F14" s="17" t="str">
        <f t="shared" si="1"/>
        <v>2024</v>
      </c>
      <c r="G14" s="17" t="str">
        <f t="shared" si="2"/>
        <v>08</v>
      </c>
      <c r="H14" s="17" t="str">
        <f t="shared" si="3"/>
        <v>02</v>
      </c>
      <c r="I14" s="18">
        <f t="shared" si="4"/>
        <v>45506</v>
      </c>
      <c r="J14" s="2">
        <f t="shared" si="5"/>
        <v>5</v>
      </c>
      <c r="K14" s="25" t="str">
        <f t="shared" si="6"/>
        <v>BA</v>
      </c>
      <c r="L14" s="26" t="str">
        <f t="shared" si="7"/>
        <v>BA02-Agu-2024</v>
      </c>
      <c r="M14" s="5" t="str">
        <f t="shared" si="8"/>
        <v>Cukup</v>
      </c>
      <c r="N14" s="17" t="str">
        <f t="shared" si="9"/>
        <v>B******r A****a</v>
      </c>
    </row>
    <row r="15" spans="2:16" ht="19.149999999999999" customHeight="1">
      <c r="B15" s="23" t="s">
        <v>33</v>
      </c>
      <c r="C15" s="15" t="s">
        <v>34</v>
      </c>
      <c r="D15" s="19">
        <v>93</v>
      </c>
      <c r="E15" s="24" t="str">
        <f t="shared" si="0"/>
        <v>Indah Sari</v>
      </c>
      <c r="F15" s="17" t="str">
        <f t="shared" si="1"/>
        <v>2024</v>
      </c>
      <c r="G15" s="17" t="str">
        <f t="shared" si="2"/>
        <v>09</v>
      </c>
      <c r="H15" s="17" t="str">
        <f t="shared" si="3"/>
        <v>27</v>
      </c>
      <c r="I15" s="18">
        <f t="shared" si="4"/>
        <v>45562</v>
      </c>
      <c r="J15" s="2">
        <f t="shared" si="5"/>
        <v>2</v>
      </c>
      <c r="K15" s="25" t="str">
        <f t="shared" si="6"/>
        <v>IS</v>
      </c>
      <c r="L15" s="26" t="str">
        <f t="shared" si="7"/>
        <v>IS27-Sep-2024</v>
      </c>
      <c r="M15" s="5" t="str">
        <f t="shared" si="8"/>
        <v>Bagus</v>
      </c>
      <c r="N15" s="17" t="str">
        <f t="shared" si="9"/>
        <v>I***h S**i</v>
      </c>
    </row>
    <row r="16" spans="2:16" ht="19.149999999999999" customHeight="1">
      <c r="B16" s="23" t="s">
        <v>35</v>
      </c>
      <c r="C16" s="15" t="s">
        <v>36</v>
      </c>
      <c r="D16" s="19">
        <v>34</v>
      </c>
      <c r="E16" s="24" t="str">
        <f t="shared" si="0"/>
        <v>Joko Susilo</v>
      </c>
      <c r="F16" s="17" t="str">
        <f t="shared" si="1"/>
        <v>2024</v>
      </c>
      <c r="G16" s="17" t="str">
        <f t="shared" si="2"/>
        <v>10</v>
      </c>
      <c r="H16" s="17" t="str">
        <f t="shared" si="3"/>
        <v>28</v>
      </c>
      <c r="I16" s="18">
        <f t="shared" si="4"/>
        <v>45593</v>
      </c>
      <c r="J16" s="2">
        <f t="shared" si="5"/>
        <v>0</v>
      </c>
      <c r="K16" s="25" t="str">
        <f t="shared" si="6"/>
        <v>JS</v>
      </c>
      <c r="L16" s="26" t="str">
        <f t="shared" si="7"/>
        <v>JS28-Okt-2024</v>
      </c>
      <c r="M16" s="5" t="str">
        <f t="shared" si="8"/>
        <v>Cukup</v>
      </c>
      <c r="N16" s="17" t="str">
        <f t="shared" si="9"/>
        <v>J**o S****o</v>
      </c>
    </row>
    <row r="17" spans="2:14" ht="19.149999999999999" customHeight="1">
      <c r="B17" s="23" t="s">
        <v>37</v>
      </c>
      <c r="C17" s="15" t="s">
        <v>38</v>
      </c>
      <c r="D17" s="19">
        <v>50</v>
      </c>
      <c r="E17" s="24" t="str">
        <f t="shared" si="0"/>
        <v>Kartika Putri</v>
      </c>
      <c r="F17" s="17" t="str">
        <f t="shared" si="1"/>
        <v>2024</v>
      </c>
      <c r="G17" s="17" t="str">
        <f t="shared" si="2"/>
        <v>08</v>
      </c>
      <c r="H17" s="17" t="str">
        <f t="shared" si="3"/>
        <v>29</v>
      </c>
      <c r="I17" s="18">
        <f t="shared" si="4"/>
        <v>45533</v>
      </c>
      <c r="J17" s="2">
        <f t="shared" si="5"/>
        <v>2</v>
      </c>
      <c r="K17" s="25" t="str">
        <f t="shared" si="6"/>
        <v>KP</v>
      </c>
      <c r="L17" s="26" t="str">
        <f t="shared" si="7"/>
        <v>KP29-Agu-2024</v>
      </c>
      <c r="M17" s="5" t="str">
        <f t="shared" si="8"/>
        <v>Cukup</v>
      </c>
      <c r="N17" s="17" t="str">
        <f t="shared" si="9"/>
        <v>K*****a P***i</v>
      </c>
    </row>
    <row r="18" spans="2:14" ht="19.149999999999999" customHeight="1">
      <c r="B18" s="23" t="s">
        <v>39</v>
      </c>
      <c r="C18" s="15" t="s">
        <v>40</v>
      </c>
      <c r="D18" s="19">
        <v>82</v>
      </c>
      <c r="E18" s="24" t="str">
        <f>SUBSTITUTE(PROPER(TRIM(SUBSTITUTE(C18,CHAR(160)," "))),"'B","'b")</f>
        <v>Sya'ban Rizki</v>
      </c>
      <c r="F18" s="17" t="str">
        <f t="shared" si="1"/>
        <v>2024</v>
      </c>
      <c r="G18" s="17" t="str">
        <f t="shared" si="2"/>
        <v>08</v>
      </c>
      <c r="H18" s="17" t="str">
        <f t="shared" si="3"/>
        <v>29</v>
      </c>
      <c r="I18" s="18">
        <f t="shared" si="4"/>
        <v>45533</v>
      </c>
      <c r="J18" s="2">
        <f t="shared" si="5"/>
        <v>2</v>
      </c>
      <c r="K18" s="25" t="str">
        <f t="shared" si="6"/>
        <v>SR</v>
      </c>
      <c r="L18" s="26" t="str">
        <f t="shared" si="7"/>
        <v>SR29-Agu-2024</v>
      </c>
      <c r="M18" s="5" t="str">
        <f t="shared" si="8"/>
        <v>Bagus</v>
      </c>
      <c r="N18" s="17" t="str">
        <f t="shared" si="9"/>
        <v>S*****n R***i</v>
      </c>
    </row>
    <row r="19" spans="2:14" ht="19.149999999999999" customHeight="1">
      <c r="B19" s="23" t="s">
        <v>41</v>
      </c>
      <c r="C19" s="15" t="s">
        <v>42</v>
      </c>
      <c r="D19" s="19">
        <v>95</v>
      </c>
      <c r="E19" s="24" t="str">
        <f t="shared" si="0"/>
        <v>Muhammad Rizky</v>
      </c>
      <c r="F19" s="17" t="str">
        <f t="shared" si="1"/>
        <v>2024</v>
      </c>
      <c r="G19" s="17" t="str">
        <f t="shared" si="2"/>
        <v>08</v>
      </c>
      <c r="H19" s="17" t="str">
        <f t="shared" si="3"/>
        <v>30</v>
      </c>
      <c r="I19" s="18">
        <f t="shared" si="4"/>
        <v>45534</v>
      </c>
      <c r="J19" s="2">
        <f t="shared" si="5"/>
        <v>2</v>
      </c>
      <c r="K19" s="25" t="str">
        <f t="shared" si="6"/>
        <v>MR</v>
      </c>
      <c r="L19" s="26" t="str">
        <f t="shared" si="7"/>
        <v>MR30-Agu-2024</v>
      </c>
      <c r="M19" s="5" t="str">
        <f t="shared" si="8"/>
        <v>Bagus</v>
      </c>
      <c r="N19" s="17" t="str">
        <f t="shared" si="9"/>
        <v>M******d R***y</v>
      </c>
    </row>
    <row r="20" spans="2:14" ht="19.149999999999999" customHeight="1">
      <c r="B20" s="23" t="s">
        <v>43</v>
      </c>
      <c r="C20" s="15" t="s">
        <v>44</v>
      </c>
      <c r="D20" s="19">
        <v>75</v>
      </c>
      <c r="E20" s="24" t="str">
        <f t="shared" si="0"/>
        <v>Nadia Kusuma</v>
      </c>
      <c r="F20" s="17" t="str">
        <f t="shared" si="1"/>
        <v>2025</v>
      </c>
      <c r="G20" s="17" t="str">
        <f t="shared" si="2"/>
        <v>11</v>
      </c>
      <c r="H20" s="17" t="str">
        <f t="shared" si="3"/>
        <v>30</v>
      </c>
      <c r="I20" s="18">
        <f t="shared" si="4"/>
        <v>45991</v>
      </c>
      <c r="J20" s="2">
        <f t="shared" si="5"/>
        <v>3</v>
      </c>
      <c r="K20" s="25" t="str">
        <f t="shared" si="6"/>
        <v>NK</v>
      </c>
      <c r="L20" s="26" t="str">
        <f t="shared" si="7"/>
        <v>NK30-Nov-2025</v>
      </c>
      <c r="M20" s="5" t="str">
        <f t="shared" si="8"/>
        <v>Baik</v>
      </c>
      <c r="N20" s="17" t="str">
        <f t="shared" si="9"/>
        <v>N***a K****a</v>
      </c>
    </row>
    <row r="22" spans="2:14">
      <c r="B22" s="16" t="s">
        <v>45</v>
      </c>
    </row>
    <row r="24" spans="2:14">
      <c r="C24" s="10" t="s">
        <v>46</v>
      </c>
      <c r="N24" s="6" t="s">
        <v>47</v>
      </c>
    </row>
    <row r="25" spans="2:14">
      <c r="C25" t="s">
        <v>48</v>
      </c>
    </row>
    <row r="26" spans="2:14" ht="15.6">
      <c r="C26" s="20" t="s">
        <v>49</v>
      </c>
      <c r="D26" s="21" t="s">
        <v>50</v>
      </c>
    </row>
    <row r="27" spans="2:14">
      <c r="K27" s="7"/>
    </row>
    <row r="28" spans="2:14">
      <c r="B28">
        <v>1</v>
      </c>
      <c r="C28" t="s">
        <v>51</v>
      </c>
      <c r="N28" s="8" t="s">
        <v>52</v>
      </c>
    </row>
    <row r="29" spans="2:14">
      <c r="B29">
        <v>2</v>
      </c>
      <c r="C29" t="s">
        <v>53</v>
      </c>
      <c r="N29" s="9" t="s">
        <v>54</v>
      </c>
    </row>
    <row r="30" spans="2:14">
      <c r="B30">
        <v>3</v>
      </c>
      <c r="C30" t="s">
        <v>55</v>
      </c>
    </row>
    <row r="31" spans="2:14">
      <c r="B31">
        <v>4</v>
      </c>
      <c r="C31" t="s">
        <v>56</v>
      </c>
    </row>
    <row r="32" spans="2:14">
      <c r="B32">
        <v>5</v>
      </c>
      <c r="C32" t="s">
        <v>57</v>
      </c>
    </row>
    <row r="33" spans="2:3">
      <c r="B33">
        <v>6</v>
      </c>
      <c r="C33" t="s">
        <v>58</v>
      </c>
    </row>
    <row r="34" spans="2:3">
      <c r="B34">
        <v>7</v>
      </c>
      <c r="C34" t="s">
        <v>59</v>
      </c>
    </row>
    <row r="35" spans="2:3">
      <c r="B35">
        <v>8</v>
      </c>
      <c r="C35" t="s">
        <v>60</v>
      </c>
    </row>
    <row r="36" spans="2:3">
      <c r="B36">
        <v>9</v>
      </c>
      <c r="C36" t="s">
        <v>61</v>
      </c>
    </row>
    <row r="37" spans="2:3">
      <c r="B37">
        <v>10</v>
      </c>
      <c r="C37" t="s">
        <v>62</v>
      </c>
    </row>
    <row r="39" spans="2:3">
      <c r="C39" s="30" t="s">
        <v>63</v>
      </c>
    </row>
    <row r="40" spans="2:3">
      <c r="C40" s="30" t="s">
        <v>64</v>
      </c>
    </row>
    <row r="44" spans="2:3">
      <c r="B44" s="14"/>
    </row>
    <row r="45" spans="2:3">
      <c r="B45" s="14"/>
    </row>
    <row r="46" spans="2:3">
      <c r="B46" s="14"/>
    </row>
    <row r="47" spans="2:3">
      <c r="B47" s="14"/>
    </row>
    <row r="48" spans="2:3">
      <c r="B48" s="14"/>
    </row>
    <row r="49" spans="2:2">
      <c r="B49" s="14"/>
    </row>
    <row r="50" spans="2:2">
      <c r="B50" s="14"/>
    </row>
    <row r="51" spans="2:2">
      <c r="B51" s="14"/>
    </row>
    <row r="52" spans="2:2">
      <c r="B52" s="14"/>
    </row>
    <row r="53" spans="2:2">
      <c r="B53" s="14"/>
    </row>
    <row r="54" spans="2:2">
      <c r="B54" s="14"/>
    </row>
    <row r="55" spans="2:2">
      <c r="B55" s="14"/>
    </row>
  </sheetData>
  <mergeCells count="1">
    <mergeCell ref="E2:F2"/>
  </mergeCells>
  <hyperlinks>
    <hyperlink ref="N28" r:id="rId1" xr:uid="{2C4921A5-A4D1-4B42-8478-92FFADFC3F7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8C52-449A-4C54-8FAA-0387C21C6742}">
  <sheetPr codeName="Sheet2"/>
  <dimension ref="A1:AA44"/>
  <sheetViews>
    <sheetView workbookViewId="0">
      <selection activeCell="C44" sqref="C44"/>
    </sheetView>
  </sheetViews>
  <sheetFormatPr defaultRowHeight="14.45"/>
  <cols>
    <col min="2" max="2" width="9.5703125" customWidth="1"/>
    <col min="3" max="3" width="13.85546875" customWidth="1"/>
    <col min="4" max="4" width="7.5703125" customWidth="1"/>
    <col min="5" max="5" width="7.140625" customWidth="1"/>
    <col min="6" max="6" width="7.42578125" customWidth="1"/>
    <col min="7" max="7" width="7.7109375" customWidth="1"/>
    <col min="8" max="8" width="18.28515625" customWidth="1"/>
    <col min="9" max="9" width="16.28515625" customWidth="1"/>
    <col min="10" max="10" width="10.140625" customWidth="1"/>
    <col min="11" max="11" width="13" customWidth="1"/>
    <col min="12" max="12" width="17.85546875" customWidth="1"/>
    <col min="14" max="14" width="18.7109375" customWidth="1"/>
    <col min="15" max="15" width="14.85546875" customWidth="1"/>
    <col min="18" max="18" width="32.7109375" customWidth="1"/>
  </cols>
  <sheetData>
    <row r="1" spans="1:27">
      <c r="A1" t="s">
        <v>65</v>
      </c>
      <c r="C1" s="12" t="str">
        <f>'XL-Test'!E7</f>
        <v>Andi Saputra</v>
      </c>
      <c r="D1" s="12" t="str">
        <f>'XL-Test'!F7</f>
        <v>2024</v>
      </c>
      <c r="E1" s="12" t="str">
        <f>'XL-Test'!G7</f>
        <v>08</v>
      </c>
      <c r="F1" s="12" t="str">
        <f>'XL-Test'!H7</f>
        <v>19</v>
      </c>
      <c r="G1" s="12">
        <f>'XL-Test'!I7</f>
        <v>45523</v>
      </c>
      <c r="H1" s="12">
        <f>'XL-Test'!J7</f>
        <v>3</v>
      </c>
      <c r="I1" s="12" t="str">
        <f>'XL-Test'!K7</f>
        <v>AS</v>
      </c>
      <c r="J1" s="12" t="str">
        <f>'XL-Test'!L7</f>
        <v>AS19-Agu-2024</v>
      </c>
      <c r="K1" s="12" t="str">
        <f>'XL-Test'!M7</f>
        <v>Cukup</v>
      </c>
      <c r="L1" s="12" t="str">
        <f>'XL-Test'!N7</f>
        <v>A**i S*****a</v>
      </c>
      <c r="M1" s="12"/>
      <c r="N1" s="12"/>
      <c r="Q1">
        <v>1</v>
      </c>
      <c r="R1" t="str">
        <f ca="1">_xlfn.FORMULATEXT('XL-Test'!E7)</f>
        <v>=SUBSTITUTE(PROPER(TRIM(SUBSTITUTE(C7;CHAR(160);" ")));"'A";"'a")</v>
      </c>
      <c r="S1" t="str">
        <f ca="1">_xlfn.FORMULATEXT('XL-Test'!F7)</f>
        <v>=MID(TRIM(SUBSTITUTE(B7; CHAR(160);" "));7;4)</v>
      </c>
      <c r="T1" t="str">
        <f ca="1">_xlfn.FORMULATEXT('XL-Test'!G7)</f>
        <v>=MID(TRIM(SUBSTITUTE(B7; CHAR(160);" "));12;2)</v>
      </c>
      <c r="U1" t="str">
        <f ca="1">_xlfn.FORMULATEXT('XL-Test'!H7)</f>
        <v>=RIGHT(TRIM(SUBSTITUTE(B7; CHAR(160);" "));2)</v>
      </c>
      <c r="V1" t="str">
        <f ca="1">_xlfn.FORMULATEXT('XL-Test'!I7)</f>
        <v>=(F7&amp;"-"&amp;G7&amp;"-"&amp;H7)*1</v>
      </c>
      <c r="W1" t="str">
        <f ca="1">_xlfn.FORMULATEXT('XL-Test'!J7)</f>
        <v>=LEN(C7)-LEN(SUBSTITUTE(UPPER(C7);"A";""))</v>
      </c>
      <c r="X1" t="str">
        <f ca="1">_xlfn.FORMULATEXT('XL-Test'!K7)</f>
        <v>=LEFT(E7;1)&amp;MID(E7;FIND(" ";E7;1)+1;1)</v>
      </c>
      <c r="Y1" t="str">
        <f ca="1">_xlfn.FORMULATEXT('XL-Test'!L7)</f>
        <v>=K7&amp;TEXT(I7;"[$-id-ID]dd-mmm-yyyy")</v>
      </c>
      <c r="Z1" t="str">
        <f ca="1">_xlfn.FORMULATEXT('XL-Test'!M7)</f>
        <v>=TEXT(D7;"[&gt;80]""Bagus"";[&gt;60]""Baik"";""Cukup""")</v>
      </c>
      <c r="AA1" t="str">
        <f ca="1">_xlfn.FORMULATEXT('XL-Test'!N7)</f>
        <v>=REPLACE(REPLACE(E7;2;FIND(" ";E7)-3;REPT("*";FIND(" ";E7)-3));FIND(" ";E7)+2;LEN(E7)-FIND(" ";E7)-2;REPT("*";LEN(E7)-FIND(" ";E7)-2))</v>
      </c>
    </row>
    <row r="2" spans="1:27">
      <c r="A2" t="s">
        <v>66</v>
      </c>
      <c r="C2" s="12" t="str">
        <f>'XL-Test'!E11</f>
        <v>Alfa'iz Muhammad</v>
      </c>
      <c r="D2" s="12" t="str">
        <f>'XL-Test'!F11</f>
        <v>2023</v>
      </c>
      <c r="E2" s="12" t="str">
        <f>'XL-Test'!G11</f>
        <v>07</v>
      </c>
      <c r="F2" s="12" t="str">
        <f>'XL-Test'!H11</f>
        <v>23</v>
      </c>
      <c r="G2" s="12">
        <f>'XL-Test'!I11</f>
        <v>45130</v>
      </c>
      <c r="H2" s="12">
        <f>'XL-Test'!J11</f>
        <v>4</v>
      </c>
      <c r="I2" s="12" t="str">
        <f>'XL-Test'!K11</f>
        <v>AM</v>
      </c>
      <c r="J2" s="12" t="str">
        <f>'XL-Test'!L11</f>
        <v>AM23-Jul-2023</v>
      </c>
      <c r="K2" s="12" t="str">
        <f>'XL-Test'!M10</f>
        <v>Baik</v>
      </c>
      <c r="L2" s="12" t="str">
        <f>'XL-Test'!N11</f>
        <v>A*****z M******d</v>
      </c>
      <c r="M2" s="12"/>
      <c r="N2" s="12"/>
      <c r="Q2">
        <v>2</v>
      </c>
      <c r="R2" t="str">
        <f ca="1">_xlfn.FORMULATEXT('XL-Test'!F7)</f>
        <v>=MID(TRIM(SUBSTITUTE(B7; CHAR(160);" "));7;4)</v>
      </c>
    </row>
    <row r="3" spans="1:27">
      <c r="C3" s="12" t="str">
        <f>'XL-Test'!E14</f>
        <v>Ba'asyir Ananda</v>
      </c>
      <c r="D3" s="12" t="str">
        <f>'XL-Test'!F14</f>
        <v>2024</v>
      </c>
      <c r="E3" s="12" t="str">
        <f>'XL-Test'!G14</f>
        <v>08</v>
      </c>
      <c r="F3" s="12" t="str">
        <f>'XL-Test'!H14</f>
        <v>02</v>
      </c>
      <c r="G3" s="12">
        <f>'XL-Test'!I14</f>
        <v>45506</v>
      </c>
      <c r="H3" s="12">
        <f>'XL-Test'!J14</f>
        <v>5</v>
      </c>
      <c r="I3" s="12" t="str">
        <f>'XL-Test'!K14</f>
        <v>BA</v>
      </c>
      <c r="J3" s="12" t="str">
        <f>'XL-Test'!L14</f>
        <v>BA02-Agu-2024</v>
      </c>
      <c r="K3" s="12" t="str">
        <f>'XL-Test'!M14</f>
        <v>Cukup</v>
      </c>
      <c r="L3" s="12" t="str">
        <f>'XL-Test'!N14</f>
        <v>B******r A****a</v>
      </c>
      <c r="M3" s="12"/>
      <c r="N3" s="12"/>
      <c r="Q3">
        <v>3</v>
      </c>
      <c r="R3" t="str">
        <f ca="1">_xlfn.FORMULATEXT('XL-Test'!G7)</f>
        <v>=MID(TRIM(SUBSTITUTE(B7; CHAR(160);" "));12;2)</v>
      </c>
    </row>
    <row r="4" spans="1:27">
      <c r="C4" s="12" t="str">
        <f>'XL-Test'!E20</f>
        <v>Nadia Kusuma</v>
      </c>
      <c r="D4" s="12" t="str">
        <f>'XL-Test'!F20</f>
        <v>2025</v>
      </c>
      <c r="E4" s="12" t="str">
        <f>'XL-Test'!G20</f>
        <v>11</v>
      </c>
      <c r="F4" s="12" t="str">
        <f>'XL-Test'!H20</f>
        <v>30</v>
      </c>
      <c r="G4" s="12">
        <f>'XL-Test'!I20</f>
        <v>45991</v>
      </c>
      <c r="H4" s="12">
        <f>'XL-Test'!J20</f>
        <v>3</v>
      </c>
      <c r="I4" s="12" t="str">
        <f>'XL-Test'!K20</f>
        <v>NK</v>
      </c>
      <c r="J4" s="12" t="str">
        <f>'XL-Test'!L20</f>
        <v>NK30-Nov-2025</v>
      </c>
      <c r="K4" s="12" t="str">
        <f>'XL-Test'!M20</f>
        <v>Baik</v>
      </c>
      <c r="L4" s="12" t="str">
        <f>'XL-Test'!N20</f>
        <v>N***a K****a</v>
      </c>
      <c r="M4" s="12"/>
      <c r="N4" s="12"/>
      <c r="Q4">
        <v>4</v>
      </c>
      <c r="R4" t="str">
        <f ca="1">_xlfn.FORMULATEXT('XL-Test'!H7)</f>
        <v>=RIGHT(TRIM(SUBSTITUTE(B7; CHAR(160);" "));2)</v>
      </c>
    </row>
    <row r="5" spans="1:27">
      <c r="C5" s="12" t="str">
        <f>'XL-Test'!E9</f>
        <v>Ma'arif Alfarizi</v>
      </c>
      <c r="D5" s="12" t="str">
        <f>'XL-Test'!F9</f>
        <v>2024</v>
      </c>
      <c r="E5" s="12" t="str">
        <f>'XL-Test'!G9</f>
        <v>05</v>
      </c>
      <c r="F5" s="12" t="str">
        <f>'XL-Test'!H9</f>
        <v>21</v>
      </c>
      <c r="G5" s="12">
        <f>SUM('XL-Test'!I7:I20)</f>
        <v>637323</v>
      </c>
      <c r="H5" s="12">
        <f>SUM('XL-Test'!J7:J20)</f>
        <v>35</v>
      </c>
      <c r="I5" s="12" t="str">
        <f>'XL-Test'!K9</f>
        <v>MA</v>
      </c>
      <c r="J5" s="12" t="str">
        <f>'XL-Test'!L9</f>
        <v>MA21-Mei-2024</v>
      </c>
      <c r="K5" s="12" t="str">
        <f>'XL-Test'!M9</f>
        <v>Cukup</v>
      </c>
      <c r="L5" s="12" t="str">
        <f>'XL-Test'!N9</f>
        <v>M*****f A******i</v>
      </c>
      <c r="M5" s="12"/>
      <c r="N5" s="12"/>
      <c r="Q5">
        <v>5</v>
      </c>
      <c r="R5" t="str">
        <f ca="1">_xlfn.FORMULATEXT('XL-Test'!I7)</f>
        <v>=(F7&amp;"-"&amp;G7&amp;"-"&amp;H7)*1</v>
      </c>
    </row>
    <row r="6" spans="1:27">
      <c r="C6" s="12" t="str">
        <f>'XL-Test'!E18</f>
        <v>Sya'ban Rizki</v>
      </c>
      <c r="D6" s="12" t="str">
        <f>'XL-Test'!F18</f>
        <v>2024</v>
      </c>
      <c r="E6" s="12" t="str">
        <f>'XL-Test'!G18</f>
        <v>08</v>
      </c>
      <c r="F6" s="12" t="str">
        <f>'XL-Test'!H18</f>
        <v>29</v>
      </c>
      <c r="G6" s="12">
        <f>SUM(G1:G5)</f>
        <v>819473</v>
      </c>
      <c r="H6" s="12">
        <f>SUM(H1:H5)</f>
        <v>50</v>
      </c>
      <c r="I6" s="12" t="str">
        <f>'XL-Test'!K18</f>
        <v>SR</v>
      </c>
      <c r="J6" s="12" t="str">
        <f>'XL-Test'!L18</f>
        <v>SR29-Agu-2024</v>
      </c>
      <c r="K6" s="12" t="str">
        <f>'XL-Test'!M18</f>
        <v>Bagus</v>
      </c>
      <c r="L6" s="12" t="str">
        <f>'XL-Test'!N18</f>
        <v>S*****n R***i</v>
      </c>
      <c r="M6" s="12"/>
      <c r="N6" s="12"/>
      <c r="Q6">
        <v>6</v>
      </c>
      <c r="R6" t="str">
        <f ca="1">_xlfn.FORMULATEXT('XL-Test'!J7)</f>
        <v>=LEN(C7)-LEN(SUBSTITUTE(UPPER(C7);"A";""))</v>
      </c>
    </row>
    <row r="7" spans="1:27">
      <c r="Q7">
        <v>7</v>
      </c>
      <c r="R7" t="str">
        <f ca="1">_xlfn.FORMULATEXT('XL-Test'!K7)</f>
        <v>=LEFT(E7;1)&amp;MID(E7;FIND(" ";E7;1)+1;1)</v>
      </c>
    </row>
    <row r="8" spans="1:27">
      <c r="B8" t="s">
        <v>67</v>
      </c>
      <c r="C8">
        <v>5715</v>
      </c>
      <c r="D8">
        <v>5940</v>
      </c>
      <c r="E8">
        <v>1031</v>
      </c>
      <c r="F8">
        <v>4776</v>
      </c>
      <c r="G8">
        <v>2898</v>
      </c>
      <c r="H8">
        <v>2000</v>
      </c>
      <c r="I8">
        <v>5260</v>
      </c>
      <c r="J8">
        <v>6095</v>
      </c>
      <c r="K8">
        <v>1756</v>
      </c>
      <c r="L8">
        <v>4630</v>
      </c>
      <c r="Q8">
        <v>8</v>
      </c>
      <c r="R8" t="str">
        <f ca="1">_xlfn.FORMULATEXT('XL-Test'!L7)</f>
        <v>=K7&amp;TEXT(I7;"[$-id-ID]dd-mmm-yyyy")</v>
      </c>
    </row>
    <row r="9" spans="1:27">
      <c r="C9" s="12" t="str">
        <f ca="1">DEC2HEX(IF(OR(C1="",C1=0),C8,CODE(LEFT(C1))+CODE(LEFT(C2))+CODE(LEFT(C3))+CODE(LEFT(C4))+CODE(LEFT(C5))+CODE(LEFT(C6))
+CODE(MID(C3,4,1))
+CODE(MID(C2,7,1))
+CODE(MID(C6,5,1))
+CODE(MID(C5,4,1))
+CODE(RIGHT(C5))
+CODE(RIGHT(C3))
))&amp;C14</f>
        <v>41A1</v>
      </c>
      <c r="D9" t="str">
        <f ca="1">DEC2HEX(IF(OR(D1=0,D1=""),D8,D1+D2+D3+D4+D5+D6))&amp;D14</f>
        <v>2F701</v>
      </c>
      <c r="E9" t="str">
        <f ca="1">DEC2HEX(IF(OR(E1=0,E1=""),E8,(E6+0+E2+0+E3+0+E4+0+E5)+412))&amp;E14</f>
        <v>1C31</v>
      </c>
      <c r="F9" t="str">
        <f ca="1">DEC2HEX(IF(OR(F1=0,F1=""),F8,(F6+0+F2+0+F3+0+F4+0+F5)+194))&amp;F14</f>
        <v>12B1</v>
      </c>
      <c r="G9" t="str">
        <f ca="1">DEC2HEX(IF(G1=0,G8,G6))&amp;G14</f>
        <v>C81111</v>
      </c>
      <c r="H9" t="str">
        <f ca="1">DEC2HEX(IF(H1=0,H8,H6))&amp;H14</f>
        <v>321</v>
      </c>
      <c r="I9" t="str">
        <f ca="1">DEC2HEX(IF(OR(I1=0,I1=""),I8,CODE(LEFT(I1))+CODE(LEFT(I2))+CODE(LEFT(I3))+CODE(MID(I4,2,1))+CODE(RIGHT(I5))+CODE(RIGHT(I6))))&amp;I14</f>
        <v>1A21</v>
      </c>
      <c r="J9" s="12" t="str">
        <f ca="1">DEC2HEX(IF(OR(J1="",J1=0),J8,CODE(LEFT(J2))+CODE(LEFT(J1))+CODE(LEFT(J3))+CODE(LEFT(J4))+CODE(LEFT(J6))+CODE(LEFT(J5))+CODE(MID(J1,6,1))+CODE(MID(J2,4,1))+CODE(MID(J5,6,1))++CODE(MID(J1,2,1))+CODE(MID(J2,2,1))+CODE(MID(J6,2,1))+CODE(MID(J5,7,1))))&amp;J14</f>
        <v>3CA1</v>
      </c>
      <c r="K9" s="12" t="str">
        <f ca="1">DEC2HEX(IF(OR(K1="",K1=0),K8,CODE(LEFT(K1))+CODE(RIGHT(K2))+CODE(LEFT(K2))+CODE(LEFT(K6))+CODE(RIGHT(K6,1))+CODE(LEFT(K5))+CODE(LEFT(K3))+CODE(LEFT(K4))))&amp;K14</f>
        <v>26D1</v>
      </c>
      <c r="L9" t="str">
        <f ca="1">DEC2HEX(IF(L1=0,L8,CODE(MID(L1,4,1))+CODE(MID(L1,6,1))+CODE(MID(L2,3,1))+CODE(MID(L2,1,1))+CODE(MID(L3,8,1))+CODE(MID(L3,10,1))+CODE(MID(L6,1,1))+CODE(MID(L6,3,1))+CODE(MID(L5,1,1))+CODE(MID(L4,1,1))+CODE(MID(L4,7,1))))&amp;L14</f>
        <v>33D1</v>
      </c>
      <c r="Q9">
        <v>9</v>
      </c>
      <c r="R9" t="str">
        <f ca="1">_xlfn.FORMULATEXT('XL-Test'!M7)</f>
        <v>=TEXT(D7;"[&gt;80]""Bagus"";[&gt;60]""Baik"";""Cukup""")</v>
      </c>
    </row>
    <row r="10" spans="1:27">
      <c r="Q10">
        <v>10</v>
      </c>
      <c r="R10" t="str">
        <f ca="1">_xlfn.FORMULATEXT('XL-Test'!N7)</f>
        <v>=REPLACE(REPLACE(E7;2;FIND(" ";E7)-3;REPT("*";FIND(" ";E7)-3));FIND(" ";E7)+2;LEN(E7)-FIND(" ";E7)-2;REPT("*";LEN(E7)-FIND(" ";E7)-2))</v>
      </c>
    </row>
    <row r="11" spans="1:27">
      <c r="B11" t="b">
        <v>1</v>
      </c>
      <c r="C11" t="str">
        <f ca="1">RIGHT(C8,2)&amp;C25</f>
        <v>151</v>
      </c>
      <c r="D11" t="str">
        <f t="shared" ref="D11:L11" ca="1" si="0">RIGHT(D8,2)&amp;D25</f>
        <v>401</v>
      </c>
      <c r="E11" t="str">
        <f t="shared" ca="1" si="0"/>
        <v>311</v>
      </c>
      <c r="F11" t="str">
        <f t="shared" ca="1" si="0"/>
        <v>761</v>
      </c>
      <c r="G11" t="str">
        <f t="shared" ca="1" si="0"/>
        <v>981</v>
      </c>
      <c r="H11" t="str">
        <f t="shared" ca="1" si="0"/>
        <v>001</v>
      </c>
      <c r="I11" t="str">
        <f t="shared" ca="1" si="0"/>
        <v>601</v>
      </c>
      <c r="J11" t="str">
        <f t="shared" ca="1" si="0"/>
        <v>951</v>
      </c>
      <c r="K11" t="str">
        <f t="shared" ca="1" si="0"/>
        <v>561</v>
      </c>
      <c r="L11" t="str">
        <f t="shared" ca="1" si="0"/>
        <v>301</v>
      </c>
    </row>
    <row r="12" spans="1:27">
      <c r="B12" t="b">
        <v>0</v>
      </c>
      <c r="C12" t="str">
        <f ca="1">LEFT(C8,2)&amp;C25</f>
        <v>571</v>
      </c>
      <c r="D12" t="str">
        <f t="shared" ref="D12:L12" ca="1" si="1">LEFT(D8,2)&amp;D25</f>
        <v>591</v>
      </c>
      <c r="E12" t="str">
        <f t="shared" ca="1" si="1"/>
        <v>101</v>
      </c>
      <c r="F12" t="str">
        <f t="shared" ca="1" si="1"/>
        <v>471</v>
      </c>
      <c r="G12" t="str">
        <f t="shared" ca="1" si="1"/>
        <v>281</v>
      </c>
      <c r="H12" t="str">
        <f t="shared" ca="1" si="1"/>
        <v>201</v>
      </c>
      <c r="I12" t="str">
        <f t="shared" ca="1" si="1"/>
        <v>521</v>
      </c>
      <c r="J12" t="str">
        <f t="shared" ca="1" si="1"/>
        <v>601</v>
      </c>
      <c r="K12" t="str">
        <f t="shared" ca="1" si="1"/>
        <v>171</v>
      </c>
      <c r="L12" t="str">
        <f t="shared" ca="1" si="1"/>
        <v>461</v>
      </c>
    </row>
    <row r="14" spans="1:27">
      <c r="B14" t="s">
        <v>68</v>
      </c>
      <c r="C14">
        <f ca="1">AND(ISNUMBER(FIND("=",R1)),ISNUMBER(FIND("(",R1)),ISNUMBER(FIND("7",R1)),C44)*1</f>
        <v>1</v>
      </c>
      <c r="D14">
        <f t="shared" ref="D14:F14" ca="1" si="2">AND(ISNUMBER(FIND("=",S1)),ISNUMBER(FIND("(",S1)),ISNUMBER(FIND("7",S1)),D44)*1</f>
        <v>1</v>
      </c>
      <c r="E14">
        <f t="shared" ca="1" si="2"/>
        <v>1</v>
      </c>
      <c r="F14">
        <f t="shared" ca="1" si="2"/>
        <v>1</v>
      </c>
      <c r="G14">
        <f ca="1">AND(ISNUMBER(FIND("=",V1)),ISNUMBER(FIND("(",V1)),ISNUMBER(FIND("7",V1)),ISERROR(FIND("DATE",V1)),G44)*1</f>
        <v>1</v>
      </c>
      <c r="H14">
        <f ca="1">AND(ISNUMBER(FIND("=",W1)),ISNUMBER(FIND("(",W1)),ISNUMBER(FIND("7",W1)),H44)*1</f>
        <v>1</v>
      </c>
      <c r="I14">
        <f t="shared" ref="I14:J14" ca="1" si="3">AND(ISNUMBER(FIND("=",X1)),ISNUMBER(FIND("(",X1)),ISNUMBER(FIND("7",X1)),I44)*1</f>
        <v>1</v>
      </c>
      <c r="J14">
        <f t="shared" ca="1" si="3"/>
        <v>1</v>
      </c>
      <c r="K14">
        <f ca="1">AND(ISNUMBER(FIND("=",Z1)),ISNUMBER(FIND("(",Z1)),ISNUMBER(FIND("7",Z1)),R21,K44)*1</f>
        <v>1</v>
      </c>
      <c r="L14">
        <f ca="1">AND(ISNUMBER(FIND("=",AA1)),ISNUMBER(FIND("(",AA1)),ISNUMBER(FIND("7",AA1)),L44)*1</f>
        <v>1</v>
      </c>
      <c r="R14">
        <v>1</v>
      </c>
      <c r="S14">
        <v>2</v>
      </c>
      <c r="T14">
        <v>3</v>
      </c>
      <c r="U14">
        <v>4</v>
      </c>
      <c r="V14">
        <v>5</v>
      </c>
      <c r="W14">
        <v>6</v>
      </c>
      <c r="X14">
        <v>7</v>
      </c>
      <c r="Y14">
        <v>8</v>
      </c>
      <c r="Z14">
        <v>9</v>
      </c>
      <c r="AA14">
        <v>10</v>
      </c>
    </row>
    <row r="15" spans="1:27">
      <c r="B15" t="s">
        <v>68</v>
      </c>
      <c r="C15" t="b">
        <f ca="1">AND(ISNUMBER(FIND("PROPER",R1)),ISNUMBER(FIND("SUBS",R1)),ISNUMBER(FIND("TRIM",R1)),ISNUMBER(FIND("CHA",R1)))</f>
        <v>1</v>
      </c>
      <c r="D15" t="b">
        <f ca="1">AND(ISNUMBER(FIND("MID",S1)),ISNUMBER(FIND("SUBS",S1)),ISNUMBER(FIND("TRIM",S1)),ISNUMBER(FIND("CHA",S1)))</f>
        <v>1</v>
      </c>
      <c r="E15" t="b">
        <f ca="1">AND(ISNUMBER(FIND("MID",T1)),ISNUMBER(FIND("SUBS",T1)),ISNUMBER(FIND("TRIM",T1)),ISNUMBER(FIND("CHA",T1)))</f>
        <v>1</v>
      </c>
      <c r="F15" t="b">
        <f ca="1">AND(ISNUMBER(FIND("RIG",U1)),ISNUMBER(FIND("SUBS",U1)),ISNUMBER(FIND("TRIM",U1)),ISNUMBER(FIND("CHA",U1)))</f>
        <v>1</v>
      </c>
      <c r="G15" t="b">
        <f ca="1">OR(ISNUMBER(FIND("-",V1)),ISNUMBER(FIND("+",V1)),ISNUMBER(FIND("*",V1)),ISNUMBER(FIND("/",V1)),ISERROR(FIND("DATE",V1)))</f>
        <v>1</v>
      </c>
      <c r="H15" t="b">
        <f ca="1">AND(ISNUMBER(FIND("LEN",W1)),ISNUMBER(FIND("SUBS",W1)),OR(ISNUMBER(FIND("LOW",W1)),ISNUMBER(FIND("UP",W1))))</f>
        <v>1</v>
      </c>
      <c r="I15" t="b">
        <f ca="1">AND(ISNUMBER(FIND("MID",X1)),ISNUMBER(FIND("LEF",X1)))</f>
        <v>1</v>
      </c>
      <c r="J15" t="b">
        <f ca="1">AND(ISNUMBER(FIND("TEXT",Y1)),OR(ISNUMBER(FIND("&amp;",Y1)),ISNUMBER(FIND("CON",Y1))))</f>
        <v>1</v>
      </c>
      <c r="K15" t="b">
        <f ca="1">AND(ISNUMBER(FIND("TEXT",Z1)),ISNUMBER(FIND("[",Z1)))</f>
        <v>1</v>
      </c>
      <c r="L15" t="b">
        <f ca="1">AND(ISNUMBER(FIND("REPL",AA1)),ISNUMBER(FIND("REPT",AA1)))</f>
        <v>1</v>
      </c>
    </row>
    <row r="17" spans="1:18">
      <c r="B17" t="s">
        <v>69</v>
      </c>
      <c r="C17" t="str">
        <f ca="1">IF(C15,C11,C12)&amp;"-"&amp;IFERROR(C9,"EEEE")&amp;";"</f>
        <v>151-41A1;</v>
      </c>
      <c r="D17" t="str">
        <f t="shared" ref="D17:K17" ca="1" si="4">IF(D15,D11,D12)&amp;"-"&amp;IFERROR(D9,"EEEE")&amp;";"</f>
        <v>401-2F701;</v>
      </c>
      <c r="E17" t="str">
        <f t="shared" ca="1" si="4"/>
        <v>311-1C31;</v>
      </c>
      <c r="F17" t="str">
        <f t="shared" ca="1" si="4"/>
        <v>761-12B1;</v>
      </c>
      <c r="G17" t="str">
        <f t="shared" ca="1" si="4"/>
        <v>981-C81111;</v>
      </c>
      <c r="H17" t="str">
        <f t="shared" ca="1" si="4"/>
        <v>001-321;</v>
      </c>
      <c r="I17" t="str">
        <f t="shared" ca="1" si="4"/>
        <v>601-1A21;</v>
      </c>
      <c r="J17" t="str">
        <f t="shared" ca="1" si="4"/>
        <v>951-3CA1;</v>
      </c>
      <c r="K17" t="str">
        <f t="shared" ca="1" si="4"/>
        <v>561-26D1;</v>
      </c>
      <c r="L17" t="str">
        <f ca="1">IF(L15,L11,L12)&amp;"-"&amp;IFERROR(L9,"EEEE")</f>
        <v>301-33D1</v>
      </c>
    </row>
    <row r="18" spans="1:18" ht="15.6">
      <c r="O18" s="21"/>
    </row>
    <row r="19" spans="1:18">
      <c r="B19">
        <f>CODE(MID('XL-Test'!B15,4,1))</f>
        <v>160</v>
      </c>
      <c r="C19" t="str">
        <f ca="1">IF(AND(B19=160,B20=160),A2&amp;"|"&amp;C17&amp;D17&amp;E17&amp;F17&amp;G17&amp;H17&amp;I17&amp;J17&amp;K17&amp;L17,"Table Berubah!Kembalikan Data Table Seperti semula")</f>
        <v>XF8|151-41A1;401-2F701;311-1C31;761-12B1;981-C81111;001-321;601-1A21;951-3CA1;561-26D1;301-33D1</v>
      </c>
    </row>
    <row r="20" spans="1:18">
      <c r="B20">
        <f>CODE(MID('XL-Test'!C8,1,1))</f>
        <v>160</v>
      </c>
      <c r="O20" t="s">
        <v>70</v>
      </c>
      <c r="P20" t="s">
        <v>71</v>
      </c>
      <c r="Q20" t="b">
        <f ca="1">ISNUMBER(FIND(P20,Z1))</f>
        <v>0</v>
      </c>
      <c r="R20" t="b">
        <f ca="1">OR(Q20,Q21,Q22,Q23,Q24)</f>
        <v>0</v>
      </c>
    </row>
    <row r="21" spans="1:18">
      <c r="O21" t="s">
        <v>72</v>
      </c>
      <c r="P21" t="s">
        <v>73</v>
      </c>
      <c r="Q21" t="b">
        <f t="shared" ref="Q21:Q24" si="5">ISNUMBER(FIND(P21,Z2))</f>
        <v>0</v>
      </c>
      <c r="R21" t="b">
        <f ca="1">NOT(R20)</f>
        <v>1</v>
      </c>
    </row>
    <row r="22" spans="1:18"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O22" t="s">
        <v>74</v>
      </c>
      <c r="P22" t="s">
        <v>75</v>
      </c>
      <c r="Q22" t="b">
        <f t="shared" si="5"/>
        <v>0</v>
      </c>
    </row>
    <row r="23" spans="1:18">
      <c r="B23" t="s">
        <v>76</v>
      </c>
      <c r="C23">
        <f ca="1">LEN(R1)-LEN(SUBSTITUTE(R1,"(",""))</f>
        <v>5</v>
      </c>
      <c r="D23">
        <f t="shared" ref="D23:L23" ca="1" si="6">LEN(S1)-LEN(SUBSTITUTE(S1,"(",""))</f>
        <v>4</v>
      </c>
      <c r="E23">
        <f t="shared" ca="1" si="6"/>
        <v>4</v>
      </c>
      <c r="F23">
        <f t="shared" ca="1" si="6"/>
        <v>4</v>
      </c>
      <c r="G23">
        <f t="shared" ca="1" si="6"/>
        <v>1</v>
      </c>
      <c r="H23">
        <f t="shared" ca="1" si="6"/>
        <v>4</v>
      </c>
      <c r="I23">
        <f t="shared" ca="1" si="6"/>
        <v>3</v>
      </c>
      <c r="J23">
        <f t="shared" ca="1" si="6"/>
        <v>1</v>
      </c>
      <c r="K23">
        <f t="shared" ca="1" si="6"/>
        <v>1</v>
      </c>
      <c r="L23">
        <f t="shared" ca="1" si="6"/>
        <v>11</v>
      </c>
      <c r="O23" t="s">
        <v>77</v>
      </c>
      <c r="P23" t="s">
        <v>78</v>
      </c>
      <c r="Q23" t="b">
        <f t="shared" si="5"/>
        <v>0</v>
      </c>
    </row>
    <row r="24" spans="1:18">
      <c r="C24">
        <v>6</v>
      </c>
      <c r="D24">
        <v>4</v>
      </c>
      <c r="E24">
        <v>4</v>
      </c>
      <c r="F24">
        <v>4</v>
      </c>
      <c r="G24">
        <v>1</v>
      </c>
      <c r="H24">
        <v>4</v>
      </c>
      <c r="I24">
        <v>3</v>
      </c>
      <c r="J24">
        <v>1</v>
      </c>
      <c r="K24">
        <v>1</v>
      </c>
      <c r="L24">
        <v>11</v>
      </c>
      <c r="O24" t="s">
        <v>79</v>
      </c>
      <c r="P24" t="s">
        <v>80</v>
      </c>
      <c r="Q24" t="b">
        <f t="shared" si="5"/>
        <v>0</v>
      </c>
    </row>
    <row r="25" spans="1:18">
      <c r="B25" t="s">
        <v>81</v>
      </c>
      <c r="C25">
        <f ca="1">IFERROR(C23&lt;=C24,0)+0</f>
        <v>1</v>
      </c>
      <c r="D25">
        <f t="shared" ref="D25:L25" ca="1" si="7">IFERROR(D23&lt;=D24,0)+0</f>
        <v>1</v>
      </c>
      <c r="E25">
        <f t="shared" ca="1" si="7"/>
        <v>1</v>
      </c>
      <c r="F25">
        <f t="shared" ca="1" si="7"/>
        <v>1</v>
      </c>
      <c r="G25">
        <f t="shared" ca="1" si="7"/>
        <v>1</v>
      </c>
      <c r="H25">
        <f t="shared" ca="1" si="7"/>
        <v>1</v>
      </c>
      <c r="I25">
        <f t="shared" ca="1" si="7"/>
        <v>1</v>
      </c>
      <c r="J25">
        <f t="shared" ca="1" si="7"/>
        <v>1</v>
      </c>
      <c r="K25">
        <f t="shared" ca="1" si="7"/>
        <v>1</v>
      </c>
      <c r="L25">
        <f t="shared" ca="1" si="7"/>
        <v>1</v>
      </c>
      <c r="O25" t="s">
        <v>82</v>
      </c>
    </row>
    <row r="26" spans="1:18">
      <c r="O26" t="s">
        <v>83</v>
      </c>
    </row>
    <row r="27" spans="1:18">
      <c r="O27" t="s">
        <v>84</v>
      </c>
    </row>
    <row r="28" spans="1:18">
      <c r="A28">
        <v>7</v>
      </c>
      <c r="B28">
        <v>1</v>
      </c>
      <c r="C28">
        <f ca="1">LEN(_xlfn.FORMULATEXT('XL-Test'!E7))+1</f>
        <v>66</v>
      </c>
      <c r="D28">
        <f ca="1">LEN(_xlfn.FORMULATEXT('XL-Test'!F7))+1</f>
        <v>46</v>
      </c>
      <c r="E28">
        <f ca="1">LEN(_xlfn.FORMULATEXT('XL-Test'!G7))+1</f>
        <v>47</v>
      </c>
      <c r="F28">
        <f ca="1">LEN(_xlfn.FORMULATEXT('XL-Test'!H7))+1</f>
        <v>46</v>
      </c>
      <c r="G28">
        <f ca="1">LEN(_xlfn.FORMULATEXT('XL-Test'!I7))+2</f>
        <v>23</v>
      </c>
      <c r="H28">
        <f ca="1">LEN(_xlfn.FORMULATEXT('XL-Test'!J7))+2</f>
        <v>44</v>
      </c>
      <c r="I28">
        <f ca="1">LEN(_xlfn.FORMULATEXT('XL-Test'!K7))+3</f>
        <v>41</v>
      </c>
      <c r="J28">
        <f ca="1">LEN(_xlfn.FORMULATEXT('XL-Test'!L7))+2</f>
        <v>37</v>
      </c>
      <c r="K28">
        <f ca="1">LEN(_xlfn.FORMULATEXT('XL-Test'!M7))+1</f>
        <v>51</v>
      </c>
      <c r="L28">
        <f ca="1">LEN(_xlfn.FORMULATEXT('XL-Test'!N7))+8</f>
        <v>142</v>
      </c>
      <c r="O28" t="s">
        <v>85</v>
      </c>
    </row>
    <row r="29" spans="1:18">
      <c r="A29">
        <v>8</v>
      </c>
      <c r="B29">
        <v>2</v>
      </c>
      <c r="C29">
        <f ca="1">LEN(_xlfn.FORMULATEXT('XL-Test'!E8))+1</f>
        <v>66</v>
      </c>
      <c r="D29">
        <f ca="1">LEN(_xlfn.FORMULATEXT('XL-Test'!F8))+1</f>
        <v>46</v>
      </c>
      <c r="E29">
        <f ca="1">LEN(_xlfn.FORMULATEXT('XL-Test'!G8))+1</f>
        <v>47</v>
      </c>
      <c r="F29">
        <f ca="1">LEN(_xlfn.FORMULATEXT('XL-Test'!H8))+1</f>
        <v>46</v>
      </c>
      <c r="G29">
        <f ca="1">LEN(_xlfn.FORMULATEXT('XL-Test'!I8))+2</f>
        <v>23</v>
      </c>
      <c r="H29">
        <f ca="1">LEN(_xlfn.FORMULATEXT('XL-Test'!J8))+2</f>
        <v>44</v>
      </c>
      <c r="I29">
        <f ca="1">LEN(_xlfn.FORMULATEXT('XL-Test'!K8))+3</f>
        <v>41</v>
      </c>
      <c r="J29">
        <f ca="1">LEN(_xlfn.FORMULATEXT('XL-Test'!L8))+2</f>
        <v>37</v>
      </c>
      <c r="K29">
        <f ca="1">LEN(_xlfn.FORMULATEXT('XL-Test'!M8))+1</f>
        <v>51</v>
      </c>
      <c r="L29">
        <f ca="1">LEN(_xlfn.FORMULATEXT('XL-Test'!N8))+8</f>
        <v>142</v>
      </c>
      <c r="O29" t="s">
        <v>86</v>
      </c>
    </row>
    <row r="30" spans="1:18">
      <c r="A30">
        <v>9</v>
      </c>
      <c r="B30">
        <v>3</v>
      </c>
      <c r="C30">
        <f ca="1">LEN(_xlfn.FORMULATEXT('XL-Test'!E9))+1</f>
        <v>66</v>
      </c>
      <c r="D30">
        <f ca="1">LEN(_xlfn.FORMULATEXT('XL-Test'!F9))+1</f>
        <v>46</v>
      </c>
      <c r="E30">
        <f ca="1">LEN(_xlfn.FORMULATEXT('XL-Test'!G9))+1</f>
        <v>47</v>
      </c>
      <c r="F30">
        <f ca="1">LEN(_xlfn.FORMULATEXT('XL-Test'!H9))+1</f>
        <v>46</v>
      </c>
      <c r="G30">
        <f ca="1">LEN(_xlfn.FORMULATEXT('XL-Test'!I9))+2</f>
        <v>23</v>
      </c>
      <c r="H30">
        <f ca="1">LEN(_xlfn.FORMULATEXT('XL-Test'!J9))+2</f>
        <v>44</v>
      </c>
      <c r="I30">
        <f ca="1">LEN(_xlfn.FORMULATEXT('XL-Test'!K9))+3</f>
        <v>41</v>
      </c>
      <c r="J30">
        <f ca="1">LEN(_xlfn.FORMULATEXT('XL-Test'!L9))+2</f>
        <v>37</v>
      </c>
      <c r="K30">
        <f ca="1">LEN(_xlfn.FORMULATEXT('XL-Test'!M9))+1</f>
        <v>51</v>
      </c>
      <c r="L30">
        <f ca="1">LEN(_xlfn.FORMULATEXT('XL-Test'!N9))+8</f>
        <v>142</v>
      </c>
      <c r="O30" t="s">
        <v>87</v>
      </c>
    </row>
    <row r="31" spans="1:18">
      <c r="A31">
        <v>10</v>
      </c>
      <c r="B31">
        <v>4</v>
      </c>
      <c r="C31">
        <f ca="1">LEN(_xlfn.FORMULATEXT('XL-Test'!E10))</f>
        <v>66</v>
      </c>
      <c r="D31">
        <f ca="1">LEN(_xlfn.FORMULATEXT('XL-Test'!F10))</f>
        <v>46</v>
      </c>
      <c r="E31">
        <f ca="1">LEN(_xlfn.FORMULATEXT('XL-Test'!G10))</f>
        <v>47</v>
      </c>
      <c r="F31">
        <f ca="1">LEN(_xlfn.FORMULATEXT('XL-Test'!H10))</f>
        <v>46</v>
      </c>
      <c r="G31">
        <f ca="1">LEN(_xlfn.FORMULATEXT('XL-Test'!I10))</f>
        <v>24</v>
      </c>
      <c r="H31">
        <f ca="1">LEN(_xlfn.FORMULATEXT('XL-Test'!J10))</f>
        <v>44</v>
      </c>
      <c r="I31">
        <f ca="1">LEN(_xlfn.FORMULATEXT('XL-Test'!K10))</f>
        <v>41</v>
      </c>
      <c r="J31">
        <f ca="1">LEN(_xlfn.FORMULATEXT('XL-Test'!L10))</f>
        <v>37</v>
      </c>
      <c r="K31">
        <f ca="1">LEN(_xlfn.FORMULATEXT('XL-Test'!M10))</f>
        <v>51</v>
      </c>
      <c r="L31">
        <f ca="1">LEN(_xlfn.FORMULATEXT('XL-Test'!N10))</f>
        <v>142</v>
      </c>
      <c r="O31" t="s">
        <v>88</v>
      </c>
    </row>
    <row r="32" spans="1:18">
      <c r="A32">
        <v>11</v>
      </c>
      <c r="B32">
        <v>5</v>
      </c>
      <c r="C32">
        <f ca="1">LEN(_xlfn.FORMULATEXT('XL-Test'!E11))</f>
        <v>66</v>
      </c>
      <c r="D32">
        <f ca="1">LEN(_xlfn.FORMULATEXT('XL-Test'!F11))</f>
        <v>46</v>
      </c>
      <c r="E32">
        <f ca="1">LEN(_xlfn.FORMULATEXT('XL-Test'!G11))</f>
        <v>47</v>
      </c>
      <c r="F32">
        <f ca="1">LEN(_xlfn.FORMULATEXT('XL-Test'!H11))</f>
        <v>46</v>
      </c>
      <c r="G32">
        <f ca="1">LEN(_xlfn.FORMULATEXT('XL-Test'!I11))</f>
        <v>24</v>
      </c>
      <c r="H32">
        <f ca="1">LEN(_xlfn.FORMULATEXT('XL-Test'!J11))</f>
        <v>44</v>
      </c>
      <c r="I32">
        <f ca="1">LEN(_xlfn.FORMULATEXT('XL-Test'!K11))</f>
        <v>41</v>
      </c>
      <c r="J32">
        <f ca="1">LEN(_xlfn.FORMULATEXT('XL-Test'!L11))</f>
        <v>37</v>
      </c>
      <c r="K32">
        <f ca="1">LEN(_xlfn.FORMULATEXT('XL-Test'!M11))</f>
        <v>51</v>
      </c>
      <c r="L32">
        <f ca="1">LEN(_xlfn.FORMULATEXT('XL-Test'!N11))</f>
        <v>142</v>
      </c>
      <c r="O32" t="s">
        <v>89</v>
      </c>
    </row>
    <row r="33" spans="1:15">
      <c r="A33">
        <v>12</v>
      </c>
      <c r="B33">
        <v>6</v>
      </c>
      <c r="C33">
        <f ca="1">LEN(_xlfn.FORMULATEXT('XL-Test'!E12))</f>
        <v>66</v>
      </c>
      <c r="D33">
        <f ca="1">LEN(_xlfn.FORMULATEXT('XL-Test'!F12))</f>
        <v>46</v>
      </c>
      <c r="E33">
        <f ca="1">LEN(_xlfn.FORMULATEXT('XL-Test'!G12))</f>
        <v>47</v>
      </c>
      <c r="F33">
        <f ca="1">LEN(_xlfn.FORMULATEXT('XL-Test'!H12))</f>
        <v>46</v>
      </c>
      <c r="G33">
        <f ca="1">LEN(_xlfn.FORMULATEXT('XL-Test'!I12))</f>
        <v>24</v>
      </c>
      <c r="H33">
        <f ca="1">LEN(_xlfn.FORMULATEXT('XL-Test'!J12))</f>
        <v>44</v>
      </c>
      <c r="I33">
        <f ca="1">LEN(_xlfn.FORMULATEXT('XL-Test'!K12))</f>
        <v>41</v>
      </c>
      <c r="J33">
        <f ca="1">LEN(_xlfn.FORMULATEXT('XL-Test'!L12))</f>
        <v>37</v>
      </c>
      <c r="K33">
        <f ca="1">LEN(_xlfn.FORMULATEXT('XL-Test'!M12))</f>
        <v>51</v>
      </c>
      <c r="L33">
        <f ca="1">LEN(_xlfn.FORMULATEXT('XL-Test'!N12))</f>
        <v>142</v>
      </c>
      <c r="O33" t="s">
        <v>90</v>
      </c>
    </row>
    <row r="34" spans="1:15">
      <c r="A34">
        <v>13</v>
      </c>
      <c r="B34">
        <v>7</v>
      </c>
      <c r="C34">
        <f ca="1">LEN(_xlfn.FORMULATEXT('XL-Test'!E13))</f>
        <v>66</v>
      </c>
      <c r="D34">
        <f ca="1">LEN(_xlfn.FORMULATEXT('XL-Test'!F13))</f>
        <v>46</v>
      </c>
      <c r="E34">
        <f ca="1">LEN(_xlfn.FORMULATEXT('XL-Test'!G13))</f>
        <v>47</v>
      </c>
      <c r="F34">
        <f ca="1">LEN(_xlfn.FORMULATEXT('XL-Test'!H13))</f>
        <v>46</v>
      </c>
      <c r="G34">
        <f ca="1">LEN(_xlfn.FORMULATEXT('XL-Test'!I13))</f>
        <v>24</v>
      </c>
      <c r="H34">
        <f ca="1">LEN(_xlfn.FORMULATEXT('XL-Test'!J13))</f>
        <v>44</v>
      </c>
      <c r="I34">
        <f ca="1">LEN(_xlfn.FORMULATEXT('XL-Test'!K13))</f>
        <v>41</v>
      </c>
      <c r="J34">
        <f ca="1">LEN(_xlfn.FORMULATEXT('XL-Test'!L13))</f>
        <v>37</v>
      </c>
      <c r="K34">
        <f ca="1">LEN(_xlfn.FORMULATEXT('XL-Test'!M13))</f>
        <v>51</v>
      </c>
      <c r="L34">
        <f ca="1">LEN(_xlfn.FORMULATEXT('XL-Test'!N13))</f>
        <v>142</v>
      </c>
      <c r="O34" t="s">
        <v>91</v>
      </c>
    </row>
    <row r="35" spans="1:15">
      <c r="A35">
        <v>14</v>
      </c>
      <c r="B35">
        <v>8</v>
      </c>
      <c r="C35">
        <f ca="1">LEN(_xlfn.FORMULATEXT('XL-Test'!E14))</f>
        <v>66</v>
      </c>
      <c r="D35">
        <f ca="1">LEN(_xlfn.FORMULATEXT('XL-Test'!F14))</f>
        <v>46</v>
      </c>
      <c r="E35">
        <f ca="1">LEN(_xlfn.FORMULATEXT('XL-Test'!G14))</f>
        <v>47</v>
      </c>
      <c r="F35">
        <f ca="1">LEN(_xlfn.FORMULATEXT('XL-Test'!H14))</f>
        <v>46</v>
      </c>
      <c r="G35">
        <f ca="1">LEN(_xlfn.FORMULATEXT('XL-Test'!I14))</f>
        <v>24</v>
      </c>
      <c r="H35">
        <f ca="1">LEN(_xlfn.FORMULATEXT('XL-Test'!J14))</f>
        <v>44</v>
      </c>
      <c r="I35">
        <f ca="1">LEN(_xlfn.FORMULATEXT('XL-Test'!K14))</f>
        <v>41</v>
      </c>
      <c r="J35">
        <f ca="1">LEN(_xlfn.FORMULATEXT('XL-Test'!L14))</f>
        <v>37</v>
      </c>
      <c r="K35">
        <f ca="1">LEN(_xlfn.FORMULATEXT('XL-Test'!M14))</f>
        <v>51</v>
      </c>
      <c r="L35">
        <f ca="1">LEN(_xlfn.FORMULATEXT('XL-Test'!N14))</f>
        <v>142</v>
      </c>
      <c r="O35" t="s">
        <v>92</v>
      </c>
    </row>
    <row r="36" spans="1:15">
      <c r="A36">
        <v>15</v>
      </c>
      <c r="B36">
        <v>9</v>
      </c>
      <c r="C36">
        <f ca="1">LEN(_xlfn.FORMULATEXT('XL-Test'!E15))</f>
        <v>66</v>
      </c>
      <c r="D36">
        <f ca="1">LEN(_xlfn.FORMULATEXT('XL-Test'!F15))</f>
        <v>46</v>
      </c>
      <c r="E36">
        <f ca="1">LEN(_xlfn.FORMULATEXT('XL-Test'!G15))</f>
        <v>47</v>
      </c>
      <c r="F36">
        <f ca="1">LEN(_xlfn.FORMULATEXT('XL-Test'!H15))</f>
        <v>46</v>
      </c>
      <c r="G36">
        <f ca="1">LEN(_xlfn.FORMULATEXT('XL-Test'!I15))</f>
        <v>24</v>
      </c>
      <c r="H36">
        <f ca="1">LEN(_xlfn.FORMULATEXT('XL-Test'!J15))</f>
        <v>44</v>
      </c>
      <c r="I36">
        <f ca="1">LEN(_xlfn.FORMULATEXT('XL-Test'!K15))</f>
        <v>41</v>
      </c>
      <c r="J36">
        <f ca="1">LEN(_xlfn.FORMULATEXT('XL-Test'!L15))</f>
        <v>37</v>
      </c>
      <c r="K36">
        <f ca="1">LEN(_xlfn.FORMULATEXT('XL-Test'!M15))</f>
        <v>51</v>
      </c>
      <c r="L36">
        <f ca="1">LEN(_xlfn.FORMULATEXT('XL-Test'!N15))</f>
        <v>142</v>
      </c>
      <c r="O36" t="s">
        <v>93</v>
      </c>
    </row>
    <row r="37" spans="1:15">
      <c r="A37">
        <v>16</v>
      </c>
      <c r="B37">
        <v>10</v>
      </c>
      <c r="C37">
        <f ca="1">LEN(_xlfn.FORMULATEXT('XL-Test'!E16))</f>
        <v>66</v>
      </c>
      <c r="D37">
        <f ca="1">LEN(_xlfn.FORMULATEXT('XL-Test'!F16))</f>
        <v>46</v>
      </c>
      <c r="E37">
        <f ca="1">LEN(_xlfn.FORMULATEXT('XL-Test'!G16))</f>
        <v>47</v>
      </c>
      <c r="F37">
        <f ca="1">LEN(_xlfn.FORMULATEXT('XL-Test'!H16))</f>
        <v>46</v>
      </c>
      <c r="G37">
        <f ca="1">LEN(_xlfn.FORMULATEXT('XL-Test'!I16))</f>
        <v>24</v>
      </c>
      <c r="H37">
        <f ca="1">LEN(_xlfn.FORMULATEXT('XL-Test'!J16))</f>
        <v>44</v>
      </c>
      <c r="I37">
        <f ca="1">LEN(_xlfn.FORMULATEXT('XL-Test'!K16))</f>
        <v>41</v>
      </c>
      <c r="J37">
        <f ca="1">LEN(_xlfn.FORMULATEXT('XL-Test'!L16))</f>
        <v>37</v>
      </c>
      <c r="K37">
        <f ca="1">LEN(_xlfn.FORMULATEXT('XL-Test'!M16))</f>
        <v>51</v>
      </c>
      <c r="L37">
        <f ca="1">LEN(_xlfn.FORMULATEXT('XL-Test'!N16))</f>
        <v>142</v>
      </c>
      <c r="O37" t="s">
        <v>94</v>
      </c>
    </row>
    <row r="38" spans="1:15">
      <c r="A38">
        <v>17</v>
      </c>
      <c r="B38">
        <v>11</v>
      </c>
      <c r="C38">
        <f ca="1">LEN(_xlfn.FORMULATEXT('XL-Test'!E17))</f>
        <v>66</v>
      </c>
      <c r="D38">
        <f ca="1">LEN(_xlfn.FORMULATEXT('XL-Test'!F17))</f>
        <v>46</v>
      </c>
      <c r="E38">
        <f ca="1">LEN(_xlfn.FORMULATEXT('XL-Test'!G17))</f>
        <v>47</v>
      </c>
      <c r="F38">
        <f ca="1">LEN(_xlfn.FORMULATEXT('XL-Test'!H17))</f>
        <v>46</v>
      </c>
      <c r="G38">
        <f ca="1">LEN(_xlfn.FORMULATEXT('XL-Test'!I17))</f>
        <v>24</v>
      </c>
      <c r="H38">
        <f ca="1">LEN(_xlfn.FORMULATEXT('XL-Test'!J17))</f>
        <v>44</v>
      </c>
      <c r="I38">
        <f ca="1">LEN(_xlfn.FORMULATEXT('XL-Test'!K17))</f>
        <v>41</v>
      </c>
      <c r="J38">
        <f ca="1">LEN(_xlfn.FORMULATEXT('XL-Test'!L17))</f>
        <v>37</v>
      </c>
      <c r="K38">
        <f ca="1">LEN(_xlfn.FORMULATEXT('XL-Test'!M17))</f>
        <v>51</v>
      </c>
      <c r="L38">
        <f ca="1">LEN(_xlfn.FORMULATEXT('XL-Test'!N17))</f>
        <v>142</v>
      </c>
    </row>
    <row r="39" spans="1:15">
      <c r="A39">
        <v>18</v>
      </c>
      <c r="B39">
        <v>12</v>
      </c>
      <c r="C39">
        <f ca="1">LEN(_xlfn.FORMULATEXT('XL-Test'!E18))</f>
        <v>66</v>
      </c>
      <c r="D39">
        <f ca="1">LEN(_xlfn.FORMULATEXT('XL-Test'!F18))</f>
        <v>46</v>
      </c>
      <c r="E39">
        <f ca="1">LEN(_xlfn.FORMULATEXT('XL-Test'!G18))</f>
        <v>47</v>
      </c>
      <c r="F39">
        <f ca="1">LEN(_xlfn.FORMULATEXT('XL-Test'!H18))</f>
        <v>46</v>
      </c>
      <c r="G39">
        <f ca="1">LEN(_xlfn.FORMULATEXT('XL-Test'!I18))</f>
        <v>24</v>
      </c>
      <c r="H39">
        <f ca="1">LEN(_xlfn.FORMULATEXT('XL-Test'!J18))</f>
        <v>44</v>
      </c>
      <c r="I39">
        <f ca="1">LEN(_xlfn.FORMULATEXT('XL-Test'!K18))</f>
        <v>41</v>
      </c>
      <c r="J39">
        <f ca="1">LEN(_xlfn.FORMULATEXT('XL-Test'!L18))</f>
        <v>37</v>
      </c>
      <c r="K39">
        <f ca="1">LEN(_xlfn.FORMULATEXT('XL-Test'!M18))</f>
        <v>51</v>
      </c>
      <c r="L39">
        <f ca="1">LEN(_xlfn.FORMULATEXT('XL-Test'!N18))</f>
        <v>142</v>
      </c>
    </row>
    <row r="40" spans="1:15">
      <c r="A40">
        <v>19</v>
      </c>
      <c r="B40">
        <v>13</v>
      </c>
      <c r="C40">
        <f ca="1">LEN(_xlfn.FORMULATEXT('XL-Test'!E19))</f>
        <v>66</v>
      </c>
      <c r="D40">
        <f ca="1">LEN(_xlfn.FORMULATEXT('XL-Test'!F19))</f>
        <v>46</v>
      </c>
      <c r="E40">
        <f ca="1">LEN(_xlfn.FORMULATEXT('XL-Test'!G19))</f>
        <v>47</v>
      </c>
      <c r="F40">
        <f ca="1">LEN(_xlfn.FORMULATEXT('XL-Test'!H19))</f>
        <v>46</v>
      </c>
      <c r="G40">
        <f ca="1">LEN(_xlfn.FORMULATEXT('XL-Test'!I19))</f>
        <v>24</v>
      </c>
      <c r="H40">
        <f ca="1">LEN(_xlfn.FORMULATEXT('XL-Test'!J19))</f>
        <v>44</v>
      </c>
      <c r="I40">
        <f ca="1">LEN(_xlfn.FORMULATEXT('XL-Test'!K19))</f>
        <v>41</v>
      </c>
      <c r="J40">
        <f ca="1">LEN(_xlfn.FORMULATEXT('XL-Test'!L19))</f>
        <v>37</v>
      </c>
      <c r="K40">
        <f ca="1">LEN(_xlfn.FORMULATEXT('XL-Test'!M19))</f>
        <v>51</v>
      </c>
      <c r="L40">
        <f ca="1">LEN(_xlfn.FORMULATEXT('XL-Test'!N19))</f>
        <v>142</v>
      </c>
    </row>
    <row r="41" spans="1:15">
      <c r="A41">
        <v>20</v>
      </c>
      <c r="B41">
        <v>14</v>
      </c>
      <c r="C41">
        <f ca="1">LEN(_xlfn.FORMULATEXT('XL-Test'!E20))</f>
        <v>66</v>
      </c>
      <c r="D41">
        <f ca="1">LEN(_xlfn.FORMULATEXT('XL-Test'!F20))</f>
        <v>46</v>
      </c>
      <c r="E41">
        <f ca="1">LEN(_xlfn.FORMULATEXT('XL-Test'!G20))</f>
        <v>47</v>
      </c>
      <c r="F41">
        <f ca="1">LEN(_xlfn.FORMULATEXT('XL-Test'!H20))</f>
        <v>46</v>
      </c>
      <c r="G41">
        <f ca="1">LEN(_xlfn.FORMULATEXT('XL-Test'!I20))</f>
        <v>24</v>
      </c>
      <c r="H41">
        <f ca="1">LEN(_xlfn.FORMULATEXT('XL-Test'!J20))</f>
        <v>44</v>
      </c>
      <c r="I41">
        <f ca="1">LEN(_xlfn.FORMULATEXT('XL-Test'!K20))</f>
        <v>41</v>
      </c>
      <c r="J41">
        <f ca="1">LEN(_xlfn.FORMULATEXT('XL-Test'!L20))</f>
        <v>37</v>
      </c>
      <c r="K41">
        <f ca="1">LEN(_xlfn.FORMULATEXT('XL-Test'!M20))</f>
        <v>51</v>
      </c>
      <c r="L41">
        <f ca="1">LEN(_xlfn.FORMULATEXT('XL-Test'!N20))</f>
        <v>142</v>
      </c>
    </row>
    <row r="43" spans="1:15">
      <c r="C43">
        <f ca="1">AVERAGE(C31:C41)</f>
        <v>66</v>
      </c>
      <c r="D43">
        <f t="shared" ref="D43:L43" ca="1" si="8">AVERAGE(D31:D41)</f>
        <v>46</v>
      </c>
      <c r="E43">
        <f t="shared" ca="1" si="8"/>
        <v>47</v>
      </c>
      <c r="F43">
        <f t="shared" ca="1" si="8"/>
        <v>46</v>
      </c>
      <c r="G43">
        <f t="shared" ca="1" si="8"/>
        <v>24</v>
      </c>
      <c r="H43">
        <f t="shared" ca="1" si="8"/>
        <v>44</v>
      </c>
      <c r="I43">
        <f t="shared" ca="1" si="8"/>
        <v>41</v>
      </c>
      <c r="J43">
        <f t="shared" ca="1" si="8"/>
        <v>37</v>
      </c>
      <c r="K43">
        <f t="shared" ca="1" si="8"/>
        <v>51</v>
      </c>
      <c r="L43">
        <f t="shared" ca="1" si="8"/>
        <v>142</v>
      </c>
    </row>
    <row r="44" spans="1:15">
      <c r="C44" t="b">
        <f ca="1">IFERROR(SUM(C31:C41)/11=C41,0)</f>
        <v>1</v>
      </c>
      <c r="D44" t="b">
        <f t="shared" ref="D44:L44" ca="1" si="9">IFERROR(SUM(D31:D41)/11=D41,0)</f>
        <v>1</v>
      </c>
      <c r="E44" t="b">
        <f t="shared" ca="1" si="9"/>
        <v>1</v>
      </c>
      <c r="F44" t="b">
        <f t="shared" ca="1" si="9"/>
        <v>1</v>
      </c>
      <c r="G44" t="b">
        <f t="shared" ca="1" si="9"/>
        <v>1</v>
      </c>
      <c r="H44" t="b">
        <f t="shared" ca="1" si="9"/>
        <v>1</v>
      </c>
      <c r="I44" t="b">
        <f t="shared" ca="1" si="9"/>
        <v>1</v>
      </c>
      <c r="J44" t="b">
        <f t="shared" ca="1" si="9"/>
        <v>1</v>
      </c>
      <c r="K44" t="b">
        <f t="shared" ca="1" si="9"/>
        <v>1</v>
      </c>
      <c r="L44" t="b">
        <f t="shared" ca="1" si="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2025-08-21T10:48:53Z</dcterms:created>
  <dcterms:modified xsi:type="dcterms:W3CDTF">2026-06-16T07:23:50Z</dcterms:modified>
  <cp:category/>
  <cp:contentStatus/>
</cp:coreProperties>
</file>