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"/>
    </mc:Choice>
  </mc:AlternateContent>
  <xr:revisionPtr revIDLastSave="73" documentId="8_{A77F7F04-8B8C-4047-AE3E-FF527402ED66}" xr6:coauthVersionLast="47" xr6:coauthVersionMax="47" xr10:uidLastSave="{C7A283DA-B332-4AA6-993F-1E1531D31B10}"/>
  <workbookProtection workbookAlgorithmName="SHA-512" workbookHashValue="eB+Iahs8pNX0zIxGIFfUL6UtF7OwYbElqS3YB/PLIHeWocTvzGEkchOfEGOBDupV7GO1SBt3bkWzxg0AX58RnA==" workbookSaltValue="+WjTkYrXErPEeWBLroMQ8A==" workbookSpinCount="100000" lockStructure="1"/>
  <bookViews>
    <workbookView xWindow="28692" yWindow="-108" windowWidth="29016" windowHeight="15696" xr2:uid="{89B5FA38-86F6-4BDA-9149-5DEF11C4D370}"/>
  </bookViews>
  <sheets>
    <sheet name="XL-Test" sheetId="1" r:id="rId1"/>
    <sheet name="DF" sheetId="2" state="hidden" r:id="rId2"/>
  </sheets>
  <definedNames>
    <definedName name="kode_jawaban">DF!$C$8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 a="1"/>
  <c r="D7" i="1"/>
  <c r="E7" i="1" a="1"/>
  <c r="E7" i="1"/>
  <c r="F7" i="1"/>
  <c r="G7" i="1" a="1"/>
  <c r="G7" i="1"/>
  <c r="D8" i="1" a="1"/>
  <c r="D8" i="1"/>
  <c r="E8" i="1" a="1"/>
  <c r="E8" i="1"/>
  <c r="F8" i="1"/>
  <c r="G8" i="1" a="1"/>
  <c r="G8" i="1"/>
  <c r="D9" i="1" a="1"/>
  <c r="D9" i="1"/>
  <c r="E9" i="1" a="1"/>
  <c r="E9" i="1"/>
  <c r="F9" i="1"/>
  <c r="G9" i="1" a="1"/>
  <c r="G9" i="1"/>
  <c r="D10" i="1" a="1"/>
  <c r="D10" i="1"/>
  <c r="E10" i="1" a="1"/>
  <c r="E10" i="1"/>
  <c r="F10" i="1"/>
  <c r="G10" i="1" a="1"/>
  <c r="G10" i="1"/>
  <c r="D11" i="1" a="1"/>
  <c r="D11" i="1"/>
  <c r="E11" i="1" a="1"/>
  <c r="E11" i="1"/>
  <c r="F11" i="1"/>
  <c r="G11" i="1" a="1"/>
  <c r="G11" i="1"/>
  <c r="D12" i="1" a="1"/>
  <c r="D12" i="1"/>
  <c r="E12" i="1" a="1"/>
  <c r="E12" i="1"/>
  <c r="F12" i="1"/>
  <c r="G12" i="1" a="1"/>
  <c r="G12" i="1"/>
  <c r="D13" i="1" a="1"/>
  <c r="D13" i="1"/>
  <c r="E13" i="1" a="1"/>
  <c r="E13" i="1"/>
  <c r="F13" i="1"/>
  <c r="G13" i="1" a="1"/>
  <c r="G13" i="1"/>
  <c r="D14" i="1" a="1"/>
  <c r="D14" i="1"/>
  <c r="E14" i="1" a="1"/>
  <c r="E14" i="1"/>
  <c r="F14" i="1"/>
  <c r="G14" i="1" a="1"/>
  <c r="G14" i="1"/>
  <c r="D15" i="1" a="1"/>
  <c r="D15" i="1"/>
  <c r="E15" i="1" a="1"/>
  <c r="E15" i="1"/>
  <c r="F15" i="1"/>
  <c r="G15" i="1" a="1"/>
  <c r="G15" i="1"/>
  <c r="G6" i="1" a="1"/>
  <c r="G6" i="1"/>
  <c r="F6" i="1"/>
  <c r="E6" i="1" a="1"/>
  <c r="E6" i="1"/>
  <c r="D6" i="1" a="1"/>
  <c r="D6" i="1"/>
  <c r="D5" i="2"/>
  <c r="E5" i="2"/>
  <c r="C5" i="2"/>
  <c r="D4" i="2"/>
  <c r="E4" i="2"/>
  <c r="D3" i="2"/>
  <c r="E3" i="2"/>
  <c r="D2" i="2"/>
  <c r="E2" i="2"/>
  <c r="R5" i="2"/>
  <c r="M5" i="2" s="1"/>
  <c r="R4" i="2"/>
  <c r="M4" i="2" s="1"/>
  <c r="R3" i="2"/>
  <c r="M3" i="2" s="1"/>
  <c r="R2" i="2"/>
  <c r="M2" i="2" s="1"/>
  <c r="F5" i="2" l="1"/>
  <c r="G5" i="2" s="1"/>
  <c r="F4" i="2"/>
  <c r="C4" i="2"/>
  <c r="C3" i="2"/>
  <c r="F3" i="2"/>
  <c r="F2" i="2"/>
  <c r="C2" i="2"/>
  <c r="H2" i="2"/>
  <c r="G2" i="2"/>
  <c r="I5" i="2"/>
  <c r="I2" i="2"/>
  <c r="I4" i="2"/>
  <c r="I3" i="2"/>
  <c r="J5" i="2" l="1"/>
  <c r="G4" i="2"/>
  <c r="J4" i="2"/>
  <c r="G3" i="2"/>
  <c r="J3" i="2"/>
  <c r="J2" i="2"/>
  <c r="K5" i="2"/>
  <c r="L5" i="2"/>
  <c r="K4" i="2" l="1"/>
  <c r="L4" i="2"/>
  <c r="K3" i="2"/>
  <c r="L3" i="2"/>
  <c r="L2" i="2"/>
  <c r="K2" i="2"/>
  <c r="N2" i="2" s="1"/>
  <c r="O2" i="2" s="1"/>
  <c r="N5" i="2"/>
  <c r="O5" i="2" s="1"/>
  <c r="N4" i="2" l="1"/>
  <c r="O4" i="2" s="1"/>
  <c r="N3" i="2"/>
  <c r="O3" i="2" s="1"/>
  <c r="C8" i="2" l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<sst xmlns="http://schemas.openxmlformats.org/spreadsheetml/2006/main" count="46" uniqueCount="43">
  <si>
    <t>KODE SOAL</t>
  </si>
  <si>
    <t>SBEX005</t>
  </si>
  <si>
    <t>KODE JAWABAN</t>
  </si>
  <si>
    <t>No</t>
  </si>
  <si>
    <t>Kode Transaksi Bulan April 2025</t>
  </si>
  <si>
    <t>Nama</t>
  </si>
  <si>
    <t>Nilai Transaksi</t>
  </si>
  <si>
    <t>Tanggal</t>
  </si>
  <si>
    <t>Kode WS</t>
  </si>
  <si>
    <t>TRSF E-BANKING CR 0201/FTBN/WS9981 bayar-ke DINA-AYU-PRAMESWARI via toko 8412200 PPn10 tgl7</t>
  </si>
  <si>
    <t>TRSF E-BANKING CR WS11212/FTTT/909 KHAIRUL-ANAM 9984000 pembelian-alat tgl11</t>
  </si>
  <si>
    <t>TRSF E-BANKING CR 0412/XFS/FTCN bayar-ke tgl25 ZAHRA-NUR-AINI toko 220000 WS443142/jkt-0923</t>
  </si>
  <si>
    <t>TRSF E-BANKING CR tgl9 pembayaran ke-akun 783500 MILA-SAPUTRI WS7723/FTPO</t>
  </si>
  <si>
    <t>TRSF E-BANKING CR WS0012/FT76 tgl16 9840022 deposit akun ZULFIKAR-HUSNI</t>
  </si>
  <si>
    <t>TRSF E-BANKING CR WS12331/FTID/ 82100 RIO-RAMADHAN tunai kirim-unit tgl8</t>
  </si>
  <si>
    <t>TRSF E-BANKING CR WS8821 4421200 ref pusat MARTA-INDRIANI transaksi tgl10</t>
  </si>
  <si>
    <t>TRSF E-BANKING CR 1293FT/WS3321 AYU-OKTAVIANI settle tgl5 toko 902100</t>
  </si>
  <si>
    <t>TRSF E-BANKING CR IRVAN-HAKIM 1489400 ASD1204/FTCY/WS988 byr toko sumatra tgl8</t>
  </si>
  <si>
    <t>TRSF E-BANKING CR WS92310 pembayaran 1094300 untuk MUHAMMAD-IQBAL tgl2 sukses-ok</t>
  </si>
  <si>
    <t>Soal</t>
  </si>
  <si>
    <t>Contoh Soal :</t>
  </si>
  <si>
    <t>Isi kolom nama dengan nama yang tertera pada kode transaksi sesuai contoh</t>
  </si>
  <si>
    <t>TRSF E-BANKING CR WS8823/FTPO/X44321 transaksi toko SITI-NURHALIZA tgl15 ref 8744000 kode AS-02A</t>
  </si>
  <si>
    <r>
      <rPr>
        <i/>
        <sz val="11"/>
        <color rgb="FF0070C0"/>
        <rFont val="Aptos Narrow"/>
        <family val="2"/>
        <scheme val="minor"/>
      </rPr>
      <t>clue</t>
    </r>
    <r>
      <rPr>
        <sz val="11"/>
        <color theme="1"/>
        <rFont val="Aptos Narrow"/>
        <family val="2"/>
        <scheme val="minor"/>
      </rPr>
      <t>: nama selalu hurup besar</t>
    </r>
  </si>
  <si>
    <t>Kode Transaksi (WS)</t>
  </si>
  <si>
    <t>Isi nilai transaksi sesuai nilai yang ada pada kode transaksi sesuai contoh</t>
  </si>
  <si>
    <t>SITI NURHALIZA</t>
  </si>
  <si>
    <t>WS8823</t>
  </si>
  <si>
    <r>
      <rPr>
        <i/>
        <sz val="11"/>
        <color rgb="FF0070C0"/>
        <rFont val="Aptos Narrow"/>
        <family val="2"/>
        <scheme val="minor"/>
      </rPr>
      <t>clue</t>
    </r>
    <r>
      <rPr>
        <sz val="11"/>
        <color theme="1"/>
        <rFont val="Aptos Narrow"/>
        <family val="2"/>
        <scheme val="minor"/>
      </rPr>
      <t>: nilai hanya terdiri dari angka saja</t>
    </r>
  </si>
  <si>
    <t>isi tanggal dengan tanggal yang valid yang didapat dari kode transaksi</t>
  </si>
  <si>
    <t>isi kode WS dari kode transaksi</t>
  </si>
  <si>
    <r>
      <t xml:space="preserve">kirim </t>
    </r>
    <r>
      <rPr>
        <b/>
        <sz val="11"/>
        <color theme="1"/>
        <rFont val="Aptos Narrow"/>
        <family val="2"/>
        <scheme val="minor"/>
      </rPr>
      <t>Kode Soal</t>
    </r>
    <r>
      <rPr>
        <sz val="11"/>
        <color theme="1"/>
        <rFont val="Aptos Narrow"/>
        <family val="2"/>
        <scheme val="minor"/>
      </rPr>
      <t xml:space="preserve"> dan </t>
    </r>
    <r>
      <rPr>
        <b/>
        <sz val="11"/>
        <color theme="1"/>
        <rFont val="Aptos Narrow"/>
        <family val="2"/>
        <scheme val="minor"/>
      </rPr>
      <t>Kode Jawaban</t>
    </r>
    <r>
      <rPr>
        <sz val="11"/>
        <color theme="1"/>
        <rFont val="Aptos Narrow"/>
        <family val="2"/>
        <scheme val="minor"/>
      </rPr>
      <t xml:space="preserve"> diatas ke alamat :  </t>
    </r>
    <r>
      <rPr>
        <b/>
        <u/>
        <sz val="11"/>
        <color theme="1"/>
        <rFont val="Aptos Narrow"/>
        <family val="2"/>
        <scheme val="minor"/>
      </rPr>
      <t>https://belajarexcel.id/xl-test/jawaban</t>
    </r>
    <r>
      <rPr>
        <sz val="11"/>
        <color theme="1"/>
        <rFont val="Aptos Narrow"/>
        <family val="2"/>
        <scheme val="minor"/>
      </rPr>
      <t xml:space="preserve">  untuk mengecek hasil jawaban</t>
    </r>
  </si>
  <si>
    <t>https://belajarexcel.id/xl-test/</t>
  </si>
  <si>
    <t>V1</t>
  </si>
  <si>
    <t>V2</t>
  </si>
  <si>
    <t>V3</t>
  </si>
  <si>
    <t>V4</t>
  </si>
  <si>
    <t>V5</t>
  </si>
  <si>
    <t>Cek1</t>
  </si>
  <si>
    <t>Cek</t>
  </si>
  <si>
    <t>Value</t>
  </si>
  <si>
    <t>DEF</t>
  </si>
  <si>
    <t>DEF2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</si>
</sst>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\-mmm\-yyyy;@"/>
    <numFmt numFmtId="167" formatCode="d\-mmm\-yyyy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4" borderId="1" xfId="0" applyFill="1" applyBorder="1"/>
    <xf numFmtId="165" fontId="0" fillId="4" borderId="1" xfId="1" applyNumberFormat="1" applyFont="1" applyFill="1" applyBorder="1"/>
    <xf numFmtId="0" fontId="0" fillId="4" borderId="1" xfId="0" applyFill="1" applyBorder="1" applyAlignment="1">
      <alignment horizontal="center" vertical="center"/>
    </xf>
    <xf numFmtId="0" fontId="0" fillId="3" borderId="0" xfId="0" applyFill="1" applyAlignment="1">
      <alignment horizontal="right"/>
    </xf>
    <xf numFmtId="0" fontId="2" fillId="0" borderId="0" xfId="0" applyFont="1"/>
    <xf numFmtId="165" fontId="0" fillId="0" borderId="0" xfId="1" applyNumberFormat="1" applyFont="1"/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166" fontId="0" fillId="0" borderId="0" xfId="0" applyNumberFormat="1"/>
    <xf numFmtId="167" fontId="0" fillId="4" borderId="1" xfId="0" applyNumberFormat="1" applyFill="1" applyBorder="1"/>
    <xf numFmtId="0" fontId="7" fillId="0" borderId="0" xfId="2" applyFont="1"/>
    <xf numFmtId="0" fontId="8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belajarexcel.id/xl-test/jawaban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</xdr:colOff>
      <xdr:row>25</xdr:row>
      <xdr:rowOff>38100</xdr:rowOff>
    </xdr:from>
    <xdr:to>
      <xdr:col>6</xdr:col>
      <xdr:colOff>1550434</xdr:colOff>
      <xdr:row>28</xdr:row>
      <xdr:rowOff>22860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E3961B-D7D1-4ADF-9FFC-56FF9C08A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76760" y="5501640"/>
          <a:ext cx="1504714" cy="533400"/>
        </a:xfrm>
        <a:prstGeom prst="rect">
          <a:avLst/>
        </a:prstGeom>
      </xdr:spPr>
    </xdr:pic>
    <xdr:clientData/>
  </xdr:twoCellAnchor>
  <xdr:twoCellAnchor>
    <xdr:from>
      <xdr:col>2</xdr:col>
      <xdr:colOff>4968240</xdr:colOff>
      <xdr:row>29</xdr:row>
      <xdr:rowOff>91440</xdr:rowOff>
    </xdr:from>
    <xdr:to>
      <xdr:col>3</xdr:col>
      <xdr:colOff>777240</xdr:colOff>
      <xdr:row>30</xdr:row>
      <xdr:rowOff>167640</xdr:rowOff>
    </xdr:to>
    <xdr:sp macro="" textlink="">
      <xdr:nvSpPr>
        <xdr:cNvPr id="2" name="Rectangle: Rounded Corner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177665-C8D2-4D1A-95B0-736636005ABD}"/>
            </a:ext>
          </a:extLst>
        </xdr:cNvPr>
        <xdr:cNvSpPr/>
      </xdr:nvSpPr>
      <xdr:spPr>
        <a:xfrm>
          <a:off x="6576060" y="6286500"/>
          <a:ext cx="1912620" cy="25908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belajarexcel.id/xl-te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8D62-680D-4D40-9717-AF7D4FC270FF}">
  <sheetPr codeName="Sheet1"/>
  <dimension ref="B2:G35"/>
  <sheetViews>
    <sheetView tabSelected="1" topLeftCell="B16" workbookViewId="0">
      <selection activeCell="E2" sqref="E2"/>
    </sheetView>
  </sheetViews>
  <sheetFormatPr defaultRowHeight="14.45"/>
  <cols>
    <col min="2" max="2" width="14.5703125" customWidth="1"/>
    <col min="3" max="3" width="89" customWidth="1"/>
    <col min="4" max="4" width="22.140625" customWidth="1"/>
    <col min="5" max="5" width="21" customWidth="1"/>
    <col min="6" max="6" width="21.28515625" customWidth="1"/>
    <col min="7" max="7" width="25.28515625" customWidth="1"/>
  </cols>
  <sheetData>
    <row r="2" spans="2:7" ht="24.6" customHeight="1">
      <c r="B2" s="11" t="s">
        <v>0</v>
      </c>
      <c r="C2" s="12" t="s">
        <v>1</v>
      </c>
      <c r="D2" s="11" t="s">
        <v>2</v>
      </c>
      <c r="E2" s="12" t="str">
        <f ca="1">kode_jawaban</f>
        <v>DEF2|IH-INULUHKZMZIH01;57-35F45701;39-913951;B5-85B511</v>
      </c>
    </row>
    <row r="5" spans="2:7" ht="38.450000000000003" customHeight="1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2:7" ht="18" customHeight="1">
      <c r="B6" s="3">
        <v>1</v>
      </c>
      <c r="C6" s="4" t="s">
        <v>9</v>
      </c>
      <c r="D6" s="5" t="str" cm="1">
        <f t="array" ref="D6">SUBSTITUTE(_xlfn.REGEXEXTRACT(C6,"[A-Z]{2,}(-[A-Z]+)+"),"-"," ")</f>
        <v>DINA AYU PRAMESWARI</v>
      </c>
      <c r="E6" s="6" cm="1">
        <f t="array" ref="E6">VALUE(_xlfn.REGEXEXTRACT(C6," (\d{5,})"))</f>
        <v>8412200</v>
      </c>
      <c r="F6" s="14">
        <f>DATE(2025,4,MID(C6,FIND("tgl",C6)+3,2)*1)</f>
        <v>45754</v>
      </c>
      <c r="G6" s="7" t="str" cm="1">
        <f t="array" ref="G6">_xlfn.REGEXEXTRACT(C6,"WS\d+")</f>
        <v>WS9981</v>
      </c>
    </row>
    <row r="7" spans="2:7" ht="18" customHeight="1">
      <c r="B7" s="3">
        <v>2</v>
      </c>
      <c r="C7" s="4" t="s">
        <v>10</v>
      </c>
      <c r="D7" s="5" t="str" cm="1">
        <f t="array" ref="D7">SUBSTITUTE(_xlfn.REGEXEXTRACT(C7,"[A-Z]{2,}(-[A-Z]+)+"),"-"," ")</f>
        <v>KHAIRUL ANAM</v>
      </c>
      <c r="E7" s="6" cm="1">
        <f t="array" ref="E7">VALUE(_xlfn.REGEXEXTRACT(C7," (\d{5,})"))</f>
        <v>9984000</v>
      </c>
      <c r="F7" s="14">
        <f t="shared" ref="F7:F15" si="0">DATE(2025,4,MID(C7,FIND("tgl",C7)+3,2)*1)</f>
        <v>45758</v>
      </c>
      <c r="G7" s="7" t="str" cm="1">
        <f t="array" ref="G7">_xlfn.REGEXEXTRACT(C7,"WS\d+")</f>
        <v>WS11212</v>
      </c>
    </row>
    <row r="8" spans="2:7" ht="18" customHeight="1">
      <c r="B8" s="3">
        <v>3</v>
      </c>
      <c r="C8" s="4" t="s">
        <v>11</v>
      </c>
      <c r="D8" s="5" t="str" cm="1">
        <f t="array" ref="D8">SUBSTITUTE(_xlfn.REGEXEXTRACT(C8,"[A-Z]{2,}(-[A-Z]+)+"),"-"," ")</f>
        <v>ZAHRA NUR AINI</v>
      </c>
      <c r="E8" s="6" cm="1">
        <f t="array" ref="E8">VALUE(_xlfn.REGEXEXTRACT(C8," (\d{5,})"))</f>
        <v>220000</v>
      </c>
      <c r="F8" s="14">
        <f t="shared" si="0"/>
        <v>45772</v>
      </c>
      <c r="G8" s="7" t="str" cm="1">
        <f t="array" ref="G8">_xlfn.REGEXEXTRACT(C8,"WS\d+")</f>
        <v>WS443142</v>
      </c>
    </row>
    <row r="9" spans="2:7" ht="18" customHeight="1">
      <c r="B9" s="3">
        <v>4</v>
      </c>
      <c r="C9" s="4" t="s">
        <v>12</v>
      </c>
      <c r="D9" s="5" t="str" cm="1">
        <f t="array" ref="D9">SUBSTITUTE(_xlfn.REGEXEXTRACT(C9,"[A-Z]{2,}(-[A-Z]+)+"),"-"," ")</f>
        <v>MILA SAPUTRI</v>
      </c>
      <c r="E9" s="6" cm="1">
        <f t="array" ref="E9">VALUE(_xlfn.REGEXEXTRACT(C9," (\d{5,})"))</f>
        <v>783500</v>
      </c>
      <c r="F9" s="14">
        <f t="shared" si="0"/>
        <v>45756</v>
      </c>
      <c r="G9" s="7" t="str" cm="1">
        <f t="array" ref="G9">_xlfn.REGEXEXTRACT(C9,"WS\d+")</f>
        <v>WS7723</v>
      </c>
    </row>
    <row r="10" spans="2:7" ht="18" customHeight="1">
      <c r="B10" s="3">
        <v>5</v>
      </c>
      <c r="C10" s="4" t="s">
        <v>13</v>
      </c>
      <c r="D10" s="5" t="str" cm="1">
        <f t="array" ref="D10">SUBSTITUTE(_xlfn.REGEXEXTRACT(C10,"[A-Z]{2,}(-[A-Z]+)+"),"-"," ")</f>
        <v>ZULFIKAR HUSNI</v>
      </c>
      <c r="E10" s="6" cm="1">
        <f t="array" ref="E10">VALUE(_xlfn.REGEXEXTRACT(C10," (\d{5,})"))</f>
        <v>9840022</v>
      </c>
      <c r="F10" s="14">
        <f t="shared" si="0"/>
        <v>45763</v>
      </c>
      <c r="G10" s="7" t="str" cm="1">
        <f t="array" ref="G10">_xlfn.REGEXEXTRACT(C10,"WS\d+")</f>
        <v>WS0012</v>
      </c>
    </row>
    <row r="11" spans="2:7" ht="18" customHeight="1">
      <c r="B11" s="3">
        <v>6</v>
      </c>
      <c r="C11" s="4" t="s">
        <v>14</v>
      </c>
      <c r="D11" s="5" t="str" cm="1">
        <f t="array" ref="D11">SUBSTITUTE(_xlfn.REGEXEXTRACT(C11,"[A-Z]{2,}(-[A-Z]+)+"),"-"," ")</f>
        <v>RIO RAMADHAN</v>
      </c>
      <c r="E11" s="6" cm="1">
        <f t="array" ref="E11">VALUE(_xlfn.REGEXEXTRACT(C11," (\d{5,})"))</f>
        <v>82100</v>
      </c>
      <c r="F11" s="14">
        <f t="shared" si="0"/>
        <v>45755</v>
      </c>
      <c r="G11" s="7" t="str" cm="1">
        <f t="array" ref="G11">_xlfn.REGEXEXTRACT(C11,"WS\d+")</f>
        <v>WS12331</v>
      </c>
    </row>
    <row r="12" spans="2:7" ht="18" customHeight="1">
      <c r="B12" s="3">
        <v>7</v>
      </c>
      <c r="C12" s="4" t="s">
        <v>15</v>
      </c>
      <c r="D12" s="5" t="str" cm="1">
        <f t="array" ref="D12">SUBSTITUTE(_xlfn.REGEXEXTRACT(C12,"[A-Z]{2,}(-[A-Z]+)+"),"-"," ")</f>
        <v>MARTA INDRIANI</v>
      </c>
      <c r="E12" s="6" cm="1">
        <f t="array" ref="E12">VALUE(_xlfn.REGEXEXTRACT(C12," (\d{5,})"))</f>
        <v>4421200</v>
      </c>
      <c r="F12" s="14">
        <f t="shared" si="0"/>
        <v>45757</v>
      </c>
      <c r="G12" s="7" t="str" cm="1">
        <f t="array" ref="G12">_xlfn.REGEXEXTRACT(C12,"WS\d+")</f>
        <v>WS8821</v>
      </c>
    </row>
    <row r="13" spans="2:7" ht="18" customHeight="1">
      <c r="B13" s="3">
        <v>8</v>
      </c>
      <c r="C13" s="4" t="s">
        <v>16</v>
      </c>
      <c r="D13" s="5" t="str" cm="1">
        <f t="array" ref="D13">SUBSTITUTE(_xlfn.REGEXEXTRACT(C13,"[A-Z]{2,}(-[A-Z]+)+"),"-"," ")</f>
        <v>AYU OKTAVIANI</v>
      </c>
      <c r="E13" s="6" cm="1">
        <f t="array" ref="E13">VALUE(_xlfn.REGEXEXTRACT(C13," (\d{5,})"))</f>
        <v>902100</v>
      </c>
      <c r="F13" s="14">
        <f t="shared" si="0"/>
        <v>45752</v>
      </c>
      <c r="G13" s="7" t="str" cm="1">
        <f t="array" ref="G13">_xlfn.REGEXEXTRACT(C13,"WS\d+")</f>
        <v>WS3321</v>
      </c>
    </row>
    <row r="14" spans="2:7" ht="18" customHeight="1">
      <c r="B14" s="3">
        <v>9</v>
      </c>
      <c r="C14" s="4" t="s">
        <v>17</v>
      </c>
      <c r="D14" s="5" t="str" cm="1">
        <f t="array" ref="D14">SUBSTITUTE(_xlfn.REGEXEXTRACT(C14,"[A-Z]{2,}(-[A-Z]+)+"),"-"," ")</f>
        <v>IRVAN HAKIM</v>
      </c>
      <c r="E14" s="6" cm="1">
        <f t="array" ref="E14">VALUE(_xlfn.REGEXEXTRACT(C14," (\d{5,})"))</f>
        <v>1489400</v>
      </c>
      <c r="F14" s="14">
        <f t="shared" si="0"/>
        <v>45755</v>
      </c>
      <c r="G14" s="7" t="str" cm="1">
        <f t="array" ref="G14">_xlfn.REGEXEXTRACT(C14,"WS\d+")</f>
        <v>WS988</v>
      </c>
    </row>
    <row r="15" spans="2:7" ht="18" customHeight="1">
      <c r="B15" s="3">
        <v>10</v>
      </c>
      <c r="C15" s="4" t="s">
        <v>18</v>
      </c>
      <c r="D15" s="5" t="str" cm="1">
        <f t="array" ref="D15">SUBSTITUTE(_xlfn.REGEXEXTRACT(C15,"[A-Z]{2,}(-[A-Z]+)+"),"-"," ")</f>
        <v>MUHAMMAD IQBAL</v>
      </c>
      <c r="E15" s="6" cm="1">
        <f t="array" ref="E15">VALUE(_xlfn.REGEXEXTRACT(C15," (\d{5,})"))</f>
        <v>1094300</v>
      </c>
      <c r="F15" s="14">
        <f t="shared" si="0"/>
        <v>45749</v>
      </c>
      <c r="G15" s="7" t="str" cm="1">
        <f t="array" ref="G15">_xlfn.REGEXEXTRACT(C15,"WS\d+")</f>
        <v>WS92310</v>
      </c>
    </row>
    <row r="18" spans="2:7">
      <c r="B18" s="8" t="s">
        <v>19</v>
      </c>
      <c r="D18" t="s">
        <v>20</v>
      </c>
    </row>
    <row r="19" spans="2:7">
      <c r="B19">
        <v>1</v>
      </c>
      <c r="C19" t="s">
        <v>21</v>
      </c>
      <c r="D19" s="9" t="s">
        <v>22</v>
      </c>
    </row>
    <row r="20" spans="2:7">
      <c r="C20" t="s">
        <v>23</v>
      </c>
    </row>
    <row r="21" spans="2:7">
      <c r="D21" s="2" t="s">
        <v>5</v>
      </c>
      <c r="E21" s="2" t="s">
        <v>6</v>
      </c>
      <c r="F21" s="2" t="s">
        <v>7</v>
      </c>
      <c r="G21" s="2" t="s">
        <v>24</v>
      </c>
    </row>
    <row r="22" spans="2:7">
      <c r="B22">
        <v>2</v>
      </c>
      <c r="C22" t="s">
        <v>25</v>
      </c>
      <c r="D22" t="s">
        <v>26</v>
      </c>
      <c r="E22" s="10">
        <v>8744000</v>
      </c>
      <c r="F22" s="13">
        <v>45762</v>
      </c>
      <c r="G22" s="1" t="s">
        <v>27</v>
      </c>
    </row>
    <row r="23" spans="2:7">
      <c r="C23" t="s">
        <v>28</v>
      </c>
    </row>
    <row r="25" spans="2:7">
      <c r="B25">
        <v>3</v>
      </c>
      <c r="C25" t="s">
        <v>29</v>
      </c>
    </row>
    <row r="26" spans="2:7">
      <c r="B26">
        <v>4</v>
      </c>
      <c r="C26" t="s">
        <v>30</v>
      </c>
    </row>
    <row r="29" spans="2:7">
      <c r="C29" t="s">
        <v>31</v>
      </c>
      <c r="G29" s="15" t="s">
        <v>32</v>
      </c>
    </row>
    <row r="34" spans="5:5">
      <c r="E34" s="16"/>
    </row>
    <row r="35" spans="5:5">
      <c r="E35" s="16"/>
    </row>
  </sheetData>
  <hyperlinks>
    <hyperlink ref="G29" r:id="rId1" xr:uid="{1D720AD9-A1CB-44A3-9C8D-A389650B1364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E9068-F784-4993-A8B7-800103239D74}">
  <sheetPr codeName="Sheet2"/>
  <dimension ref="A1:R8"/>
  <sheetViews>
    <sheetView workbookViewId="0">
      <selection activeCell="O11" sqref="O10:O11"/>
    </sheetView>
  </sheetViews>
  <sheetFormatPr defaultRowHeight="14.45"/>
  <cols>
    <col min="3" max="3" width="9.7109375" customWidth="1"/>
    <col min="4" max="4" width="10.7109375" customWidth="1"/>
    <col min="5" max="5" width="10.85546875" customWidth="1"/>
    <col min="6" max="6" width="10.42578125" customWidth="1"/>
    <col min="7" max="7" width="11.7109375" customWidth="1"/>
    <col min="8" max="8" width="8.7109375" customWidth="1"/>
    <col min="10" max="10" width="16.7109375" customWidth="1"/>
    <col min="15" max="15" width="18.140625" bestFit="1" customWidth="1"/>
  </cols>
  <sheetData>
    <row r="1" spans="1:18"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b">
        <v>1</v>
      </c>
      <c r="L1" t="b">
        <v>0</v>
      </c>
    </row>
    <row r="2" spans="1:18">
      <c r="A2" t="s">
        <v>41</v>
      </c>
      <c r="C2" t="str">
        <f>MID('XL-Test'!D6,2,2)</f>
        <v>IN</v>
      </c>
      <c r="D2" t="str">
        <f>MID('XL-Test'!D10,2,2)</f>
        <v>UL</v>
      </c>
      <c r="E2" t="str">
        <f>MID('XL-Test'!D15,2,2)</f>
        <v>UH</v>
      </c>
      <c r="F2" t="str">
        <f>LEFT('XL-Test'!D7)&amp;LEFT('XL-Test'!D8)&amp;LEFT('XL-Test'!D9)&amp;LEFT('XL-Test'!D10)</f>
        <v>KZMZ</v>
      </c>
      <c r="G2" t="str">
        <f>LEFT(C2)&amp;RIGHT(E2)</f>
        <v>IH</v>
      </c>
      <c r="H2">
        <f>ISNUMBER(FIND("-",'XL-Test'!D6))+0</f>
        <v>0</v>
      </c>
      <c r="I2">
        <f ca="1">AND(ISNUMBER(FIND("(",R2)),ISNUMBER(FIND("C",R2)),ISNUMBER(FIND("=",R2)))+0</f>
        <v>1</v>
      </c>
      <c r="J2" t="str">
        <f ca="1">IF(OR(C2=0,C2=""),"ANSHEGAE",C2&amp;D2&amp;E2&amp;F2&amp;G2&amp;H2&amp;I2)</f>
        <v>INULUHKZMZIH01</v>
      </c>
      <c r="K2" t="str">
        <f ca="1">LEFT(RIGHT(J2,4),2)</f>
        <v>IH</v>
      </c>
      <c r="L2" t="str">
        <f ca="1">LEFT(J2,2)</f>
        <v>IN</v>
      </c>
      <c r="M2" t="b">
        <f ca="1">OR(AND(ISNUMBER(FIND("ERX",R2)),ISNUMBER(FIND("STI",R2)),ISNUMBER(SEARCH("slat",R2))),ISNUMBER(FIND("EGE",R2)))</f>
        <v>1</v>
      </c>
      <c r="N2" t="str">
        <f ca="1">IF(M2,K2,L2)</f>
        <v>IH</v>
      </c>
      <c r="O2" t="str">
        <f ca="1">N2&amp;"-"&amp;J2&amp;";"</f>
        <v>IH-INULUHKZMZIH01;</v>
      </c>
      <c r="R2" t="str">
        <f ca="1">_xlfn.FORMULATEXT('XL-Test'!D6)</f>
        <v>=SUBSTITUTE(REGEXEXTRACT(C6;"[A-Z]{2,}(-[A-Z]+)+");"-";" ")</v>
      </c>
    </row>
    <row r="3" spans="1:18">
      <c r="A3" t="s">
        <v>42</v>
      </c>
      <c r="C3">
        <f>'XL-Test'!E6</f>
        <v>8412200</v>
      </c>
      <c r="D3">
        <f>'XL-Test'!E10</f>
        <v>9840022</v>
      </c>
      <c r="E3">
        <f>'XL-Test'!E15</f>
        <v>1094300</v>
      </c>
      <c r="F3">
        <f>SUM('XL-Test'!E6:E15)</f>
        <v>37228822</v>
      </c>
      <c r="G3">
        <f>SUM(C3:F3)</f>
        <v>56575344</v>
      </c>
      <c r="I3">
        <f ca="1">AND(ISNUMBER(FIND("(",R3)),ISNUMBER(FIND("C",R3)),ISNUMBER(FIND("=",R3)))+0</f>
        <v>1</v>
      </c>
      <c r="J3" t="str">
        <f ca="1">IF(C3=0,DEC2HEX(8000),DEC2HEX(G3)&amp;I3)</f>
        <v>35F45701</v>
      </c>
      <c r="K3" t="str">
        <f t="shared" ref="K3:K5" ca="1" si="0">LEFT(RIGHT(J3,4),2)</f>
        <v>57</v>
      </c>
      <c r="L3" t="str">
        <f t="shared" ref="L3:L5" ca="1" si="1">LEFT(J3,2)</f>
        <v>35</v>
      </c>
      <c r="M3" t="b">
        <f ca="1">OR(AND(ISNUMBER(FIND("ERX",R3)),ISNUMBER(FIND("STI",R3)),ISNUMBER(SEARCH("umb",R3))),ISNUMBER(FIND("EGE",R3)))</f>
        <v>1</v>
      </c>
      <c r="N3" t="str">
        <f t="shared" ref="N3:N5" ca="1" si="2">IF(M3,K3,L3)</f>
        <v>57</v>
      </c>
      <c r="O3" t="str">
        <f ca="1">N3&amp;"-"&amp;J3&amp;";"</f>
        <v>57-35F45701;</v>
      </c>
      <c r="R3" t="str">
        <f ca="1">_xlfn.FORMULATEXT('XL-Test'!E6)</f>
        <v>=VALUE(REGEXEXTRACT(C6;" (\d{5,})"))</v>
      </c>
    </row>
    <row r="4" spans="1:18">
      <c r="C4">
        <f>'XL-Test'!F6</f>
        <v>45754</v>
      </c>
      <c r="D4">
        <f>'XL-Test'!F10</f>
        <v>45763</v>
      </c>
      <c r="E4">
        <f>'XL-Test'!F15</f>
        <v>45749</v>
      </c>
      <c r="F4">
        <f>SUM('XL-Test'!F6:F15)</f>
        <v>457571</v>
      </c>
      <c r="G4">
        <f>SUM(C4:F4)</f>
        <v>594837</v>
      </c>
      <c r="I4">
        <f ca="1">AND(ISNUMBER(FIND("(",R4)),ISNUMBER(FIND("C",R4)),ISNUMBER(FIND("=",R4)))+0</f>
        <v>1</v>
      </c>
      <c r="J4" t="str">
        <f ca="1">IF(C4=0,DEC2HEX(7000),DEC2HEX(G4)&amp;I4)</f>
        <v>913951</v>
      </c>
      <c r="K4" t="str">
        <f t="shared" ca="1" si="0"/>
        <v>39</v>
      </c>
      <c r="L4" t="str">
        <f t="shared" ca="1" si="1"/>
        <v>91</v>
      </c>
      <c r="M4" t="b">
        <f ca="1">OR(AND(ISNUMBER(FIND("ERX",R4)),ISNUMBER(FIND("STI",R4))),ISNUMBER(FIND("EGE",R4)),AND(ISNUMBER(FIND("ATE",R4)),ISNUMBER(FIND("ID",R4))))</f>
        <v>1</v>
      </c>
      <c r="N4" t="str">
        <f t="shared" ca="1" si="2"/>
        <v>39</v>
      </c>
      <c r="O4" t="str">
        <f ca="1">N4&amp;"-"&amp;J4&amp;";"</f>
        <v>39-913951;</v>
      </c>
      <c r="R4" t="str">
        <f ca="1">_xlfn.FORMULATEXT('XL-Test'!F6)</f>
        <v>=DATE(2025;4;MID(C6;FIND("tgl";C6)+3;2)*1)</v>
      </c>
    </row>
    <row r="5" spans="1:18">
      <c r="C5">
        <f>IFERROR(MID('XL-Test'!G6,3,99)*1,0)</f>
        <v>9981</v>
      </c>
      <c r="D5">
        <f>IFERROR(MID('XL-Test'!G8,3,99)*1,0)</f>
        <v>443142</v>
      </c>
      <c r="E5">
        <f>IFERROR(MID('XL-Test'!G15,3,99)*1,0)</f>
        <v>92310</v>
      </c>
      <c r="F5">
        <f>IFERROR((RIGHT('XL-Test'!G7)&amp;RIGHT('XL-Test'!G8)&amp;RIGHT('XL-Test'!G9)&amp;RIGHT('XL-Test'!G10))*1,0)</f>
        <v>2232</v>
      </c>
      <c r="G5">
        <f>SUM(C5:F5)</f>
        <v>547665</v>
      </c>
      <c r="I5">
        <f ca="1">AND(ISNUMBER(FIND("(",R5)),ISNUMBER(FIND("C",R5)),ISNUMBER(FIND("=",R5)))+0</f>
        <v>1</v>
      </c>
      <c r="J5" t="str">
        <f ca="1">IF(C5=0,DEC2HEX(6000),DEC2HEX(G5)&amp;I5)</f>
        <v>85B511</v>
      </c>
      <c r="K5" t="str">
        <f t="shared" ca="1" si="0"/>
        <v>B5</v>
      </c>
      <c r="L5" t="str">
        <f t="shared" ca="1" si="1"/>
        <v>85</v>
      </c>
      <c r="M5" t="b">
        <f ca="1">OR(AND(ISNUMBER(FIND("ERX",R5)),ISNUMBER(FIND("STI",R5)),ISNUMBER(SEARCH("tai",R5))),ISNUMBER(FIND("EGE",R5)))</f>
        <v>1</v>
      </c>
      <c r="N5" t="str">
        <f t="shared" ca="1" si="2"/>
        <v>B5</v>
      </c>
      <c r="O5" t="str">
        <f t="shared" ref="O5" ca="1" si="3">N5&amp;"-"&amp;J5</f>
        <v>B5-85B511</v>
      </c>
      <c r="R5" t="str">
        <f ca="1">_xlfn.FORMULATEXT('XL-Test'!G6)</f>
        <v>=REGEXEXTRACT(C6;"WS\d+")</v>
      </c>
    </row>
    <row r="8" spans="1:18">
      <c r="C8" t="str">
        <f ca="1">A3&amp;"|"&amp;O2&amp;O3&amp;O4&amp;O5</f>
        <v>DEF2|IH-INULUHKZMZIH01;57-35F45701;39-913951;B5-85B511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2025-06-19T11:00:38Z</dcterms:created>
  <dcterms:modified xsi:type="dcterms:W3CDTF">2026-06-16T02:25:18Z</dcterms:modified>
  <cp:category/>
  <cp:contentStatus/>
</cp:coreProperties>
</file>