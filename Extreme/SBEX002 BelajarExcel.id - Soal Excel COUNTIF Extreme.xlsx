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new Format/"/>
    </mc:Choice>
  </mc:AlternateContent>
  <xr:revisionPtr revIDLastSave="410" documentId="8_{5A42E8C1-1582-4609-9507-8EC836FA53DE}" xr6:coauthVersionLast="47" xr6:coauthVersionMax="47" xr10:uidLastSave="{464DC05B-CB07-4031-A4A7-0527666DB17C}"/>
  <workbookProtection workbookAlgorithmName="SHA-512" workbookHashValue="ZdI+eGI1DDllUWSneGcsWUQiOFrjS5+Nbb3Qxd0SFJcPuS5DGOfKV3TDDSOwIRYhdT/Rny++o0+sl74b4iM2nA==" workbookSaltValue="BgFUWfvsPLVyDaUwGKj4nQ==" workbookSpinCount="100000" lockStructure="1"/>
  <bookViews>
    <workbookView xWindow="28692" yWindow="-108" windowWidth="29016" windowHeight="15696" xr2:uid="{80320291-F4BA-49A9-ABDC-A6B786D2C179}"/>
  </bookViews>
  <sheets>
    <sheet name="Case" sheetId="1" r:id="rId1"/>
    <sheet name="About" sheetId="3" r:id="rId2"/>
    <sheet name="DF" sheetId="2" state="veryHidden" r:id="rId3"/>
  </sheets>
  <definedNames>
    <definedName name="darisini" localSheetId="2">DF!$C$19</definedName>
    <definedName name="kode_jawaban">DF!$C$23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6" i="1"/>
  <c r="I45" i="1"/>
  <c r="I44" i="1"/>
  <c r="I43" i="1"/>
  <c r="I42" i="1" a="1"/>
  <c r="I42" i="1"/>
  <c r="C2" i="2"/>
  <c r="C3" i="2"/>
  <c r="C4" i="2"/>
  <c r="C5" i="2"/>
  <c r="C6" i="2"/>
  <c r="C7" i="2"/>
  <c r="F12" i="2"/>
  <c r="F13" i="2"/>
  <c r="F14" i="2"/>
  <c r="F15" i="2"/>
  <c r="F16" i="2"/>
  <c r="F11" i="2"/>
  <c r="E16" i="2"/>
  <c r="E15" i="2"/>
  <c r="E14" i="2"/>
  <c r="E13" i="2"/>
  <c r="E12" i="2"/>
  <c r="E11" i="2"/>
  <c r="D16" i="2"/>
  <c r="D15" i="2"/>
  <c r="D14" i="2"/>
  <c r="D13" i="2"/>
  <c r="D12" i="2"/>
  <c r="D11" i="2"/>
  <c r="O3" i="2"/>
  <c r="M3" i="2" s="1"/>
  <c r="O4" i="2"/>
  <c r="M4" i="2" s="1"/>
  <c r="O5" i="2"/>
  <c r="M5" i="2" s="1"/>
  <c r="O6" i="2"/>
  <c r="M6" i="2" s="1"/>
  <c r="O7" i="2"/>
  <c r="M7" i="2" s="1"/>
  <c r="O2" i="2"/>
  <c r="M2" i="2" s="1"/>
  <c r="I3" i="2" l="1"/>
  <c r="I4" i="2"/>
  <c r="I5" i="2"/>
  <c r="I6" i="2"/>
  <c r="I7" i="2"/>
  <c r="I2" i="2"/>
  <c r="L3" i="2"/>
  <c r="J12" i="2" s="1"/>
  <c r="L4" i="2"/>
  <c r="J13" i="2" s="1"/>
  <c r="L5" i="2"/>
  <c r="J14" i="2" s="1"/>
  <c r="L6" i="2"/>
  <c r="L7" i="2"/>
  <c r="J16" i="2" s="1"/>
  <c r="L2" i="2"/>
  <c r="J11" i="2" s="1"/>
  <c r="F3" i="2"/>
  <c r="G12" i="2" s="1"/>
  <c r="G3" i="2"/>
  <c r="F4" i="2"/>
  <c r="G13" i="2" s="1"/>
  <c r="G4" i="2"/>
  <c r="G5" i="2"/>
  <c r="F5" i="2"/>
  <c r="G14" i="2" s="1"/>
  <c r="F6" i="2"/>
  <c r="G15" i="2" s="1"/>
  <c r="G6" i="2"/>
  <c r="F7" i="2"/>
  <c r="G16" i="2" s="1"/>
  <c r="G7" i="2"/>
  <c r="F2" i="2"/>
  <c r="G11" i="2" s="1"/>
  <c r="G2" i="2"/>
  <c r="J3" i="2"/>
  <c r="J4" i="2"/>
  <c r="J5" i="2"/>
  <c r="J6" i="2"/>
  <c r="J7" i="2"/>
  <c r="J2" i="2"/>
  <c r="H3" i="2"/>
  <c r="H4" i="2"/>
  <c r="H5" i="2"/>
  <c r="H6" i="2"/>
  <c r="H7" i="2"/>
  <c r="H2" i="2"/>
  <c r="J15" i="2" l="1"/>
  <c r="H11" i="2"/>
  <c r="I11" i="2" s="1"/>
  <c r="K11" i="2" s="1"/>
  <c r="H15" i="2"/>
  <c r="I15" i="2" s="1"/>
  <c r="H16" i="2"/>
  <c r="I16" i="2" s="1"/>
  <c r="K16" i="2" s="1"/>
  <c r="H14" i="2"/>
  <c r="I14" i="2" s="1"/>
  <c r="K14" i="2" s="1"/>
  <c r="H12" i="2"/>
  <c r="I12" i="2" s="1"/>
  <c r="K12" i="2" s="1"/>
  <c r="H13" i="2"/>
  <c r="I13" i="2" s="1"/>
  <c r="K13" i="2" s="1"/>
  <c r="K15" i="2" l="1"/>
  <c r="C19" i="2"/>
  <c r="C23" i="2" s="1" a="1"/>
  <c r="C23" i="2" s="1"/>
  <c r="G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<sst xmlns="http://schemas.openxmlformats.org/spreadsheetml/2006/main" count="158" uniqueCount="107">
  <si>
    <t>KODE SOAL</t>
  </si>
  <si>
    <t>SBEX002</t>
  </si>
  <si>
    <t>KODE JAWABAN</t>
  </si>
  <si>
    <t>Intruksi</t>
  </si>
  <si>
    <r>
      <rPr>
        <b/>
        <sz val="12"/>
        <color rgb="FF00B050"/>
        <rFont val="Aptos Narrow"/>
        <family val="2"/>
        <scheme val="minor"/>
      </rPr>
      <t>Extreme Level</t>
    </r>
    <r>
      <rPr>
        <b/>
        <sz val="12"/>
        <color theme="1"/>
        <rFont val="Aptos Narrow"/>
        <family val="2"/>
        <scheme val="minor"/>
      </rPr>
      <t xml:space="preserve"> - Latihan Soal Excel COUNTIF Extreme</t>
    </r>
  </si>
  <si>
    <t>Soal  :</t>
  </si>
  <si>
    <t>Gunakan Fungsi Excel (COUNTIF) untuk menyelsaikan kasus dibawah ini</t>
  </si>
  <si>
    <t>Status Sekolah</t>
  </si>
  <si>
    <r>
      <t xml:space="preserve">Berapa Jumlah Anak Yang Memiliki Nama 3 kata atau lebih, gunakan </t>
    </r>
    <r>
      <rPr>
        <b/>
        <sz val="11"/>
        <color theme="5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COUNTIF</t>
    </r>
  </si>
  <si>
    <t>&gt; Pindah</t>
  </si>
  <si>
    <t>♂️</t>
  </si>
  <si>
    <t>Laki-Laki</t>
  </si>
  <si>
    <r>
      <t xml:space="preserve">Berapa Jumlah Anak yang berasal dari Bandung dan Jakarta, Gunakan </t>
    </r>
    <r>
      <rPr>
        <b/>
        <sz val="11"/>
        <color theme="5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COUNTIF</t>
    </r>
  </si>
  <si>
    <t>&lt; Masuk</t>
  </si>
  <si>
    <t>♀️</t>
  </si>
  <si>
    <t>Perempuan</t>
  </si>
  <si>
    <r>
      <t xml:space="preserve">Berapa Jumlah Anak yang rentang Usianya &gt;3, gunakan </t>
    </r>
    <r>
      <rPr>
        <b/>
        <sz val="11"/>
        <color theme="5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COUNTIF</t>
    </r>
  </si>
  <si>
    <t>&lt;&gt; Tetap</t>
  </si>
  <si>
    <r>
      <t xml:space="preserve">Berapa Jumlah Anak Laki-laki ( ♂️ ), gunakan  </t>
    </r>
    <r>
      <rPr>
        <b/>
        <sz val="11"/>
        <color theme="5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COUNTIF</t>
    </r>
  </si>
  <si>
    <r>
      <t xml:space="preserve">Berapa Jumlah Anak Perempuan ( ♀️ ), gunakan  </t>
    </r>
    <r>
      <rPr>
        <b/>
        <sz val="11"/>
        <color theme="5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COUNTIF</t>
    </r>
  </si>
  <si>
    <r>
      <t xml:space="preserve">Berapa Nama Siswa yang  Status Sekolah Pindah (&gt;) , gunakan  </t>
    </r>
    <r>
      <rPr>
        <b/>
        <sz val="11"/>
        <color theme="5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COUNTIF</t>
    </r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</si>
  <si>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</si>
  <si>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</si>
  <si>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>No</t>
  </si>
  <si>
    <t>Nama</t>
  </si>
  <si>
    <t>Asal</t>
  </si>
  <si>
    <t>Rentang Usia</t>
  </si>
  <si>
    <t>No Soal</t>
  </si>
  <si>
    <t>Area Jawaban</t>
  </si>
  <si>
    <t>Pertanyaan</t>
  </si>
  <si>
    <t>Raka Putra Pratama Wijaya |♂️</t>
  </si>
  <si>
    <t>Bandung</t>
  </si>
  <si>
    <t>1-2</t>
  </si>
  <si>
    <t>&gt;</t>
  </si>
  <si>
    <t>#1</t>
  </si>
  <si>
    <t>Ayu Lestari |♀️</t>
  </si>
  <si>
    <t>Jakarta</t>
  </si>
  <si>
    <t>&gt;3</t>
  </si>
  <si>
    <t>&lt;</t>
  </si>
  <si>
    <t>#2</t>
  </si>
  <si>
    <t>Galih Prasetya Kusuma |♂️</t>
  </si>
  <si>
    <t>Surabaya</t>
  </si>
  <si>
    <t>&gt;7</t>
  </si>
  <si>
    <t>#3</t>
  </si>
  <si>
    <t>Naila Cahaya Bening |♀️</t>
  </si>
  <si>
    <t>#4</t>
  </si>
  <si>
    <t>Alya Zahra Aulia Putri |♀️</t>
  </si>
  <si>
    <t>Tasikmalaya</t>
  </si>
  <si>
    <t>#5</t>
  </si>
  <si>
    <t>Dinda Cahaya Puspita Sari |♀️</t>
  </si>
  <si>
    <t>Medan</t>
  </si>
  <si>
    <t>#6</t>
  </si>
  <si>
    <t>Rizky Aditya Ramadhan |♂️</t>
  </si>
  <si>
    <t>Fajar Aditya Cahaya Bening |♂️</t>
  </si>
  <si>
    <t>&lt;&gt;</t>
  </si>
  <si>
    <t>Zahra Maharani Dewi Lestari |♀️</t>
  </si>
  <si>
    <t>Aruna Kirana Permata Dewi |♀️</t>
  </si>
  <si>
    <t>Fajar Pratama |♂️</t>
  </si>
  <si>
    <t>Dinda Safira |♀️</t>
  </si>
  <si>
    <t>Galih Wijaya Prasetya Kusuma |♂️</t>
  </si>
  <si>
    <t>Nanda Maharani Anggraini Putri |♀️</t>
  </si>
  <si>
    <t>Yogyakarta</t>
  </si>
  <si>
    <t>Aruna Pertiwi Lestari |♀️</t>
  </si>
  <si>
    <t>Rizky Aditya Ramadhan Pratama |♂️</t>
  </si>
  <si>
    <t>Laila Safira Anggraini Putri |♀️</t>
  </si>
  <si>
    <t>Zahra Aulia |♀️</t>
  </si>
  <si>
    <t>Dita Maharani Puspita |♀️</t>
  </si>
  <si>
    <t>&gt;30</t>
  </si>
  <si>
    <t>Laila Safira Dewi |♂️</t>
  </si>
  <si>
    <t>Dilarang mengubah Table atau Menambah Table Baru atau Menambah Kolom Bantuan !!, Gunakan Table seperti yang sudah di sediakan soal.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</si>
  <si>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</si>
  <si>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</si>
  <si>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</si>
  <si>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</si>
  <si>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</si>
  <si>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</si>
  <si>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</si>
  <si>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</si>
  <si>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</si>
  <si>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</si>
  <si>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</si>
  <si>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</si>
  <si>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</si>
  <si>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</si>
  <si>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</si>
  <si>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</si>
  <si>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</si>
  <si>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</si>
  <si>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</si>
  <si>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</si>
  <si>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</si>
  <si>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</si>
  <si>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</si>
  <si>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</si>
  <si>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</si>
  <si>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Def</t>
  </si>
  <si>
    <t>Rand</t>
  </si>
  <si>
    <t>V1</t>
  </si>
  <si>
    <t>Kosong</t>
  </si>
  <si>
    <t>Manual</t>
  </si>
  <si>
    <t>COUNTIF</t>
  </si>
  <si>
    <t>Cek Table</t>
  </si>
  <si>
    <t>Formula</t>
  </si>
  <si>
    <t>Cek Fungsi</t>
  </si>
  <si>
    <t>XB1</t>
  </si>
  <si>
    <t>dari</t>
  </si>
  <si>
    <t>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</si>
</sst>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3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11"/>
      <color theme="0"/>
      <name val="ROBOTECH GP"/>
      <family val="2"/>
    </font>
    <font>
      <b/>
      <sz val="12"/>
      <color theme="0"/>
      <name val="Roboto"/>
    </font>
    <font>
      <sz val="8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0070C0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6795556505021"/>
      </top>
      <bottom style="thin">
        <color theme="1" tint="0.14996795556505021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8" fillId="0" borderId="0"/>
    <xf numFmtId="0" fontId="7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3" fillId="0" borderId="0" xfId="0" applyFont="1"/>
    <xf numFmtId="0" fontId="0" fillId="3" borderId="0" xfId="0" applyFill="1"/>
    <xf numFmtId="0" fontId="5" fillId="0" borderId="0" xfId="0" applyFont="1"/>
    <xf numFmtId="0" fontId="0" fillId="5" borderId="0" xfId="0" applyFill="1"/>
    <xf numFmtId="0" fontId="0" fillId="4" borderId="1" xfId="0" applyFill="1" applyBorder="1"/>
    <xf numFmtId="49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left" indent="1"/>
    </xf>
    <xf numFmtId="0" fontId="0" fillId="4" borderId="1" xfId="0" applyFill="1" applyBorder="1" applyAlignment="1">
      <alignment horizontal="left" indent="1"/>
    </xf>
    <xf numFmtId="0" fontId="7" fillId="0" borderId="0" xfId="1"/>
    <xf numFmtId="164" fontId="12" fillId="7" borderId="0" xfId="0" applyNumberFormat="1" applyFont="1" applyFill="1" applyAlignment="1">
      <alignment horizontal="center" vertical="center"/>
    </xf>
    <xf numFmtId="164" fontId="12" fillId="7" borderId="3" xfId="0" applyNumberFormat="1" applyFont="1" applyFill="1" applyBorder="1" applyAlignment="1">
      <alignment horizontal="left" vertical="center"/>
    </xf>
    <xf numFmtId="164" fontId="13" fillId="7" borderId="0" xfId="0" applyNumberFormat="1" applyFont="1" applyFill="1" applyAlignment="1">
      <alignment horizontal="left" vertical="center"/>
    </xf>
    <xf numFmtId="0" fontId="6" fillId="8" borderId="7" xfId="0" applyFont="1" applyFill="1" applyBorder="1" applyAlignment="1">
      <alignment vertical="top" wrapText="1"/>
    </xf>
    <xf numFmtId="0" fontId="6" fillId="8" borderId="0" xfId="0" applyFont="1" applyFill="1" applyAlignment="1">
      <alignment vertical="top" wrapText="1"/>
    </xf>
    <xf numFmtId="0" fontId="6" fillId="8" borderId="8" xfId="0" applyFont="1" applyFill="1" applyBorder="1" applyAlignment="1">
      <alignment vertical="top" wrapText="1"/>
    </xf>
    <xf numFmtId="0" fontId="6" fillId="8" borderId="9" xfId="0" applyFont="1" applyFill="1" applyBorder="1" applyAlignment="1">
      <alignment vertical="top" wrapText="1"/>
    </xf>
    <xf numFmtId="0" fontId="0" fillId="8" borderId="0" xfId="0" applyFill="1"/>
    <xf numFmtId="0" fontId="15" fillId="8" borderId="0" xfId="0" applyFont="1" applyFill="1" applyAlignment="1">
      <alignment horizontal="left" vertical="top"/>
    </xf>
    <xf numFmtId="0" fontId="6" fillId="8" borderId="10" xfId="0" applyFont="1" applyFill="1" applyBorder="1" applyAlignment="1">
      <alignment vertical="top" wrapText="1"/>
    </xf>
    <xf numFmtId="0" fontId="15" fillId="8" borderId="0" xfId="0" applyFont="1" applyFill="1" applyAlignment="1">
      <alignment vertical="top"/>
    </xf>
    <xf numFmtId="0" fontId="17" fillId="8" borderId="0" xfId="0" applyFont="1" applyFill="1" applyAlignment="1">
      <alignment horizontal="right"/>
    </xf>
    <xf numFmtId="0" fontId="18" fillId="8" borderId="0" xfId="0" applyFont="1" applyFill="1" applyAlignment="1">
      <alignment vertical="top"/>
    </xf>
    <xf numFmtId="0" fontId="19" fillId="8" borderId="0" xfId="0" applyFont="1" applyFill="1" applyAlignment="1">
      <alignment horizontal="center" vertical="center"/>
    </xf>
    <xf numFmtId="0" fontId="20" fillId="8" borderId="0" xfId="0" applyFont="1" applyFill="1"/>
    <xf numFmtId="0" fontId="1" fillId="0" borderId="0" xfId="0" applyFont="1"/>
    <xf numFmtId="0" fontId="9" fillId="9" borderId="12" xfId="0" applyFont="1" applyFill="1" applyBorder="1" applyAlignment="1">
      <alignment horizontal="center" vertical="center"/>
    </xf>
    <xf numFmtId="0" fontId="23" fillId="7" borderId="14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0" xfId="0" applyFill="1"/>
    <xf numFmtId="0" fontId="6" fillId="4" borderId="0" xfId="0" applyFont="1" applyFill="1" applyAlignment="1">
      <alignment vertical="top" wrapText="1"/>
    </xf>
    <xf numFmtId="0" fontId="6" fillId="10" borderId="0" xfId="0" applyFont="1" applyFill="1" applyAlignment="1">
      <alignment vertical="top" wrapText="1"/>
    </xf>
    <xf numFmtId="0" fontId="0" fillId="0" borderId="0" xfId="0" quotePrefix="1"/>
    <xf numFmtId="0" fontId="1" fillId="2" borderId="1" xfId="0" applyFont="1" applyFill="1" applyBorder="1" applyAlignment="1">
      <alignment horizontal="center" vertical="center"/>
    </xf>
    <xf numFmtId="0" fontId="8" fillId="0" borderId="0" xfId="2"/>
    <xf numFmtId="0" fontId="8" fillId="0" borderId="14" xfId="2" applyBorder="1"/>
    <xf numFmtId="0" fontId="8" fillId="0" borderId="17" xfId="2" applyBorder="1"/>
    <xf numFmtId="0" fontId="8" fillId="0" borderId="18" xfId="2" applyBorder="1"/>
    <xf numFmtId="0" fontId="25" fillId="0" borderId="14" xfId="2" applyFont="1" applyBorder="1"/>
    <xf numFmtId="0" fontId="27" fillId="0" borderId="14" xfId="2" applyFont="1" applyBorder="1"/>
    <xf numFmtId="0" fontId="28" fillId="0" borderId="17" xfId="0" applyFont="1" applyBorder="1" applyAlignment="1">
      <alignment horizontal="left" vertical="top" wrapText="1"/>
    </xf>
    <xf numFmtId="0" fontId="30" fillId="0" borderId="17" xfId="0" applyFont="1" applyBorder="1" applyAlignment="1">
      <alignment horizontal="left" vertical="top" wrapText="1"/>
    </xf>
    <xf numFmtId="0" fontId="7" fillId="0" borderId="14" xfId="3" applyBorder="1" applyAlignment="1">
      <alignment vertical="top"/>
    </xf>
    <xf numFmtId="0" fontId="1" fillId="0" borderId="0" xfId="2" applyFont="1"/>
    <xf numFmtId="0" fontId="31" fillId="0" borderId="0" xfId="2" applyFont="1"/>
    <xf numFmtId="0" fontId="31" fillId="0" borderId="0" xfId="2" quotePrefix="1" applyFont="1"/>
    <xf numFmtId="0" fontId="0" fillId="7" borderId="0" xfId="0" applyFill="1"/>
    <xf numFmtId="0" fontId="32" fillId="7" borderId="0" xfId="0" applyFont="1" applyFill="1"/>
    <xf numFmtId="0" fontId="10" fillId="7" borderId="0" xfId="0" applyFont="1" applyFill="1"/>
    <xf numFmtId="0" fontId="33" fillId="7" borderId="0" xfId="0" applyFont="1" applyFill="1"/>
    <xf numFmtId="0" fontId="34" fillId="7" borderId="0" xfId="1" applyFont="1" applyFill="1"/>
    <xf numFmtId="0" fontId="27" fillId="0" borderId="14" xfId="2" applyFont="1" applyBorder="1" applyAlignment="1">
      <alignment horizontal="left"/>
    </xf>
    <xf numFmtId="0" fontId="22" fillId="6" borderId="0" xfId="0" applyFont="1" applyFill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27" fillId="0" borderId="14" xfId="2" applyFont="1" applyBorder="1" applyAlignment="1">
      <alignment horizontal="left"/>
    </xf>
    <xf numFmtId="0" fontId="26" fillId="0" borderId="14" xfId="2" applyFont="1" applyBorder="1" applyAlignment="1">
      <alignment horizontal="left"/>
    </xf>
    <xf numFmtId="0" fontId="28" fillId="0" borderId="0" xfId="0" applyFont="1" applyAlignment="1">
      <alignment horizontal="left" vertical="top" wrapText="1"/>
    </xf>
    <xf numFmtId="0" fontId="28" fillId="0" borderId="19" xfId="0" applyFont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19" xfId="0" applyFont="1" applyBorder="1" applyAlignment="1">
      <alignment horizontal="left" vertical="top" wrapText="1"/>
    </xf>
    <xf numFmtId="0" fontId="22" fillId="6" borderId="7" xfId="0" applyFont="1" applyFill="1" applyBorder="1" applyAlignment="1">
      <alignment horizontal="center" vertical="center"/>
    </xf>
  </cellXfs>
  <cellStyles count="4">
    <cellStyle name="Hyperlink" xfId="1" builtinId="8"/>
    <cellStyle name="Hyperlink 2" xfId="3" xr:uid="{02B7D950-555F-40F8-9A9E-D1CC68584B9F}"/>
    <cellStyle name="Normal" xfId="0" builtinId="0"/>
    <cellStyle name="Normal 2" xfId="2" xr:uid="{5B7EDF50-F9ED-42BA-BF54-73095E78F8BB}"/>
  </cellStyles>
  <dxfs count="4">
    <dxf>
      <border>
        <bottom style="thin">
          <color rgb="FF00B050"/>
        </bottom>
        <vertical/>
        <horizontal/>
      </border>
    </dxf>
    <dxf>
      <numFmt numFmtId="165" formatCode=";;;&quot;Pindah&quot;"/>
    </dxf>
    <dxf>
      <numFmt numFmtId="166" formatCode=";;;&quot;Masuk&quot;"/>
    </dxf>
    <dxf>
      <numFmt numFmtId="167" formatCode=";;;&quot;Tetap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12</xdr:col>
      <xdr:colOff>83821</xdr:colOff>
      <xdr:row>14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675492-A11F-40F5-AD3D-5F31D5D9D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911840" cy="2727960"/>
        </a:xfrm>
        <a:prstGeom prst="rect">
          <a:avLst/>
        </a:prstGeom>
      </xdr:spPr>
    </xdr:pic>
    <xdr:clientData/>
  </xdr:twoCellAnchor>
  <xdr:twoCellAnchor editAs="oneCell">
    <xdr:from>
      <xdr:col>6</xdr:col>
      <xdr:colOff>358140</xdr:colOff>
      <xdr:row>12</xdr:row>
      <xdr:rowOff>91440</xdr:rowOff>
    </xdr:from>
    <xdr:to>
      <xdr:col>8</xdr:col>
      <xdr:colOff>581660</xdr:colOff>
      <xdr:row>16</xdr:row>
      <xdr:rowOff>7620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4A83D0F-1D0E-4521-8E07-0FB25987C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3100" y="228600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609600</xdr:colOff>
      <xdr:row>32</xdr:row>
      <xdr:rowOff>121920</xdr:rowOff>
    </xdr:from>
    <xdr:to>
      <xdr:col>4</xdr:col>
      <xdr:colOff>1158240</xdr:colOff>
      <xdr:row>34</xdr:row>
      <xdr:rowOff>76200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A7D889C-215D-41DE-A6AA-77500618CC1B}"/>
            </a:ext>
          </a:extLst>
        </xdr:cNvPr>
        <xdr:cNvSpPr/>
      </xdr:nvSpPr>
      <xdr:spPr>
        <a:xfrm>
          <a:off x="2705100" y="7780020"/>
          <a:ext cx="168402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10</xdr:col>
      <xdr:colOff>388620</xdr:colOff>
      <xdr:row>0</xdr:row>
      <xdr:rowOff>106680</xdr:rowOff>
    </xdr:from>
    <xdr:ext cx="1186863" cy="2802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4BB7F52-2267-4E0E-8A44-05AB43825910}"/>
            </a:ext>
          </a:extLst>
        </xdr:cNvPr>
        <xdr:cNvSpPr txBox="1"/>
      </xdr:nvSpPr>
      <xdr:spPr>
        <a:xfrm>
          <a:off x="9646920" y="106680"/>
          <a:ext cx="1186863" cy="280205"/>
        </a:xfrm>
        <a:prstGeom prst="rect">
          <a:avLst/>
        </a:prstGeom>
        <a:noFill/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chemeClr val="bg1"/>
              </a:solidFill>
            </a:rPr>
            <a:t>EXTREME</a:t>
          </a:r>
          <a:r>
            <a:rPr lang="en-ID" sz="1200" b="1" baseline="0">
              <a:solidFill>
                <a:schemeClr val="bg1"/>
              </a:solidFill>
            </a:rPr>
            <a:t> LEVEL</a:t>
          </a:r>
          <a:endParaRPr lang="en-ID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12</xdr:col>
      <xdr:colOff>167641</xdr:colOff>
      <xdr:row>0</xdr:row>
      <xdr:rowOff>0</xdr:rowOff>
    </xdr:from>
    <xdr:to>
      <xdr:col>13</xdr:col>
      <xdr:colOff>647701</xdr:colOff>
      <xdr:row>15</xdr:row>
      <xdr:rowOff>866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903C5E3-F20C-4F25-8CD2-769011D4B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95661" y="0"/>
          <a:ext cx="1760220" cy="2742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43A0B01E-443B-495F-8C62-8A24C74DA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1485D58F-E97F-4756-872A-CE9C93B86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495300</xdr:colOff>
      <xdr:row>0</xdr:row>
      <xdr:rowOff>175260</xdr:rowOff>
    </xdr:from>
    <xdr:to>
      <xdr:col>4</xdr:col>
      <xdr:colOff>243577</xdr:colOff>
      <xdr:row>15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35FDCF-AEEE-4E76-8851-F1EE2931D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0" y="175260"/>
          <a:ext cx="1653277" cy="2575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4734-E16A-4577-A7E3-F2EB657D2114}">
  <sheetPr codeName="Sheet1"/>
  <dimension ref="A17:N64"/>
  <sheetViews>
    <sheetView showGridLines="0" tabSelected="1" topLeftCell="A15" workbookViewId="0">
      <selection activeCell="G17" sqref="G17"/>
    </sheetView>
  </sheetViews>
  <sheetFormatPr defaultRowHeight="14.45"/>
  <cols>
    <col min="1" max="1" width="7.5703125" customWidth="1"/>
    <col min="2" max="2" width="7.28515625" customWidth="1"/>
    <col min="3" max="3" width="31.140625" customWidth="1"/>
    <col min="4" max="4" width="13.28515625" customWidth="1"/>
    <col min="5" max="5" width="13.7109375" customWidth="1"/>
    <col min="6" max="6" width="17" customWidth="1"/>
    <col min="8" max="8" width="9.85546875" customWidth="1"/>
    <col min="9" max="9" width="16.28515625" bestFit="1" customWidth="1"/>
    <col min="10" max="10" width="10" customWidth="1"/>
    <col min="12" max="12" width="14" bestFit="1" customWidth="1"/>
    <col min="13" max="13" width="18.7109375" customWidth="1"/>
    <col min="14" max="14" width="10.140625" customWidth="1"/>
  </cols>
  <sheetData>
    <row r="17" spans="1:14" ht="23.45">
      <c r="A17" s="60" t="s">
        <v>0</v>
      </c>
      <c r="B17" s="60"/>
      <c r="C17" s="14" t="s">
        <v>1</v>
      </c>
      <c r="E17" s="60" t="s">
        <v>2</v>
      </c>
      <c r="F17" s="61"/>
      <c r="G17" s="15" t="str">
        <f ca="1">kode_jawaban</f>
        <v>XB1|26-1050;1E-A32;DE-723;19-828;6E-C3C;1E-61E</v>
      </c>
      <c r="H17" s="16"/>
      <c r="I17" s="16"/>
      <c r="J17" s="16"/>
      <c r="K17" s="16"/>
      <c r="L17" s="16"/>
      <c r="M17" s="16"/>
      <c r="N17" s="16"/>
    </row>
    <row r="19" spans="1:14" ht="22.9">
      <c r="A19" s="62" t="s">
        <v>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4"/>
    </row>
    <row r="20" spans="1:14" ht="15.6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9"/>
      <c r="L20" s="19"/>
      <c r="M20" s="19"/>
      <c r="N20" s="20"/>
    </row>
    <row r="21" spans="1:14" ht="15.6">
      <c r="A21" s="21"/>
      <c r="B21" s="22" t="s">
        <v>4</v>
      </c>
      <c r="D21" s="21"/>
      <c r="E21" s="18"/>
      <c r="F21" s="18"/>
      <c r="G21" s="18"/>
      <c r="H21" s="18"/>
      <c r="I21" s="18"/>
      <c r="J21" s="18"/>
      <c r="K21" s="18"/>
      <c r="L21" s="18"/>
      <c r="M21" s="18"/>
      <c r="N21" s="23"/>
    </row>
    <row r="22" spans="1:14" ht="15.6">
      <c r="A22" s="21"/>
      <c r="B22" s="21"/>
      <c r="C22" s="24"/>
      <c r="E22" s="18"/>
      <c r="F22" s="18"/>
      <c r="G22" s="18"/>
      <c r="H22" s="18"/>
      <c r="I22" s="18"/>
      <c r="J22" s="18"/>
      <c r="K22" s="18"/>
      <c r="L22" s="18"/>
      <c r="M22" s="18"/>
      <c r="N22" s="23"/>
    </row>
    <row r="23" spans="1:14" ht="15.6">
      <c r="A23" s="21"/>
      <c r="B23" s="25" t="s">
        <v>5</v>
      </c>
      <c r="C23" s="26" t="s">
        <v>6</v>
      </c>
      <c r="D23" s="21"/>
      <c r="E23" s="21"/>
      <c r="F23" s="18"/>
      <c r="G23" s="21"/>
      <c r="H23" s="21"/>
      <c r="I23" s="7" t="s">
        <v>7</v>
      </c>
      <c r="K23" s="18"/>
      <c r="L23" s="18"/>
      <c r="M23" s="18"/>
      <c r="N23" s="23"/>
    </row>
    <row r="24" spans="1:14" ht="15.6">
      <c r="A24" s="21"/>
      <c r="B24" s="27">
        <v>1</v>
      </c>
      <c r="C24" t="s">
        <v>8</v>
      </c>
      <c r="D24" s="21"/>
      <c r="E24" s="21"/>
      <c r="F24" s="18"/>
      <c r="G24" s="21"/>
      <c r="H24" s="21"/>
      <c r="I24" s="5" t="s">
        <v>9</v>
      </c>
      <c r="K24" s="34" t="s">
        <v>10</v>
      </c>
      <c r="L24" s="35" t="s">
        <v>11</v>
      </c>
      <c r="M24" s="18"/>
      <c r="N24" s="23"/>
    </row>
    <row r="25" spans="1:14" ht="15.6">
      <c r="A25" s="21"/>
      <c r="B25" s="27">
        <v>2</v>
      </c>
      <c r="C25" t="s">
        <v>12</v>
      </c>
      <c r="D25" s="21"/>
      <c r="E25" s="21"/>
      <c r="F25" s="18"/>
      <c r="G25" s="21"/>
      <c r="H25" s="21"/>
      <c r="I25" s="5" t="s">
        <v>13</v>
      </c>
      <c r="K25" s="36" t="s">
        <v>14</v>
      </c>
      <c r="L25" s="36" t="s">
        <v>15</v>
      </c>
      <c r="M25" s="18"/>
      <c r="N25" s="23"/>
    </row>
    <row r="26" spans="1:14" ht="15.6">
      <c r="A26" s="21"/>
      <c r="B26" s="27">
        <v>3</v>
      </c>
      <c r="C26" t="s">
        <v>16</v>
      </c>
      <c r="D26" s="21"/>
      <c r="E26" s="21"/>
      <c r="F26" s="18"/>
      <c r="G26" s="21"/>
      <c r="H26" s="21"/>
      <c r="I26" s="5" t="s">
        <v>17</v>
      </c>
      <c r="K26" s="18"/>
      <c r="L26" s="18"/>
      <c r="M26" s="18"/>
      <c r="N26" s="23"/>
    </row>
    <row r="27" spans="1:14" ht="15.6">
      <c r="A27" s="21"/>
      <c r="B27" s="27">
        <v>4</v>
      </c>
      <c r="C27" t="s">
        <v>18</v>
      </c>
      <c r="D27" s="21"/>
      <c r="E27" s="21"/>
      <c r="F27" s="18"/>
      <c r="G27" s="21"/>
      <c r="H27" s="21"/>
      <c r="I27" s="18"/>
      <c r="J27" s="18"/>
      <c r="K27" s="18"/>
      <c r="L27" s="18"/>
      <c r="M27" s="18"/>
      <c r="N27" s="23"/>
    </row>
    <row r="28" spans="1:14" ht="15.6">
      <c r="A28" s="21"/>
      <c r="B28" s="27">
        <v>5</v>
      </c>
      <c r="C28" t="s">
        <v>19</v>
      </c>
      <c r="D28" s="21"/>
      <c r="E28" s="21"/>
      <c r="F28" s="18"/>
      <c r="G28" s="21"/>
      <c r="H28" s="21"/>
      <c r="I28" s="18"/>
      <c r="J28" s="18"/>
      <c r="K28" s="18"/>
      <c r="L28" s="18"/>
      <c r="M28" s="18"/>
      <c r="N28" s="23"/>
    </row>
    <row r="29" spans="1:14" ht="15.6">
      <c r="A29" s="21"/>
      <c r="B29" s="27">
        <v>6</v>
      </c>
      <c r="C29" t="s">
        <v>20</v>
      </c>
      <c r="D29" s="21"/>
      <c r="E29" s="21"/>
      <c r="F29" s="18"/>
      <c r="G29" s="21"/>
      <c r="H29" s="21"/>
      <c r="I29" s="18"/>
      <c r="J29" s="18"/>
      <c r="K29" s="18"/>
      <c r="L29" s="18"/>
      <c r="M29" s="18"/>
      <c r="N29" s="23"/>
    </row>
    <row r="30" spans="1:14" ht="15.6">
      <c r="A30" s="21"/>
      <c r="B30" s="27"/>
      <c r="D30" s="21"/>
      <c r="E30" s="21"/>
      <c r="F30" s="18"/>
      <c r="G30" s="21"/>
      <c r="H30" s="21"/>
      <c r="I30" s="18"/>
      <c r="J30" s="18"/>
      <c r="K30" s="18"/>
      <c r="L30" s="18"/>
      <c r="M30" s="18"/>
      <c r="N30" s="23"/>
    </row>
    <row r="31" spans="1:14" ht="15.6">
      <c r="A31" s="21"/>
      <c r="B31" s="21"/>
      <c r="C31" s="21"/>
      <c r="D31" s="21"/>
      <c r="E31" s="21"/>
      <c r="F31" s="18"/>
      <c r="G31" s="21"/>
      <c r="H31" s="21"/>
      <c r="I31" s="18"/>
      <c r="J31" s="18"/>
      <c r="K31" s="18"/>
      <c r="L31" s="18"/>
      <c r="M31" s="18"/>
      <c r="N31" s="23"/>
    </row>
    <row r="32" spans="1:14" ht="15.6">
      <c r="A32" s="21"/>
      <c r="B32" s="21"/>
      <c r="C32" s="28" t="s">
        <v>21</v>
      </c>
      <c r="D32" s="21"/>
      <c r="E32" s="21"/>
      <c r="F32" s="18"/>
      <c r="G32" s="21"/>
      <c r="H32" s="21"/>
      <c r="I32" s="18"/>
      <c r="J32" s="18"/>
      <c r="K32" s="18"/>
      <c r="L32" s="18"/>
      <c r="M32" s="18"/>
      <c r="N32" s="23"/>
    </row>
    <row r="33" spans="1:14" ht="15.6">
      <c r="A33" s="21"/>
      <c r="B33" s="21"/>
      <c r="C33" s="28" t="s">
        <v>22</v>
      </c>
      <c r="D33" s="21"/>
      <c r="E33" s="18"/>
      <c r="F33" s="18"/>
      <c r="G33" s="21"/>
      <c r="H33" s="21"/>
      <c r="I33" s="18"/>
      <c r="J33" s="18"/>
      <c r="K33" s="18"/>
      <c r="L33" s="18"/>
      <c r="M33" s="18"/>
      <c r="N33" s="23"/>
    </row>
    <row r="36" spans="1:14" ht="22.9">
      <c r="A36" s="6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7"/>
    </row>
    <row r="40" spans="1:14" ht="22.9" customHeight="1">
      <c r="B40" s="38" t="s">
        <v>23</v>
      </c>
      <c r="C40" s="38" t="s">
        <v>24</v>
      </c>
      <c r="D40" s="38" t="s">
        <v>25</v>
      </c>
      <c r="E40" s="38" t="s">
        <v>26</v>
      </c>
      <c r="F40" s="38" t="s">
        <v>7</v>
      </c>
      <c r="H40" s="30" t="s">
        <v>27</v>
      </c>
      <c r="I40" s="30" t="s">
        <v>28</v>
      </c>
      <c r="J40" s="29"/>
      <c r="K40" s="58" t="s">
        <v>29</v>
      </c>
      <c r="L40" s="59"/>
      <c r="M40" s="59"/>
      <c r="N40" s="59"/>
    </row>
    <row r="41" spans="1:14" ht="19.899999999999999" customHeight="1">
      <c r="B41" s="10">
        <v>1</v>
      </c>
      <c r="C41" s="8" t="s">
        <v>30</v>
      </c>
      <c r="D41" s="12" t="s">
        <v>31</v>
      </c>
      <c r="E41" s="9" t="s">
        <v>32</v>
      </c>
      <c r="F41" s="11" t="s">
        <v>33</v>
      </c>
      <c r="H41" s="32" t="s">
        <v>34</v>
      </c>
      <c r="I41" s="31">
        <f>COUNTIF(C41:C60,"* * * |*")</f>
        <v>16</v>
      </c>
      <c r="K41" t="s">
        <v>8</v>
      </c>
      <c r="M41" s="2"/>
    </row>
    <row r="42" spans="1:14" ht="19.899999999999999" customHeight="1">
      <c r="B42" s="10">
        <v>2</v>
      </c>
      <c r="C42" s="8" t="s">
        <v>35</v>
      </c>
      <c r="D42" s="12" t="s">
        <v>36</v>
      </c>
      <c r="E42" s="10" t="s">
        <v>37</v>
      </c>
      <c r="F42" s="12" t="s">
        <v>38</v>
      </c>
      <c r="H42" s="33" t="s">
        <v>39</v>
      </c>
      <c r="I42" s="31" cm="1">
        <f t="array" ref="I42">SUM(COUNTIF(D41:D60,{"Bandung";"Jakarta"}))</f>
        <v>10</v>
      </c>
      <c r="K42" t="s">
        <v>12</v>
      </c>
      <c r="M42" s="2"/>
    </row>
    <row r="43" spans="1:14" ht="19.899999999999999" customHeight="1">
      <c r="B43" s="10">
        <v>3</v>
      </c>
      <c r="C43" s="8" t="s">
        <v>40</v>
      </c>
      <c r="D43" s="12" t="s">
        <v>41</v>
      </c>
      <c r="E43" s="10" t="s">
        <v>42</v>
      </c>
      <c r="F43" s="12" t="s">
        <v>33</v>
      </c>
      <c r="H43" s="32" t="s">
        <v>43</v>
      </c>
      <c r="I43" s="31">
        <f>COUNTIF(E41:E60,"=&gt;3")</f>
        <v>7</v>
      </c>
      <c r="K43" t="s">
        <v>16</v>
      </c>
      <c r="M43" s="2"/>
    </row>
    <row r="44" spans="1:14" ht="19.899999999999999" customHeight="1">
      <c r="B44" s="10">
        <v>4</v>
      </c>
      <c r="C44" s="8" t="s">
        <v>44</v>
      </c>
      <c r="D44" s="12" t="s">
        <v>31</v>
      </c>
      <c r="E44" s="10" t="s">
        <v>37</v>
      </c>
      <c r="F44" s="12" t="s">
        <v>38</v>
      </c>
      <c r="H44" s="33" t="s">
        <v>45</v>
      </c>
      <c r="I44" s="31">
        <f>COUNTIF(C41:C60,"*♂️")</f>
        <v>8</v>
      </c>
      <c r="K44" t="s">
        <v>18</v>
      </c>
    </row>
    <row r="45" spans="1:14" ht="19.899999999999999" customHeight="1">
      <c r="B45" s="10">
        <v>5</v>
      </c>
      <c r="C45" s="8" t="s">
        <v>46</v>
      </c>
      <c r="D45" s="12" t="s">
        <v>47</v>
      </c>
      <c r="E45" s="10" t="s">
        <v>42</v>
      </c>
      <c r="F45" s="12" t="s">
        <v>38</v>
      </c>
      <c r="H45" s="32" t="s">
        <v>48</v>
      </c>
      <c r="I45" s="31">
        <f>COUNTIF(C41:C60,"*♀️")</f>
        <v>12</v>
      </c>
      <c r="J45" s="4"/>
      <c r="K45" t="s">
        <v>19</v>
      </c>
      <c r="L45" s="3"/>
    </row>
    <row r="46" spans="1:14" ht="19.899999999999999" customHeight="1">
      <c r="B46" s="10">
        <v>6</v>
      </c>
      <c r="C46" s="8" t="s">
        <v>49</v>
      </c>
      <c r="D46" s="12" t="s">
        <v>50</v>
      </c>
      <c r="E46" s="9" t="s">
        <v>32</v>
      </c>
      <c r="F46" s="11" t="s">
        <v>38</v>
      </c>
      <c r="H46" s="33" t="s">
        <v>51</v>
      </c>
      <c r="I46" s="31">
        <f>COUNTIF(F41:F60,"=&gt;")</f>
        <v>6</v>
      </c>
      <c r="J46" s="4"/>
      <c r="K46" t="s">
        <v>20</v>
      </c>
      <c r="L46" s="3"/>
    </row>
    <row r="47" spans="1:14" ht="19.899999999999999" customHeight="1">
      <c r="B47" s="10">
        <v>7</v>
      </c>
      <c r="C47" s="8" t="s">
        <v>52</v>
      </c>
      <c r="D47" s="12" t="s">
        <v>36</v>
      </c>
      <c r="E47" s="10" t="s">
        <v>42</v>
      </c>
      <c r="F47" s="12" t="s">
        <v>33</v>
      </c>
      <c r="I47" s="37"/>
      <c r="J47" s="4"/>
    </row>
    <row r="48" spans="1:14" ht="19.899999999999999" customHeight="1">
      <c r="B48" s="10">
        <v>8</v>
      </c>
      <c r="C48" s="8" t="s">
        <v>53</v>
      </c>
      <c r="D48" s="12" t="s">
        <v>31</v>
      </c>
      <c r="E48" s="10" t="s">
        <v>37</v>
      </c>
      <c r="F48" s="12" t="s">
        <v>54</v>
      </c>
      <c r="I48" s="37"/>
      <c r="J48" s="4"/>
    </row>
    <row r="49" spans="1:14" ht="19.899999999999999" customHeight="1">
      <c r="B49" s="10">
        <v>9</v>
      </c>
      <c r="C49" s="8" t="s">
        <v>55</v>
      </c>
      <c r="D49" s="12" t="s">
        <v>41</v>
      </c>
      <c r="E49" s="10">
        <v>8</v>
      </c>
      <c r="F49" s="12" t="s">
        <v>38</v>
      </c>
      <c r="J49" s="4"/>
    </row>
    <row r="50" spans="1:14" ht="19.899999999999999" customHeight="1">
      <c r="B50" s="10">
        <v>10</v>
      </c>
      <c r="C50" s="8" t="s">
        <v>56</v>
      </c>
      <c r="D50" s="12" t="s">
        <v>36</v>
      </c>
      <c r="E50" s="10" t="s">
        <v>37</v>
      </c>
      <c r="F50" s="12" t="s">
        <v>38</v>
      </c>
      <c r="J50" s="4"/>
    </row>
    <row r="51" spans="1:14" ht="19.899999999999999" customHeight="1">
      <c r="B51" s="10">
        <v>11</v>
      </c>
      <c r="C51" s="8" t="s">
        <v>57</v>
      </c>
      <c r="D51" s="12" t="s">
        <v>31</v>
      </c>
      <c r="E51" s="10">
        <v>9</v>
      </c>
      <c r="F51" s="12" t="s">
        <v>33</v>
      </c>
      <c r="J51" s="4"/>
    </row>
    <row r="52" spans="1:14" ht="19.899999999999999" customHeight="1">
      <c r="B52" s="10">
        <v>12</v>
      </c>
      <c r="C52" s="8" t="s">
        <v>58</v>
      </c>
      <c r="D52" s="12" t="s">
        <v>41</v>
      </c>
      <c r="E52" s="9" t="s">
        <v>32</v>
      </c>
      <c r="F52" s="11" t="s">
        <v>38</v>
      </c>
      <c r="H52" s="1"/>
      <c r="J52" s="4"/>
    </row>
    <row r="53" spans="1:14" ht="19.899999999999999" customHeight="1">
      <c r="B53" s="10">
        <v>13</v>
      </c>
      <c r="C53" s="8" t="s">
        <v>59</v>
      </c>
      <c r="D53" s="12" t="s">
        <v>50</v>
      </c>
      <c r="E53" s="10" t="s">
        <v>42</v>
      </c>
      <c r="F53" s="12" t="s">
        <v>33</v>
      </c>
      <c r="H53" s="1"/>
      <c r="J53" s="4"/>
    </row>
    <row r="54" spans="1:14" ht="19.899999999999999" customHeight="1">
      <c r="B54" s="10">
        <v>14</v>
      </c>
      <c r="C54" s="8" t="s">
        <v>60</v>
      </c>
      <c r="D54" s="12" t="s">
        <v>61</v>
      </c>
      <c r="E54" s="10" t="s">
        <v>37</v>
      </c>
      <c r="F54" s="12" t="s">
        <v>38</v>
      </c>
      <c r="J54" s="4"/>
    </row>
    <row r="55" spans="1:14" ht="19.899999999999999" customHeight="1">
      <c r="B55" s="10">
        <v>15</v>
      </c>
      <c r="C55" s="8" t="s">
        <v>62</v>
      </c>
      <c r="D55" s="12" t="s">
        <v>31</v>
      </c>
      <c r="E55" s="10">
        <v>10</v>
      </c>
      <c r="F55" s="12" t="s">
        <v>38</v>
      </c>
      <c r="J55" s="4"/>
    </row>
    <row r="56" spans="1:14" ht="19.899999999999999" customHeight="1">
      <c r="B56" s="10">
        <v>16</v>
      </c>
      <c r="C56" s="8" t="s">
        <v>63</v>
      </c>
      <c r="D56" s="12" t="s">
        <v>47</v>
      </c>
      <c r="E56" s="9" t="s">
        <v>32</v>
      </c>
      <c r="F56" s="11" t="s">
        <v>54</v>
      </c>
      <c r="J56" s="4"/>
    </row>
    <row r="57" spans="1:14" ht="19.899999999999999" customHeight="1">
      <c r="B57" s="10">
        <v>17</v>
      </c>
      <c r="C57" s="8" t="s">
        <v>64</v>
      </c>
      <c r="D57" s="12" t="s">
        <v>36</v>
      </c>
      <c r="E57" s="10">
        <v>9</v>
      </c>
      <c r="F57" s="12" t="s">
        <v>38</v>
      </c>
      <c r="J57" s="4"/>
    </row>
    <row r="58" spans="1:14" ht="19.899999999999999" customHeight="1">
      <c r="B58" s="10">
        <v>18</v>
      </c>
      <c r="C58" s="8" t="s">
        <v>65</v>
      </c>
      <c r="D58" s="12" t="s">
        <v>31</v>
      </c>
      <c r="E58" s="10" t="s">
        <v>37</v>
      </c>
      <c r="F58" s="12" t="s">
        <v>38</v>
      </c>
    </row>
    <row r="59" spans="1:14" ht="19.899999999999999" customHeight="1">
      <c r="B59" s="10">
        <v>19</v>
      </c>
      <c r="C59" s="8" t="s">
        <v>66</v>
      </c>
      <c r="D59" s="12" t="s">
        <v>50</v>
      </c>
      <c r="E59" s="10" t="s">
        <v>67</v>
      </c>
      <c r="F59" s="12" t="s">
        <v>38</v>
      </c>
    </row>
    <row r="60" spans="1:14" ht="19.899999999999999" customHeight="1">
      <c r="B60" s="10">
        <v>20</v>
      </c>
      <c r="C60" s="8" t="s">
        <v>68</v>
      </c>
      <c r="D60" s="12" t="s">
        <v>61</v>
      </c>
      <c r="E60" s="10" t="s">
        <v>37</v>
      </c>
      <c r="F60" s="12" t="s">
        <v>33</v>
      </c>
    </row>
    <row r="61" spans="1:14" ht="15" customHeight="1">
      <c r="I61" s="6"/>
    </row>
    <row r="64" spans="1:14">
      <c r="A64" s="57" t="s">
        <v>69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</row>
  </sheetData>
  <mergeCells count="6">
    <mergeCell ref="A64:N64"/>
    <mergeCell ref="K40:N40"/>
    <mergeCell ref="A17:B17"/>
    <mergeCell ref="E17:F17"/>
    <mergeCell ref="A19:N19"/>
    <mergeCell ref="A36:N36"/>
  </mergeCells>
  <phoneticPr fontId="24" type="noConversion"/>
  <conditionalFormatting sqref="F41:F60">
    <cfRule type="expression" dxfId="3" priority="2">
      <formula>$F41="&lt;&gt;"</formula>
    </cfRule>
    <cfRule type="expression" dxfId="2" priority="3">
      <formula>$F41="&lt;"</formula>
    </cfRule>
    <cfRule type="expression" dxfId="1" priority="4">
      <formula>$F41="&gt;"</formula>
    </cfRule>
  </conditionalFormatting>
  <conditionalFormatting sqref="H41:I46">
    <cfRule type="expression" dxfId="0" priority="1">
      <formula>AND($B41=15,$C41=3)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6F93-12BD-499C-BF96-9BD977C05805}">
  <sheetPr codeName="Sheet3"/>
  <dimension ref="B1:P32"/>
  <sheetViews>
    <sheetView showGridLines="0" workbookViewId="0">
      <selection activeCell="N22" sqref="N22"/>
    </sheetView>
  </sheetViews>
  <sheetFormatPr defaultColWidth="8.85546875" defaultRowHeight="14.45"/>
  <cols>
    <col min="1" max="1" width="5.7109375" style="39" customWidth="1"/>
    <col min="2" max="2" width="10" style="39" customWidth="1"/>
    <col min="3" max="6" width="8.85546875" style="39"/>
    <col min="7" max="8" width="4.28515625" style="39" customWidth="1"/>
    <col min="9" max="9" width="8.85546875" style="39"/>
    <col min="10" max="10" width="10.42578125" style="39" customWidth="1"/>
    <col min="11" max="11" width="9.28515625" style="39" customWidth="1"/>
    <col min="12" max="13" width="8.85546875" style="39"/>
    <col min="14" max="14" width="26.42578125" style="39" customWidth="1"/>
    <col min="15" max="16384" width="8.85546875" style="39"/>
  </cols>
  <sheetData>
    <row r="1" spans="7:16">
      <c r="H1" s="40"/>
      <c r="I1" s="40"/>
      <c r="J1" s="40"/>
      <c r="K1" s="40"/>
      <c r="L1" s="40"/>
      <c r="M1" s="40"/>
      <c r="N1" s="40"/>
      <c r="O1" s="40"/>
      <c r="P1" s="40"/>
    </row>
    <row r="2" spans="7:16">
      <c r="H2" s="40"/>
      <c r="I2" s="40"/>
      <c r="J2" s="40"/>
      <c r="K2" s="40"/>
      <c r="L2" s="40"/>
      <c r="M2" s="40"/>
      <c r="N2" s="40"/>
      <c r="O2" s="40"/>
      <c r="P2" s="40"/>
    </row>
    <row r="3" spans="7:16">
      <c r="G3" s="41"/>
      <c r="H3" s="42"/>
      <c r="I3" s="40"/>
      <c r="J3" s="40"/>
      <c r="K3" s="40"/>
      <c r="L3" s="40"/>
      <c r="M3" s="40"/>
      <c r="N3" s="40"/>
      <c r="O3" s="40"/>
      <c r="P3" s="40"/>
    </row>
    <row r="4" spans="7:16">
      <c r="G4" s="41"/>
      <c r="H4" s="42"/>
      <c r="I4" s="40"/>
      <c r="J4" s="40"/>
      <c r="K4" s="40"/>
      <c r="L4" s="40"/>
      <c r="M4" s="40"/>
      <c r="N4" s="40"/>
      <c r="O4" s="40"/>
      <c r="P4" s="40"/>
    </row>
    <row r="5" spans="7:16">
      <c r="G5" s="41"/>
      <c r="H5" s="42"/>
      <c r="I5" s="40"/>
      <c r="J5" s="40"/>
      <c r="K5" s="40"/>
      <c r="L5" s="40"/>
      <c r="M5" s="40"/>
      <c r="N5" s="40"/>
      <c r="O5" s="40"/>
      <c r="P5" s="40"/>
    </row>
    <row r="6" spans="7:16">
      <c r="G6" s="41"/>
      <c r="H6" s="42"/>
      <c r="I6" s="40" t="s">
        <v>70</v>
      </c>
      <c r="J6" s="40"/>
      <c r="K6" s="40"/>
      <c r="L6" s="40"/>
      <c r="M6" s="40"/>
      <c r="N6" s="40"/>
      <c r="O6" s="40"/>
      <c r="P6" s="40"/>
    </row>
    <row r="7" spans="7:16">
      <c r="G7" s="41"/>
      <c r="H7" s="42"/>
      <c r="I7" s="40" t="s">
        <v>71</v>
      </c>
      <c r="J7" s="40"/>
      <c r="K7" s="40"/>
      <c r="L7" s="40"/>
      <c r="M7" s="40"/>
      <c r="N7" s="40"/>
      <c r="O7" s="40"/>
      <c r="P7" s="40"/>
    </row>
    <row r="8" spans="7:16">
      <c r="G8" s="41"/>
      <c r="H8" s="42"/>
      <c r="I8" s="40"/>
      <c r="J8" s="40"/>
      <c r="K8" s="40"/>
      <c r="L8" s="40"/>
      <c r="M8" s="40"/>
      <c r="N8" s="40"/>
      <c r="O8" s="40"/>
      <c r="P8" s="40"/>
    </row>
    <row r="9" spans="7:16">
      <c r="G9" s="41"/>
      <c r="H9" s="42"/>
      <c r="I9" s="40"/>
      <c r="J9" s="40"/>
      <c r="K9" s="40"/>
      <c r="L9" s="40"/>
      <c r="M9" s="40"/>
      <c r="N9" s="40"/>
      <c r="O9" s="40"/>
      <c r="P9" s="40"/>
    </row>
    <row r="10" spans="7:16">
      <c r="G10" s="41"/>
      <c r="H10" s="42"/>
      <c r="I10" s="40" t="s">
        <v>72</v>
      </c>
      <c r="J10" s="40"/>
      <c r="K10" s="40"/>
      <c r="L10" s="40"/>
      <c r="M10" s="40"/>
      <c r="N10" s="40"/>
      <c r="O10" s="40"/>
      <c r="P10" s="40"/>
    </row>
    <row r="11" spans="7:16">
      <c r="G11" s="41"/>
      <c r="H11" s="42"/>
      <c r="I11" s="40"/>
      <c r="J11" s="40"/>
      <c r="K11" s="40"/>
      <c r="L11" s="40"/>
      <c r="M11" s="40"/>
      <c r="N11" s="40"/>
      <c r="O11" s="40"/>
      <c r="P11" s="40"/>
    </row>
    <row r="12" spans="7:16">
      <c r="G12" s="41"/>
      <c r="H12" s="42"/>
      <c r="I12" s="43"/>
      <c r="J12" s="69" t="s">
        <v>73</v>
      </c>
      <c r="K12" s="69"/>
      <c r="L12" s="68" t="s">
        <v>74</v>
      </c>
      <c r="M12" s="68"/>
      <c r="N12" s="40"/>
      <c r="O12" s="40"/>
      <c r="P12" s="40"/>
    </row>
    <row r="13" spans="7:16">
      <c r="G13" s="41"/>
      <c r="H13" s="42"/>
      <c r="I13" s="43"/>
      <c r="J13" s="69" t="s">
        <v>75</v>
      </c>
      <c r="K13" s="69"/>
      <c r="L13" s="56" t="s">
        <v>76</v>
      </c>
      <c r="M13" s="56"/>
      <c r="N13" s="40"/>
      <c r="O13" s="40"/>
      <c r="P13" s="40"/>
    </row>
    <row r="14" spans="7:16">
      <c r="G14" s="41"/>
      <c r="H14" s="42"/>
      <c r="I14" s="43"/>
      <c r="J14" s="69" t="s">
        <v>77</v>
      </c>
      <c r="K14" s="69"/>
      <c r="L14" s="56" t="s">
        <v>78</v>
      </c>
      <c r="M14" s="44"/>
      <c r="N14" s="40"/>
      <c r="O14" s="40"/>
      <c r="P14" s="40"/>
    </row>
    <row r="15" spans="7:16">
      <c r="G15" s="41"/>
      <c r="H15" s="42"/>
      <c r="I15" s="43"/>
      <c r="J15" s="69" t="s">
        <v>79</v>
      </c>
      <c r="K15" s="69"/>
      <c r="L15" s="56" t="s">
        <v>80</v>
      </c>
      <c r="M15" s="44"/>
      <c r="N15" s="40"/>
      <c r="O15" s="40"/>
      <c r="P15" s="40"/>
    </row>
    <row r="16" spans="7:16">
      <c r="G16" s="41"/>
      <c r="H16" s="42"/>
      <c r="I16" s="43"/>
      <c r="J16" s="69" t="s">
        <v>81</v>
      </c>
      <c r="K16" s="69"/>
      <c r="L16" s="56" t="s">
        <v>82</v>
      </c>
      <c r="M16" s="44"/>
      <c r="N16" s="40"/>
      <c r="O16" s="40"/>
      <c r="P16" s="40"/>
    </row>
    <row r="17" spans="2:16" ht="54.6" customHeight="1">
      <c r="B17" s="70" t="s">
        <v>83</v>
      </c>
      <c r="C17" s="70"/>
      <c r="D17" s="70"/>
      <c r="E17" s="70"/>
      <c r="F17" s="71"/>
      <c r="G17" s="45"/>
      <c r="H17" s="42"/>
      <c r="I17" s="40" t="s">
        <v>84</v>
      </c>
      <c r="J17" s="40"/>
      <c r="K17" s="40"/>
      <c r="L17" s="40"/>
      <c r="M17" s="40"/>
      <c r="N17" s="40"/>
      <c r="O17" s="40"/>
      <c r="P17" s="40"/>
    </row>
    <row r="18" spans="2:16" ht="54.6" customHeight="1">
      <c r="B18" s="72" t="s">
        <v>85</v>
      </c>
      <c r="C18" s="72"/>
      <c r="D18" s="72"/>
      <c r="E18" s="72"/>
      <c r="F18" s="73"/>
      <c r="G18" s="46"/>
      <c r="H18" s="42"/>
      <c r="I18" s="47" t="s">
        <v>86</v>
      </c>
      <c r="J18" s="40"/>
      <c r="K18" s="40"/>
      <c r="L18" s="40"/>
      <c r="M18" s="40"/>
      <c r="N18" s="40"/>
      <c r="O18" s="40"/>
      <c r="P18" s="40"/>
    </row>
    <row r="19" spans="2:16">
      <c r="B19" s="48" t="s">
        <v>87</v>
      </c>
      <c r="H19" s="40"/>
      <c r="J19" s="40"/>
      <c r="K19" s="40"/>
      <c r="L19" s="40"/>
      <c r="M19" s="40"/>
      <c r="N19" s="40"/>
      <c r="O19" s="40"/>
      <c r="P19" s="40"/>
    </row>
    <row r="20" spans="2:16">
      <c r="B20" s="49" t="s">
        <v>88</v>
      </c>
      <c r="C20" s="13" t="s">
        <v>89</v>
      </c>
      <c r="H20" s="40"/>
      <c r="J20" s="40"/>
      <c r="K20" s="40"/>
      <c r="L20" s="40"/>
      <c r="M20" s="40"/>
      <c r="N20" s="40"/>
      <c r="O20" s="40"/>
      <c r="P20" s="40"/>
    </row>
    <row r="21" spans="2:16">
      <c r="B21" s="50" t="s">
        <v>90</v>
      </c>
      <c r="C21" s="13" t="s">
        <v>91</v>
      </c>
      <c r="H21" s="40"/>
      <c r="I21" s="40"/>
      <c r="J21" s="40"/>
      <c r="K21" s="40"/>
      <c r="L21" s="40"/>
      <c r="M21" s="40"/>
      <c r="N21" s="40"/>
      <c r="O21" s="40"/>
      <c r="P21" s="40"/>
    </row>
    <row r="22" spans="2:16">
      <c r="H22" s="40"/>
      <c r="I22" s="40"/>
      <c r="J22" s="40"/>
      <c r="K22" s="40"/>
      <c r="L22" s="40"/>
      <c r="M22" s="40"/>
      <c r="N22" s="40"/>
      <c r="O22" s="40"/>
      <c r="P22" s="40"/>
    </row>
    <row r="23" spans="2:16">
      <c r="N23" s="40"/>
      <c r="O23" s="40"/>
      <c r="P23" s="40"/>
    </row>
    <row r="24" spans="2:16">
      <c r="N24" s="40"/>
      <c r="O24" s="40"/>
      <c r="P24" s="40"/>
    </row>
    <row r="25" spans="2:16">
      <c r="B25" s="74"/>
      <c r="C25" s="57"/>
      <c r="D25" s="57"/>
      <c r="E25" s="57"/>
      <c r="F25" s="57"/>
      <c r="G25" s="57"/>
      <c r="H25" s="57"/>
      <c r="I25" s="57"/>
      <c r="N25" s="40"/>
      <c r="O25" s="40"/>
      <c r="P25" s="40"/>
    </row>
    <row r="26" spans="2:16">
      <c r="B26" s="51"/>
      <c r="C26" s="52"/>
      <c r="D26" s="51"/>
      <c r="E26" s="51"/>
      <c r="F26" s="51"/>
      <c r="G26" s="51"/>
      <c r="H26" s="51"/>
      <c r="I26" s="51"/>
    </row>
    <row r="27" spans="2:16">
      <c r="B27" s="51"/>
      <c r="C27" s="51"/>
      <c r="D27" s="53" t="s">
        <v>92</v>
      </c>
      <c r="E27" s="51"/>
      <c r="F27" s="51"/>
      <c r="G27" s="51"/>
      <c r="H27" s="51"/>
      <c r="I27" s="51"/>
    </row>
    <row r="28" spans="2:16">
      <c r="B28" s="51"/>
      <c r="C28" s="51"/>
      <c r="D28" s="54" t="s">
        <v>93</v>
      </c>
      <c r="E28" s="51"/>
      <c r="F28" s="51"/>
      <c r="G28" s="51"/>
      <c r="H28" s="51"/>
      <c r="I28" s="51"/>
    </row>
    <row r="29" spans="2:16">
      <c r="B29" s="51"/>
      <c r="C29" s="51"/>
      <c r="D29" s="55" t="s">
        <v>94</v>
      </c>
      <c r="E29" s="51"/>
      <c r="F29" s="51"/>
      <c r="G29" s="51"/>
      <c r="H29" s="51"/>
      <c r="I29" s="51"/>
    </row>
    <row r="30" spans="2:16">
      <c r="B30" s="51"/>
      <c r="C30" s="51"/>
      <c r="D30" s="51"/>
      <c r="E30" s="51"/>
      <c r="F30" s="51"/>
      <c r="G30" s="51"/>
      <c r="H30" s="51"/>
      <c r="I30" s="51"/>
    </row>
    <row r="31" spans="2:16">
      <c r="B31" s="51"/>
      <c r="C31" s="51"/>
      <c r="D31" s="51"/>
      <c r="E31" s="51"/>
      <c r="F31" s="51"/>
      <c r="G31" s="51"/>
      <c r="H31" s="51"/>
      <c r="I31" s="51"/>
    </row>
    <row r="32" spans="2:16">
      <c r="B32" s="74"/>
      <c r="C32" s="57"/>
      <c r="D32" s="57"/>
      <c r="E32" s="57"/>
      <c r="F32" s="57"/>
      <c r="G32" s="57"/>
      <c r="H32" s="57"/>
      <c r="I32" s="57"/>
    </row>
  </sheetData>
  <mergeCells count="10">
    <mergeCell ref="B17:F17"/>
    <mergeCell ref="B18:F18"/>
    <mergeCell ref="B25:I25"/>
    <mergeCell ref="B32:I32"/>
    <mergeCell ref="J12:K12"/>
    <mergeCell ref="L12:M12"/>
    <mergeCell ref="J13:K13"/>
    <mergeCell ref="J14:K14"/>
    <mergeCell ref="J15:K15"/>
    <mergeCell ref="J16:K16"/>
  </mergeCells>
  <hyperlinks>
    <hyperlink ref="I18" r:id="rId1" xr:uid="{F54CCA68-39B1-47A7-BD41-A3AE6D362798}"/>
    <hyperlink ref="C21" r:id="rId2" xr:uid="{2EA86362-A050-4BC1-89BB-F03CFDF5DD58}"/>
    <hyperlink ref="C20" r:id="rId3" xr:uid="{985EA014-C160-40D5-9D83-D774EF7E9EB0}"/>
    <hyperlink ref="D29" r:id="rId4" xr:uid="{1A29CCF4-82FD-42F0-A25B-B7648FDFF732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77B5-BD6C-4E67-9424-C2EB850CC572}">
  <sheetPr codeName="Sheet2"/>
  <dimension ref="A1:O23"/>
  <sheetViews>
    <sheetView workbookViewId="0">
      <selection activeCell="N11" sqref="N11"/>
    </sheetView>
  </sheetViews>
  <sheetFormatPr defaultRowHeight="14.45"/>
  <cols>
    <col min="2" max="2" width="10.28515625" bestFit="1" customWidth="1"/>
    <col min="10" max="10" width="9.7109375" customWidth="1"/>
    <col min="15" max="15" width="40.7109375" bestFit="1" customWidth="1"/>
  </cols>
  <sheetData>
    <row r="1" spans="1:15">
      <c r="A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L1" t="s">
        <v>102</v>
      </c>
      <c r="M1" t="s">
        <v>103</v>
      </c>
    </row>
    <row r="2" spans="1:15">
      <c r="A2" t="s">
        <v>104</v>
      </c>
      <c r="B2">
        <v>1</v>
      </c>
      <c r="C2">
        <f>Case!I41</f>
        <v>16</v>
      </c>
      <c r="E2">
        <v>9762</v>
      </c>
      <c r="F2">
        <f t="shared" ref="F2:F7" si="0">C2*261</f>
        <v>4176</v>
      </c>
      <c r="G2" t="b">
        <f t="shared" ref="G2:G7" si="1">NOT(OR(C2="",C2=0))</f>
        <v>1</v>
      </c>
      <c r="H2" t="b">
        <f ca="1">AND(ISNUMBER(FIND("=",O2)),ISNUMBER(FIND("(",O2)))</f>
        <v>1</v>
      </c>
      <c r="I2" t="b">
        <f ca="1">IFERROR(LEN(O2)-LEN(SUBSTITUTE(O2,"COUNTIF",""))=7,FALSE)</f>
        <v>1</v>
      </c>
      <c r="J2" t="b">
        <f ca="1">AND(ISNUMBER(FIND(":C",O2)))</f>
        <v>1</v>
      </c>
      <c r="L2" t="b">
        <f ca="1">AND(ISNUMBER(FIND("COUNTIF",O2)),ISNUMBER(FIND("*",O2)))</f>
        <v>1</v>
      </c>
      <c r="M2" t="b">
        <f ca="1">IFERROR(LEN(O2)-LEN(SUBSTITUTE(O2,"(",""))&lt;=1,FALSE)</f>
        <v>1</v>
      </c>
      <c r="N2">
        <v>1</v>
      </c>
      <c r="O2" t="str">
        <f ca="1">_xlfn.FORMULATEXT(Case!I41)</f>
        <v>=COUNTIF(C41:C60;"* * * |*")</v>
      </c>
    </row>
    <row r="3" spans="1:15">
      <c r="B3">
        <v>2</v>
      </c>
      <c r="C3">
        <f>Case!I42</f>
        <v>10</v>
      </c>
      <c r="E3">
        <v>7842</v>
      </c>
      <c r="F3">
        <f t="shared" si="0"/>
        <v>2610</v>
      </c>
      <c r="G3" t="b">
        <f t="shared" si="1"/>
        <v>1</v>
      </c>
      <c r="H3" t="b">
        <f t="shared" ref="H3:H7" ca="1" si="2">AND(ISNUMBER(FIND("=",O3)),ISNUMBER(FIND("(",O3)))</f>
        <v>1</v>
      </c>
      <c r="I3" t="b">
        <f t="shared" ref="I3:I7" ca="1" si="3">IFERROR(LEN(O3)-LEN(SUBSTITUTE(O3,"COUNTIF",""))=7,FALSE)</f>
        <v>1</v>
      </c>
      <c r="J3" t="b">
        <f ca="1">AND(ISNUMBER(FIND(":D",O3)))</f>
        <v>1</v>
      </c>
      <c r="L3" t="b">
        <f ca="1">AND(ISNUMBER(FIND("COUNTIF",O3)),ISNUMBER(FIND("{",O3)))</f>
        <v>1</v>
      </c>
      <c r="M3" t="b">
        <f ca="1">IFERROR(LEN(O3)-LEN(SUBSTITUTE(O3,"(",""))&lt;=2,FALSE)</f>
        <v>1</v>
      </c>
      <c r="N3">
        <v>2</v>
      </c>
      <c r="O3" t="str">
        <f ca="1">_xlfn.FORMULATEXT(Case!I42)</f>
        <v>=SUM(COUNTIF(D41:D60;{"Bandung";"Jakarta"}))</v>
      </c>
    </row>
    <row r="4" spans="1:15">
      <c r="B4">
        <v>3</v>
      </c>
      <c r="C4">
        <f>Case!I43</f>
        <v>7</v>
      </c>
      <c r="E4">
        <v>3540</v>
      </c>
      <c r="F4">
        <f t="shared" si="0"/>
        <v>1827</v>
      </c>
      <c r="G4" t="b">
        <f t="shared" si="1"/>
        <v>1</v>
      </c>
      <c r="H4" t="b">
        <f t="shared" ca="1" si="2"/>
        <v>1</v>
      </c>
      <c r="I4" t="b">
        <f t="shared" ca="1" si="3"/>
        <v>1</v>
      </c>
      <c r="J4" t="b">
        <f ca="1">AND(ISNUMBER(FIND(":E",O4)))</f>
        <v>1</v>
      </c>
      <c r="L4" t="b">
        <f ca="1">AND(ISNUMBER(FIND("COUNTIF",O4)),ISNUMBER(FIND("=",O4)))</f>
        <v>1</v>
      </c>
      <c r="M4" t="b">
        <f ca="1">IFERROR(LEN(O4)-LEN(SUBSTITUTE(O4,"(",""))&lt;=1,FALSE)</f>
        <v>1</v>
      </c>
      <c r="N4">
        <v>3</v>
      </c>
      <c r="O4" t="str">
        <f ca="1">_xlfn.FORMULATEXT(Case!I43)</f>
        <v>=COUNTIF(E41:E60;"=&gt;3")</v>
      </c>
    </row>
    <row r="5" spans="1:15">
      <c r="B5">
        <v>4</v>
      </c>
      <c r="C5">
        <f>Case!I44</f>
        <v>8</v>
      </c>
      <c r="E5">
        <v>6434</v>
      </c>
      <c r="F5">
        <f t="shared" si="0"/>
        <v>2088</v>
      </c>
      <c r="G5" t="b">
        <f t="shared" si="1"/>
        <v>1</v>
      </c>
      <c r="H5" t="b">
        <f t="shared" ca="1" si="2"/>
        <v>1</v>
      </c>
      <c r="I5" t="b">
        <f t="shared" ca="1" si="3"/>
        <v>1</v>
      </c>
      <c r="J5" t="b">
        <f ca="1">AND(ISNUMBER(FIND(":C",O5)))</f>
        <v>1</v>
      </c>
      <c r="L5" t="b">
        <f ca="1">AND(ISNUMBER(FIND("COUNTIF",O5)),ISNUMBER(FIND("*",O5)))</f>
        <v>1</v>
      </c>
      <c r="M5" t="b">
        <f t="shared" ref="M5:M7" ca="1" si="4">IFERROR(LEN(O5)-LEN(SUBSTITUTE(O5,"(",""))&lt;=1,FALSE)</f>
        <v>1</v>
      </c>
      <c r="N5">
        <v>4</v>
      </c>
      <c r="O5" t="str">
        <f ca="1">_xlfn.FORMULATEXT(Case!I44)</f>
        <v>=COUNTIF(C41:C60;"*♂️")</v>
      </c>
    </row>
    <row r="6" spans="1:15">
      <c r="B6">
        <v>5</v>
      </c>
      <c r="C6">
        <f>Case!I45</f>
        <v>12</v>
      </c>
      <c r="E6">
        <v>1752</v>
      </c>
      <c r="F6">
        <f t="shared" si="0"/>
        <v>3132</v>
      </c>
      <c r="G6" t="b">
        <f t="shared" si="1"/>
        <v>1</v>
      </c>
      <c r="H6" t="b">
        <f t="shared" ca="1" si="2"/>
        <v>1</v>
      </c>
      <c r="I6" t="b">
        <f t="shared" ca="1" si="3"/>
        <v>1</v>
      </c>
      <c r="J6" t="b">
        <f ca="1">AND(ISNUMBER(FIND(":C",O6)))</f>
        <v>1</v>
      </c>
      <c r="L6" t="b">
        <f ca="1">AND(ISNUMBER(FIND("COUNTIF",O6)),ISNUMBER(FIND("*",O6)))</f>
        <v>1</v>
      </c>
      <c r="M6" t="b">
        <f t="shared" ca="1" si="4"/>
        <v>1</v>
      </c>
      <c r="N6">
        <v>5</v>
      </c>
      <c r="O6" t="str">
        <f ca="1">_xlfn.FORMULATEXT(Case!I45)</f>
        <v>=COUNTIF(C41:C60;"*♀️")</v>
      </c>
    </row>
    <row r="7" spans="1:15">
      <c r="B7">
        <v>6</v>
      </c>
      <c r="C7">
        <f>Case!I46</f>
        <v>6</v>
      </c>
      <c r="E7">
        <v>7907</v>
      </c>
      <c r="F7">
        <f t="shared" si="0"/>
        <v>1566</v>
      </c>
      <c r="G7" t="b">
        <f t="shared" si="1"/>
        <v>1</v>
      </c>
      <c r="H7" t="b">
        <f t="shared" ca="1" si="2"/>
        <v>1</v>
      </c>
      <c r="I7" t="b">
        <f t="shared" ca="1" si="3"/>
        <v>1</v>
      </c>
      <c r="J7" t="b">
        <f ca="1">AND(ISNUMBER(FIND(":F",O7)))</f>
        <v>1</v>
      </c>
      <c r="L7" t="b">
        <f ca="1">AND(ISNUMBER(FIND("COUNTIF",O7)),ISNUMBER(FIND("=",O7)))</f>
        <v>1</v>
      </c>
      <c r="M7" t="b">
        <f t="shared" ca="1" si="4"/>
        <v>1</v>
      </c>
      <c r="N7">
        <v>6</v>
      </c>
      <c r="O7" t="str">
        <f ca="1">_xlfn.FORMULATEXT(Case!I46)</f>
        <v>=COUNTIF(F41:F60;"=&gt;")</v>
      </c>
    </row>
    <row r="10" spans="1:15">
      <c r="D10" t="b">
        <v>1</v>
      </c>
      <c r="E10" t="b">
        <v>0</v>
      </c>
      <c r="F10" t="b">
        <v>0</v>
      </c>
      <c r="G10" t="b">
        <v>1</v>
      </c>
      <c r="H10" t="s">
        <v>99</v>
      </c>
    </row>
    <row r="11" spans="1:15">
      <c r="B11">
        <v>1</v>
      </c>
      <c r="D11" t="str">
        <f>LEFT(DEC2HEX(E2+ROW()),2)</f>
        <v>26</v>
      </c>
      <c r="E11" t="str">
        <f>RIGHT(DEC2HEX(E2+ROW()),2)</f>
        <v>2D</v>
      </c>
      <c r="F11" t="str">
        <f>IFERROR(DEC2HEX(E2),"EEE")</f>
        <v>2622</v>
      </c>
      <c r="G11" t="str">
        <f>IFERROR(DEC2HEX(F2),"EEE")</f>
        <v>1050</v>
      </c>
      <c r="H11" t="b">
        <f ca="1">AND(G2:J2)</f>
        <v>1</v>
      </c>
      <c r="I11" t="str">
        <f ca="1">IF(H11,G11,F11)</f>
        <v>1050</v>
      </c>
      <c r="J11" t="str">
        <f ca="1">IF(AND(L2,M2),D11,E11)</f>
        <v>26</v>
      </c>
      <c r="K11" t="str">
        <f ca="1">J11&amp;"-"&amp;I11&amp;";"</f>
        <v>26-1050;</v>
      </c>
    </row>
    <row r="12" spans="1:15">
      <c r="B12">
        <v>2</v>
      </c>
      <c r="D12" t="str">
        <f t="shared" ref="D12:D16" si="5">LEFT(DEC2HEX(E3+ROW()),2)</f>
        <v>1E</v>
      </c>
      <c r="E12" t="str">
        <f t="shared" ref="E12:E16" si="6">RIGHT(DEC2HEX(E3+ROW()),2)</f>
        <v>AE</v>
      </c>
      <c r="F12" t="str">
        <f>IFERROR(DEC2HEX(E3),"EEE")</f>
        <v>1EA2</v>
      </c>
      <c r="G12" t="str">
        <f t="shared" ref="G12:G16" si="7">IFERROR(DEC2HEX(F3),"EEE")</f>
        <v>A32</v>
      </c>
      <c r="H12" t="b">
        <f t="shared" ref="H12:H16" ca="1" si="8">AND(G3:J3)</f>
        <v>1</v>
      </c>
      <c r="I12" t="str">
        <f t="shared" ref="I12:I16" ca="1" si="9">IF(H12,G12,F12)</f>
        <v>A32</v>
      </c>
      <c r="J12" t="str">
        <f t="shared" ref="J12:J16" ca="1" si="10">IF(AND(L3,M3),D12,E12)</f>
        <v>1E</v>
      </c>
      <c r="K12" t="str">
        <f t="shared" ref="K12:K15" ca="1" si="11">J12&amp;"-"&amp;I12&amp;";"</f>
        <v>1E-A32;</v>
      </c>
    </row>
    <row r="13" spans="1:15">
      <c r="B13">
        <v>3</v>
      </c>
      <c r="D13" t="str">
        <f t="shared" si="5"/>
        <v>DE</v>
      </c>
      <c r="E13" t="str">
        <f t="shared" si="6"/>
        <v>E1</v>
      </c>
      <c r="F13" t="str">
        <f>IFERROR(DEC2HEX(E4),"EEE")</f>
        <v>DD4</v>
      </c>
      <c r="G13" t="str">
        <f t="shared" si="7"/>
        <v>723</v>
      </c>
      <c r="H13" t="b">
        <f t="shared" ca="1" si="8"/>
        <v>1</v>
      </c>
      <c r="I13" t="str">
        <f t="shared" ca="1" si="9"/>
        <v>723</v>
      </c>
      <c r="J13" t="str">
        <f t="shared" ca="1" si="10"/>
        <v>DE</v>
      </c>
      <c r="K13" t="str">
        <f t="shared" ca="1" si="11"/>
        <v>DE-723;</v>
      </c>
    </row>
    <row r="14" spans="1:15">
      <c r="B14">
        <v>4</v>
      </c>
      <c r="D14" t="str">
        <f t="shared" si="5"/>
        <v>19</v>
      </c>
      <c r="E14" t="str">
        <f t="shared" si="6"/>
        <v>30</v>
      </c>
      <c r="F14" t="str">
        <f>IFERROR(DEC2HEX(E5),"EEE")</f>
        <v>1922</v>
      </c>
      <c r="G14" t="str">
        <f t="shared" si="7"/>
        <v>828</v>
      </c>
      <c r="H14" t="b">
        <f t="shared" ca="1" si="8"/>
        <v>1</v>
      </c>
      <c r="I14" t="str">
        <f t="shared" ca="1" si="9"/>
        <v>828</v>
      </c>
      <c r="J14" t="str">
        <f t="shared" ca="1" si="10"/>
        <v>19</v>
      </c>
      <c r="K14" t="str">
        <f t="shared" ca="1" si="11"/>
        <v>19-828;</v>
      </c>
    </row>
    <row r="15" spans="1:15">
      <c r="B15">
        <v>5</v>
      </c>
      <c r="D15" t="str">
        <f t="shared" si="5"/>
        <v>6E</v>
      </c>
      <c r="E15" t="str">
        <f t="shared" si="6"/>
        <v>E7</v>
      </c>
      <c r="F15" t="str">
        <f>IFERROR(DEC2HEX(E6),"EEE")</f>
        <v>6D8</v>
      </c>
      <c r="G15" t="str">
        <f t="shared" si="7"/>
        <v>C3C</v>
      </c>
      <c r="H15" t="b">
        <f t="shared" ca="1" si="8"/>
        <v>1</v>
      </c>
      <c r="I15" t="str">
        <f t="shared" ca="1" si="9"/>
        <v>C3C</v>
      </c>
      <c r="J15" t="str">
        <f t="shared" ca="1" si="10"/>
        <v>6E</v>
      </c>
      <c r="K15" t="str">
        <f t="shared" ca="1" si="11"/>
        <v>6E-C3C;</v>
      </c>
    </row>
    <row r="16" spans="1:15">
      <c r="B16">
        <v>6</v>
      </c>
      <c r="D16" t="str">
        <f t="shared" si="5"/>
        <v>1E</v>
      </c>
      <c r="E16" t="str">
        <f t="shared" si="6"/>
        <v>F3</v>
      </c>
      <c r="F16" t="str">
        <f>IFERROR(DEC2HEX(E7),"EEE")</f>
        <v>1EE3</v>
      </c>
      <c r="G16" t="str">
        <f t="shared" si="7"/>
        <v>61E</v>
      </c>
      <c r="H16" t="b">
        <f t="shared" ca="1" si="8"/>
        <v>1</v>
      </c>
      <c r="I16" t="str">
        <f t="shared" ca="1" si="9"/>
        <v>61E</v>
      </c>
      <c r="J16" t="str">
        <f t="shared" ca="1" si="10"/>
        <v>1E</v>
      </c>
      <c r="K16" t="str">
        <f ca="1">J16&amp;"-"&amp;I16</f>
        <v>1E-61E</v>
      </c>
    </row>
    <row r="19" spans="3:4">
      <c r="C19" t="str">
        <f ca="1">A2&amp;"|"&amp;K11&amp;K12&amp;K13&amp;K14&amp;K15&amp;K16</f>
        <v>XB1|26-1050;1E-A32;DE-723;19-828;6E-C3C;1E-61E</v>
      </c>
    </row>
    <row r="21" spans="3:4">
      <c r="C21" t="s">
        <v>105</v>
      </c>
      <c r="D21" t="s">
        <v>106</v>
      </c>
    </row>
    <row r="23" spans="3:4">
      <c r="C23" t="str" cm="1">
        <f t="array" aca="1" ref="C23" ca="1">INDIRECT(C21&amp;D21)</f>
        <v>XB1|26-1050;1E-A32;DE-723;19-828;6E-C3C;1E-61E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2024-11-19T05:14:19Z</dcterms:created>
  <dcterms:modified xsi:type="dcterms:W3CDTF">2026-06-16T07:21:42Z</dcterms:modified>
  <cp:category/>
  <cp:contentStatus/>
</cp:coreProperties>
</file>