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new Format/"/>
    </mc:Choice>
  </mc:AlternateContent>
  <xr:revisionPtr revIDLastSave="405" documentId="8_{84896F27-45F4-4023-ABED-6EE71AFC8F98}" xr6:coauthVersionLast="47" xr6:coauthVersionMax="47" xr10:uidLastSave="{80DE472E-906E-4FBA-A900-143563A8D5DF}"/>
  <workbookProtection workbookAlgorithmName="SHA-512" workbookHashValue="yBxFGCgi7owMUBWh38aru/+VB12sFf2ZoJTL08x5+o1wb5PJM9f9ak2hFziF/bVN1Ss6EvRhBzXoxO4ttL2uig==" workbookSaltValue="FCjP+tz7VMFeGsYWNBBKYg==" workbookSpinCount="100000" lockStructure="1"/>
  <bookViews>
    <workbookView xWindow="28692" yWindow="-108" windowWidth="29016" windowHeight="15696" xr2:uid="{00000000-000D-0000-FFFF-FFFF00000000}"/>
  </bookViews>
  <sheets>
    <sheet name="XL-Test" sheetId="1" r:id="rId1"/>
    <sheet name="About" sheetId="4" r:id="rId2"/>
    <sheet name="DF" sheetId="2" state="veryHidden" r:id="rId3"/>
  </sheets>
  <definedNames>
    <definedName name="kode_jawaban">DF!$D$68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7" i="1" l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46" i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46" i="1"/>
  <c r="N46" i="1" s="1"/>
  <c r="K47" i="1" a="1"/>
  <c r="K47" i="1"/>
  <c r="K48" i="1" a="1"/>
  <c r="K48" i="1"/>
  <c r="K49" i="1" a="1"/>
  <c r="K49" i="1"/>
  <c r="K50" i="1" a="1"/>
  <c r="K50" i="1"/>
  <c r="K51" i="1" a="1"/>
  <c r="K51" i="1"/>
  <c r="K52" i="1" a="1"/>
  <c r="K52" i="1"/>
  <c r="K53" i="1" a="1"/>
  <c r="K53" i="1"/>
  <c r="K54" i="1" a="1"/>
  <c r="K54" i="1"/>
  <c r="K55" i="1" a="1"/>
  <c r="K55" i="1"/>
  <c r="K56" i="1" a="1"/>
  <c r="K56" i="1"/>
  <c r="K57" i="1" a="1"/>
  <c r="K57" i="1"/>
  <c r="K58" i="1" a="1"/>
  <c r="K58" i="1"/>
  <c r="K59" i="1" a="1"/>
  <c r="K59" i="1"/>
  <c r="K60" i="1" a="1"/>
  <c r="K60" i="1"/>
  <c r="K46" i="1" a="1"/>
  <c r="K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46" i="1"/>
  <c r="H62" i="1"/>
  <c r="H61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46" i="1"/>
  <c r="E47" i="1" a="1"/>
  <c r="E47" i="1"/>
  <c r="E48" i="1" a="1"/>
  <c r="E48" i="1"/>
  <c r="E49" i="1" a="1"/>
  <c r="E49" i="1"/>
  <c r="E50" i="1" a="1"/>
  <c r="E50" i="1"/>
  <c r="E51" i="1" a="1"/>
  <c r="E51" i="1"/>
  <c r="E52" i="1" a="1"/>
  <c r="E52" i="1"/>
  <c r="E53" i="1" a="1"/>
  <c r="E53" i="1"/>
  <c r="E54" i="1" a="1"/>
  <c r="E54" i="1"/>
  <c r="E55" i="1" a="1"/>
  <c r="E55" i="1"/>
  <c r="E56" i="1" a="1"/>
  <c r="E56" i="1"/>
  <c r="E57" i="1" a="1"/>
  <c r="E57" i="1"/>
  <c r="E58" i="1" a="1"/>
  <c r="E58" i="1"/>
  <c r="E59" i="1" a="1"/>
  <c r="E59" i="1"/>
  <c r="E60" i="1" a="1"/>
  <c r="E60" i="1"/>
  <c r="E46" i="1" a="1"/>
  <c r="E46" i="1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43" i="2"/>
  <c r="L2" i="2"/>
  <c r="K15" i="2"/>
  <c r="K14" i="2"/>
  <c r="K13" i="2"/>
  <c r="K12" i="2"/>
  <c r="K11" i="2"/>
  <c r="K9" i="2"/>
  <c r="K8" i="2"/>
  <c r="K7" i="2"/>
  <c r="K6" i="2"/>
  <c r="K5" i="2"/>
  <c r="K4" i="2"/>
  <c r="K3" i="2"/>
  <c r="K2" i="2"/>
  <c r="J15" i="2"/>
  <c r="J14" i="2"/>
  <c r="J13" i="2"/>
  <c r="J12" i="2"/>
  <c r="J11" i="2"/>
  <c r="J9" i="2"/>
  <c r="J8" i="2"/>
  <c r="J7" i="2"/>
  <c r="J6" i="2"/>
  <c r="J5" i="2"/>
  <c r="J4" i="2"/>
  <c r="J3" i="2"/>
  <c r="I2" i="2"/>
  <c r="H3" i="2"/>
  <c r="H4" i="2"/>
  <c r="H5" i="2"/>
  <c r="H6" i="2"/>
  <c r="H7" i="2"/>
  <c r="H8" i="2"/>
  <c r="H9" i="2"/>
  <c r="H11" i="2"/>
  <c r="H12" i="2"/>
  <c r="H13" i="2"/>
  <c r="H14" i="2"/>
  <c r="H15" i="2"/>
  <c r="F3" i="2"/>
  <c r="F4" i="2"/>
  <c r="F5" i="2"/>
  <c r="F6" i="2"/>
  <c r="F8" i="2"/>
  <c r="F9" i="2"/>
  <c r="F10" i="2"/>
  <c r="F11" i="2"/>
  <c r="F12" i="2"/>
  <c r="F13" i="2"/>
  <c r="F14" i="2"/>
  <c r="F15" i="2"/>
  <c r="E7" i="2"/>
  <c r="E3" i="2"/>
  <c r="E4" i="2"/>
  <c r="E5" i="2"/>
  <c r="E6" i="2"/>
  <c r="E8" i="2"/>
  <c r="E9" i="2"/>
  <c r="E10" i="2"/>
  <c r="E11" i="2"/>
  <c r="E12" i="2"/>
  <c r="E13" i="2"/>
  <c r="E14" i="2"/>
  <c r="E15" i="2"/>
  <c r="D3" i="2"/>
  <c r="D4" i="2"/>
  <c r="D5" i="2"/>
  <c r="D6" i="2"/>
  <c r="D7" i="2"/>
  <c r="D8" i="2"/>
  <c r="D10" i="2"/>
  <c r="D11" i="2"/>
  <c r="D12" i="2"/>
  <c r="D13" i="2"/>
  <c r="D14" i="2"/>
  <c r="D15" i="2"/>
  <c r="M2" i="2"/>
  <c r="M4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A3" i="2"/>
  <c r="G36" i="2"/>
  <c r="K36" i="2"/>
  <c r="AD2" i="2"/>
  <c r="AC2" i="2"/>
  <c r="U9" i="2"/>
  <c r="U8" i="2"/>
  <c r="U7" i="2"/>
  <c r="U6" i="2"/>
  <c r="U5" i="2"/>
  <c r="U4" i="2"/>
  <c r="U3" i="2"/>
  <c r="E25" i="2"/>
  <c r="F25" i="2"/>
  <c r="G25" i="2"/>
  <c r="H25" i="2"/>
  <c r="I25" i="2"/>
  <c r="J25" i="2"/>
  <c r="K25" i="2"/>
  <c r="L25" i="2"/>
  <c r="M25" i="2"/>
  <c r="D25" i="2"/>
  <c r="E24" i="2"/>
  <c r="F24" i="2"/>
  <c r="G24" i="2"/>
  <c r="H24" i="2"/>
  <c r="I24" i="2"/>
  <c r="J24" i="2"/>
  <c r="K24" i="2"/>
  <c r="L24" i="2"/>
  <c r="M24" i="2"/>
  <c r="D24" i="2"/>
  <c r="V2" i="2"/>
  <c r="E28" i="2" s="1"/>
  <c r="W2" i="2"/>
  <c r="F28" i="2" s="1"/>
  <c r="X2" i="2"/>
  <c r="G37" i="2" s="1"/>
  <c r="Y2" i="2"/>
  <c r="H28" i="2" s="1"/>
  <c r="Z2" i="2"/>
  <c r="AA2" i="2"/>
  <c r="J28" i="2" s="1"/>
  <c r="AB2" i="2"/>
  <c r="U2" i="2"/>
  <c r="D28" i="2" s="1"/>
  <c r="G2" i="2"/>
  <c r="N62" i="1" l="1"/>
  <c r="M3" i="2" s="1"/>
  <c r="M5" i="2" s="1"/>
  <c r="N61" i="1"/>
  <c r="L3" i="2" s="1"/>
  <c r="K60" i="2"/>
  <c r="J60" i="2"/>
  <c r="I60" i="2"/>
  <c r="H60" i="2"/>
  <c r="G60" i="2"/>
  <c r="F60" i="2"/>
  <c r="D60" i="2"/>
  <c r="E60" i="2"/>
  <c r="D2" i="2"/>
  <c r="K59" i="2"/>
  <c r="K63" i="2" s="1"/>
  <c r="K62" i="2" s="1"/>
  <c r="J59" i="2"/>
  <c r="J63" i="2" s="1"/>
  <c r="J62" i="2" s="1"/>
  <c r="I59" i="2"/>
  <c r="I63" i="2" s="1"/>
  <c r="I62" i="2" s="1"/>
  <c r="H59" i="2"/>
  <c r="H63" i="2" s="1"/>
  <c r="H62" i="2" s="1"/>
  <c r="G59" i="2"/>
  <c r="G63" i="2" s="1"/>
  <c r="G62" i="2" s="1"/>
  <c r="F59" i="2"/>
  <c r="F63" i="2" s="1"/>
  <c r="F62" i="2" s="1"/>
  <c r="E59" i="2"/>
  <c r="E63" i="2" s="1"/>
  <c r="E62" i="2" s="1"/>
  <c r="D59" i="2"/>
  <c r="D63" i="2" s="1"/>
  <c r="D62" i="2" s="1"/>
  <c r="D37" i="2"/>
  <c r="D30" i="2"/>
  <c r="D33" i="2"/>
  <c r="D35" i="2" s="1"/>
  <c r="D36" i="2" s="1"/>
  <c r="I18" i="2"/>
  <c r="M18" i="2"/>
  <c r="L18" i="2"/>
  <c r="G18" i="2"/>
  <c r="M37" i="2"/>
  <c r="M33" i="2"/>
  <c r="M35" i="2" s="1"/>
  <c r="M36" i="2" s="1"/>
  <c r="L37" i="2"/>
  <c r="L33" i="2"/>
  <c r="L35" i="2" s="1"/>
  <c r="L36" i="2" s="1"/>
  <c r="E37" i="2"/>
  <c r="E33" i="2"/>
  <c r="E35" i="2" s="1"/>
  <c r="E36" i="2" s="1"/>
  <c r="F37" i="2"/>
  <c r="F33" i="2"/>
  <c r="F35" i="2" s="1"/>
  <c r="F36" i="2" s="1"/>
  <c r="G39" i="2"/>
  <c r="G33" i="2"/>
  <c r="H37" i="2"/>
  <c r="H33" i="2"/>
  <c r="H35" i="2" s="1"/>
  <c r="H36" i="2" s="1"/>
  <c r="I37" i="2"/>
  <c r="I33" i="2"/>
  <c r="I35" i="2" s="1"/>
  <c r="I36" i="2" s="1"/>
  <c r="J37" i="2"/>
  <c r="J33" i="2"/>
  <c r="J35" i="2" s="1"/>
  <c r="J36" i="2" s="1"/>
  <c r="K37" i="2"/>
  <c r="K39" i="2" s="1"/>
  <c r="K33" i="2"/>
  <c r="M29" i="2"/>
  <c r="M31" i="2" s="1"/>
  <c r="L29" i="2"/>
  <c r="L31" i="2" s="1"/>
  <c r="E30" i="2"/>
  <c r="F30" i="2"/>
  <c r="G29" i="2"/>
  <c r="H30" i="2"/>
  <c r="I30" i="2"/>
  <c r="J30" i="2"/>
  <c r="K29" i="2"/>
  <c r="D29" i="2"/>
  <c r="I28" i="2"/>
  <c r="I29" i="2"/>
  <c r="J29" i="2"/>
  <c r="H29" i="2"/>
  <c r="E29" i="2"/>
  <c r="F29" i="2"/>
  <c r="K10" i="2"/>
  <c r="K16" i="2"/>
  <c r="J10" i="2"/>
  <c r="J16" i="2"/>
  <c r="J2" i="2"/>
  <c r="H10" i="2"/>
  <c r="H16" i="2"/>
  <c r="H2" i="2"/>
  <c r="F7" i="2"/>
  <c r="F16" i="2"/>
  <c r="F2" i="2"/>
  <c r="E16" i="2"/>
  <c r="E2" i="2"/>
  <c r="E18" i="2" s="1"/>
  <c r="D9" i="2"/>
  <c r="D16" i="2"/>
  <c r="D18" i="2" l="1"/>
  <c r="D31" i="2"/>
  <c r="D20" i="2" s="1"/>
  <c r="K31" i="2"/>
  <c r="J31" i="2"/>
  <c r="E31" i="2"/>
  <c r="E20" i="2" s="1"/>
  <c r="G31" i="2"/>
  <c r="G20" i="2" s="1"/>
  <c r="G66" i="2" s="1"/>
  <c r="I31" i="2"/>
  <c r="I20" i="2" s="1"/>
  <c r="H31" i="2"/>
  <c r="F31" i="2"/>
  <c r="L20" i="2"/>
  <c r="J18" i="2"/>
  <c r="H18" i="2"/>
  <c r="F18" i="2"/>
  <c r="M20" i="2"/>
  <c r="H39" i="2"/>
  <c r="K18" i="2"/>
  <c r="F39" i="2"/>
  <c r="M39" i="2"/>
  <c r="E39" i="2"/>
  <c r="L39" i="2"/>
  <c r="I39" i="2"/>
  <c r="J39" i="2"/>
  <c r="D39" i="2"/>
  <c r="K20" i="2" l="1"/>
  <c r="K66" i="2" s="1"/>
  <c r="L66" i="2"/>
  <c r="J20" i="2"/>
  <c r="J66" i="2" s="1"/>
  <c r="H20" i="2"/>
  <c r="H66" i="2" s="1"/>
  <c r="F20" i="2"/>
  <c r="F66" i="2" s="1"/>
  <c r="M66" i="2"/>
  <c r="I66" i="2"/>
  <c r="D66" i="2"/>
  <c r="E66" i="2"/>
  <c r="D68" i="2" l="1"/>
  <c r="F1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<sst xmlns="http://schemas.openxmlformats.org/spreadsheetml/2006/main" count="137" uniqueCount="104">
  <si>
    <t>KODE SOAL</t>
  </si>
  <si>
    <t>SBEX001</t>
  </si>
  <si>
    <t>KODE JAWABAN</t>
  </si>
  <si>
    <t>Intruksi</t>
  </si>
  <si>
    <r>
      <rPr>
        <b/>
        <sz val="12"/>
        <color rgb="FF00B050"/>
        <rFont val="Calibri"/>
        <family val="2"/>
        <scheme val="minor"/>
      </rPr>
      <t>Extreme Level</t>
    </r>
    <r>
      <rPr>
        <b/>
        <sz val="12"/>
        <color theme="1"/>
        <rFont val="Calibri"/>
        <family val="2"/>
        <scheme val="minor"/>
      </rPr>
      <t xml:space="preserve"> - Latihan Soal VLOOKUP dan HLOOKUP Extreme</t>
    </r>
  </si>
  <si>
    <t>Soal  :</t>
  </si>
  <si>
    <t>Gunakan Fungsi Excel (Function) untuk menyelsaikan kasus dibawah ini sesuai petunjuk soal, dan dilarang mengubah Table yang sudah ada</t>
  </si>
  <si>
    <r>
      <t xml:space="preserve">Isi </t>
    </r>
    <r>
      <rPr>
        <b/>
        <sz val="11"/>
        <color theme="1"/>
        <rFont val="Calibri"/>
        <family val="2"/>
        <scheme val="minor"/>
      </rPr>
      <t>Nama Pelanggan</t>
    </r>
    <r>
      <rPr>
        <sz val="11"/>
        <color theme="1"/>
        <rFont val="Calibri"/>
        <family val="2"/>
        <scheme val="minor"/>
      </rPr>
      <t xml:space="preserve"> berdasarkan </t>
    </r>
    <r>
      <rPr>
        <b/>
        <sz val="11"/>
        <color theme="1"/>
        <rFont val="Calibri"/>
        <family val="2"/>
        <scheme val="minor"/>
      </rPr>
      <t>Tabel Daftar Pelanggan</t>
    </r>
    <r>
      <rPr>
        <sz val="11"/>
        <color theme="1"/>
        <rFont val="Calibri"/>
        <family val="2"/>
        <scheme val="minor"/>
      </rPr>
      <t xml:space="preserve"> dengan fungsi </t>
    </r>
    <r>
      <rPr>
        <b/>
        <sz val="11"/>
        <color rgb="FF00B050"/>
        <rFont val="Calibri"/>
        <family val="2"/>
        <scheme val="minor"/>
      </rPr>
      <t>VLOOKUP</t>
    </r>
  </si>
  <si>
    <r>
      <t xml:space="preserve">Isi </t>
    </r>
    <r>
      <rPr>
        <b/>
        <sz val="11"/>
        <color theme="1"/>
        <rFont val="Calibri"/>
        <family val="2"/>
        <scheme val="minor"/>
      </rPr>
      <t>Nama Produk</t>
    </r>
    <r>
      <rPr>
        <sz val="11"/>
        <color theme="1"/>
        <rFont val="Calibri"/>
        <family val="2"/>
        <scheme val="minor"/>
      </rPr>
      <t xml:space="preserve"> berdasarkan </t>
    </r>
    <r>
      <rPr>
        <b/>
        <sz val="11"/>
        <color theme="1"/>
        <rFont val="Calibri"/>
        <family val="2"/>
        <scheme val="minor"/>
      </rPr>
      <t>Tabel Daftar Produk</t>
    </r>
    <r>
      <rPr>
        <sz val="11"/>
        <color theme="1"/>
        <rFont val="Calibri"/>
        <family val="2"/>
        <scheme val="minor"/>
      </rPr>
      <t xml:space="preserve"> Dengan fungsi </t>
    </r>
    <r>
      <rPr>
        <b/>
        <sz val="11"/>
        <color rgb="FF00B050"/>
        <rFont val="Calibri"/>
        <family val="2"/>
        <scheme val="minor"/>
      </rPr>
      <t>VLOOKUP</t>
    </r>
  </si>
  <si>
    <r>
      <t xml:space="preserve">Isi </t>
    </r>
    <r>
      <rPr>
        <b/>
        <sz val="11"/>
        <color theme="1"/>
        <rFont val="Calibri"/>
        <family val="2"/>
        <scheme val="minor"/>
      </rPr>
      <t>Harga Satuan</t>
    </r>
    <r>
      <rPr>
        <sz val="11"/>
        <color theme="1"/>
        <rFont val="Calibri"/>
        <family val="2"/>
        <scheme val="minor"/>
      </rPr>
      <t xml:space="preserve"> berdasarkan </t>
    </r>
    <r>
      <rPr>
        <b/>
        <sz val="11"/>
        <color theme="1"/>
        <rFont val="Calibri"/>
        <family val="2"/>
        <scheme val="minor"/>
      </rPr>
      <t>tabel Daftar Produk</t>
    </r>
    <r>
      <rPr>
        <sz val="11"/>
        <color theme="1"/>
        <rFont val="Calibri"/>
        <family val="2"/>
        <scheme val="minor"/>
      </rPr>
      <t xml:space="preserve"> Dengan fungsi </t>
    </r>
    <r>
      <rPr>
        <b/>
        <sz val="11"/>
        <color rgb="FF00B050"/>
        <rFont val="Calibri"/>
        <family val="2"/>
        <scheme val="minor"/>
      </rPr>
      <t>VLOOKUP</t>
    </r>
  </si>
  <si>
    <t>Total Penjualan adalah Qty dikali Harga Satuan</t>
  </si>
  <si>
    <r>
      <t xml:space="preserve">Isi Diskon berdasarkan table diskon dengan </t>
    </r>
    <r>
      <rPr>
        <b/>
        <sz val="11"/>
        <color rgb="FF00B050"/>
        <rFont val="Calibri"/>
        <family val="2"/>
        <scheme val="minor"/>
      </rPr>
      <t>HLOOKUP</t>
    </r>
    <r>
      <rPr>
        <sz val="11"/>
        <color theme="1"/>
        <rFont val="Calibri"/>
        <family val="2"/>
        <scheme val="minor"/>
      </rPr>
      <t xml:space="preserve"> dan dikali Total Penjualan</t>
    </r>
  </si>
  <si>
    <t xml:space="preserve">Isi Item Bonus, Jika QTY 0-10 Bonus "iPhone XR", jika QTY 11-15 Bonus "Samsung S20", </t>
  </si>
  <si>
    <r>
      <t xml:space="preserve">Jika Lebih dari 15 Bonus , "Mendoan", dan gunakan rumus </t>
    </r>
    <r>
      <rPr>
        <b/>
        <sz val="11"/>
        <color rgb="FF00B050"/>
        <rFont val="Calibri"/>
        <family val="2"/>
        <scheme val="minor"/>
      </rPr>
      <t>VLOOKUP</t>
    </r>
  </si>
  <si>
    <r>
      <t xml:space="preserve">Harga Bonus diambil dari Table Harga Bonus Gunakan </t>
    </r>
    <r>
      <rPr>
        <b/>
        <sz val="11"/>
        <color rgb="FF00B050"/>
        <rFont val="Calibri"/>
        <family val="2"/>
        <scheme val="minor"/>
      </rPr>
      <t>VLOOKUP</t>
    </r>
  </si>
  <si>
    <t>Penjualan Bersih adalah Total Penjualan dikurangi Diskon dikurangi Harga Bonus</t>
  </si>
  <si>
    <t>Totalkan semua Qty dan Penjualan Bersih</t>
  </si>
  <si>
    <t>Rata-Ratakan semua Qty dan Penjualan Bersih</t>
  </si>
  <si>
    <r>
      <rPr>
        <b/>
        <i/>
        <sz val="11"/>
        <color rgb="FF0070C0"/>
        <rFont val="Calibri"/>
        <family val="2"/>
        <scheme val="minor"/>
      </rPr>
      <t>Sudah selesai mengerjakan?</t>
    </r>
    <r>
      <rPr>
        <i/>
        <sz val="11"/>
        <color rgb="FF0070C0"/>
        <rFont val="Calibri"/>
        <family val="2"/>
        <scheme val="minor"/>
      </rPr>
      <t xml:space="preserve"> kirim </t>
    </r>
    <r>
      <rPr>
        <b/>
        <i/>
        <sz val="11"/>
        <color rgb="FF0070C0"/>
        <rFont val="Calibri"/>
        <family val="2"/>
        <scheme val="minor"/>
      </rPr>
      <t>Kode Soal</t>
    </r>
    <r>
      <rPr>
        <i/>
        <sz val="11"/>
        <color rgb="FF0070C0"/>
        <rFont val="Calibri"/>
        <family val="2"/>
        <scheme val="minor"/>
      </rPr>
      <t xml:space="preserve"> dan </t>
    </r>
    <r>
      <rPr>
        <b/>
        <i/>
        <sz val="11"/>
        <color rgb="FF0070C0"/>
        <rFont val="Calibri"/>
        <family val="2"/>
        <scheme val="minor"/>
      </rPr>
      <t>Kode Jawaban</t>
    </r>
    <r>
      <rPr>
        <i/>
        <sz val="11"/>
        <color rgb="FF0070C0"/>
        <rFont val="Calibri"/>
        <family val="2"/>
        <scheme val="minor"/>
      </rPr>
      <t xml:space="preserve"> diatas ke alamat :  </t>
    </r>
    <r>
      <rPr>
        <b/>
        <i/>
        <sz val="11"/>
        <color rgb="FF0070C0"/>
        <rFont val="Calibri"/>
        <family val="2"/>
        <scheme val="minor"/>
      </rPr>
      <t>https://belajarexcel.id/xl-test/jawaban</t>
    </r>
    <r>
      <rPr>
        <i/>
        <sz val="11"/>
        <color rgb="FF0070C0"/>
        <rFont val="Calibri"/>
        <family val="2"/>
        <scheme val="minor"/>
      </rPr>
      <t xml:space="preserve">  untuk mengecek hasilnya</t>
    </r>
  </si>
  <si>
    <t>atau klik tombol disamping</t>
  </si>
  <si>
    <t xml:space="preserve">DAFTAR PENJUALAN </t>
  </si>
  <si>
    <t>No</t>
  </si>
  <si>
    <t>Tanggal</t>
  </si>
  <si>
    <t>Kode Pelanggan</t>
  </si>
  <si>
    <t>Nama Pelanggan</t>
  </si>
  <si>
    <t>Kode Produk</t>
  </si>
  <si>
    <t>Nama Produk</t>
  </si>
  <si>
    <t>Qty</t>
  </si>
  <si>
    <t>Harga Satuan</t>
  </si>
  <si>
    <t>Total Penjualan</t>
  </si>
  <si>
    <t>Diskon</t>
  </si>
  <si>
    <t xml:space="preserve">Item Bonus </t>
  </si>
  <si>
    <t>Harga Bonus</t>
  </si>
  <si>
    <t>Penjualan Bersih</t>
  </si>
  <si>
    <t>P-002</t>
  </si>
  <si>
    <t>B003</t>
  </si>
  <si>
    <t>P-001</t>
  </si>
  <si>
    <t>B004</t>
  </si>
  <si>
    <t>P-003</t>
  </si>
  <si>
    <t>B002</t>
  </si>
  <si>
    <t>B005</t>
  </si>
  <si>
    <t>B001</t>
  </si>
  <si>
    <t>Total</t>
  </si>
  <si>
    <t>Rata-Rata</t>
  </si>
  <si>
    <t>Daftar Pelanggan</t>
  </si>
  <si>
    <t>Daftar Produk</t>
  </si>
  <si>
    <t>Total Diskon</t>
  </si>
  <si>
    <t>Kode</t>
  </si>
  <si>
    <t>QTY Min</t>
  </si>
  <si>
    <t>QTY Max</t>
  </si>
  <si>
    <t>Nama</t>
  </si>
  <si>
    <t>Toko Cemerlang</t>
  </si>
  <si>
    <t>Toko Bagus</t>
  </si>
  <si>
    <t>Toko Bahagia</t>
  </si>
  <si>
    <t>B001-Detergen</t>
  </si>
  <si>
    <t>B002-Sabun Cuci Piring</t>
  </si>
  <si>
    <t>B003-Pembersih Lantai</t>
  </si>
  <si>
    <t>dst</t>
  </si>
  <si>
    <t>Table Harga Bonus</t>
  </si>
  <si>
    <t>B004-Pewangi Pakaian</t>
  </si>
  <si>
    <t>Harga</t>
  </si>
  <si>
    <t>Item</t>
  </si>
  <si>
    <t>B005-Minyak Goreng</t>
  </si>
  <si>
    <t>iPhone XR</t>
  </si>
  <si>
    <t>Samsung S20</t>
  </si>
  <si>
    <t>Mendoan</t>
  </si>
  <si>
    <t>Dilarang mengubah Table atau Menambah Table Baru!!, Gunakan Table seperti yang sudah di sediakan soal, tidak ada kesalahan pada Table soal!!.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</si>
  <si>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</si>
  <si>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</si>
  <si>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</si>
  <si>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</si>
  <si>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</si>
  <si>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</si>
  <si>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</si>
  <si>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</si>
  <si>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</si>
  <si>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</si>
  <si>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</si>
  <si>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</si>
  <si>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</si>
  <si>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Saya adalah seorang Excel Holic yang percaya bahwa setiap angka memiliki cerita yang bisa ditemukan dengan cara yang tepat.</t>
  </si>
  <si>
    <t>Free Access</t>
  </si>
  <si>
    <t>“Excel bukan cuma soal kerjaan tapi juga hobi yang aku nikmati.”</t>
  </si>
  <si>
    <t>https://belajarexcel.id/xl-test/</t>
  </si>
  <si>
    <t>Contact :</t>
  </si>
  <si>
    <t>🌐 Web</t>
  </si>
  <si>
    <t>https://setiadi.me</t>
  </si>
  <si>
    <t>🪡threads</t>
  </si>
  <si>
    <t>https://www.threads.com/@andisetiadi</t>
  </si>
  <si>
    <t>Perlu Video Penjelasan atau Kunci Jawaban ?</t>
  </si>
  <si>
    <t>Scan barcode atau kunjungi</t>
  </si>
  <si>
    <t>https://lynk.id/setiadi/page/jawaban-xl-test</t>
  </si>
  <si>
    <t>DEC</t>
  </si>
  <si>
    <t>XA3</t>
  </si>
  <si>
    <t>Value</t>
  </si>
  <si>
    <t>***</t>
  </si>
  <si>
    <t>Valuu F</t>
  </si>
  <si>
    <t>Random</t>
  </si>
  <si>
    <t>Cek Wajib</t>
  </si>
  <si>
    <t>cek rumus</t>
  </si>
  <si>
    <t>**</t>
  </si>
  <si>
    <t>Cek Formula</t>
  </si>
  <si>
    <t>Array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</si>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</sst>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_-[$Rp-421]* #,##0_-;\-[$Rp-421]* #,##0_-;_-[$Rp-421]* &quot;-&quot;_-;_-@_-"/>
    <numFmt numFmtId="167" formatCode="#,##0;\(#,##0\);\-"/>
  </numFmts>
  <fonts count="3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6" tint="-0.249977111117893"/>
      <name val="Calibri"/>
      <family val="2"/>
      <scheme val="minor"/>
    </font>
    <font>
      <sz val="9"/>
      <color theme="6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1"/>
      <color rgb="FFED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ROBOTECH GP"/>
      <family val="2"/>
    </font>
    <font>
      <b/>
      <sz val="14"/>
      <color theme="0"/>
      <name val="Roboto"/>
    </font>
    <font>
      <b/>
      <sz val="18"/>
      <color theme="0"/>
      <name val="Roboto"/>
    </font>
    <font>
      <b/>
      <sz val="18"/>
      <color theme="0"/>
      <name val="ROBOTECH GP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2"/>
      <color theme="0"/>
      <name val="Roboto"/>
    </font>
    <font>
      <b/>
      <sz val="11"/>
      <color theme="3" tint="0.249977111117893"/>
      <name val="Calibri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Calibri"/>
      <family val="2"/>
      <scheme val="minor"/>
    </font>
    <font>
      <b/>
      <sz val="11"/>
      <color theme="0"/>
      <name val="ROBOTECH GP"/>
      <family val="2"/>
    </font>
    <font>
      <sz val="10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lightUp">
        <bgColor theme="0" tint="-0.14996795556505021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medium">
        <color rgb="FF00B05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rgb="FF00B050"/>
      </right>
      <top/>
      <bottom style="thin">
        <color theme="0"/>
      </bottom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/>
    <xf numFmtId="0" fontId="1" fillId="0" borderId="0" xfId="0" applyFont="1"/>
    <xf numFmtId="0" fontId="0" fillId="0" borderId="0" xfId="0" applyAlignment="1">
      <alignment horizontal="left" vertical="top" wrapText="1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16" fontId="0" fillId="5" borderId="6" xfId="0" applyNumberFormat="1" applyFill="1" applyBorder="1" applyAlignment="1">
      <alignment horizontal="center"/>
    </xf>
    <xf numFmtId="0" fontId="0" fillId="6" borderId="6" xfId="0" applyFill="1" applyBorder="1"/>
    <xf numFmtId="166" fontId="0" fillId="6" borderId="6" xfId="1" applyNumberFormat="1" applyFont="1" applyFill="1" applyBorder="1" applyAlignment="1"/>
    <xf numFmtId="166" fontId="0" fillId="6" borderId="6" xfId="0" applyNumberFormat="1" applyFill="1" applyBorder="1"/>
    <xf numFmtId="166" fontId="1" fillId="6" borderId="6" xfId="0" applyNumberFormat="1" applyFont="1" applyFill="1" applyBorder="1" applyAlignment="1">
      <alignment horizontal="center"/>
    </xf>
    <xf numFmtId="166" fontId="1" fillId="6" borderId="6" xfId="1" applyNumberFormat="1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4" borderId="6" xfId="0" applyFont="1" applyFill="1" applyBorder="1" applyAlignment="1">
      <alignment horizontal="right"/>
    </xf>
    <xf numFmtId="0" fontId="0" fillId="0" borderId="0" xfId="0" applyAlignment="1">
      <alignment horizontal="left" vertical="top"/>
    </xf>
    <xf numFmtId="0" fontId="13" fillId="0" borderId="0" xfId="0" applyFont="1"/>
    <xf numFmtId="2" fontId="1" fillId="6" borderId="6" xfId="0" applyNumberFormat="1" applyFont="1" applyFill="1" applyBorder="1" applyAlignment="1">
      <alignment horizontal="center"/>
    </xf>
    <xf numFmtId="2" fontId="1" fillId="6" borderId="6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167" fontId="16" fillId="9" borderId="0" xfId="0" applyNumberFormat="1" applyFont="1" applyFill="1" applyAlignment="1">
      <alignment horizontal="center" vertical="center"/>
    </xf>
    <xf numFmtId="0" fontId="15" fillId="8" borderId="0" xfId="0" applyFont="1" applyFill="1" applyAlignment="1">
      <alignment vertical="center"/>
    </xf>
    <xf numFmtId="167" fontId="16" fillId="9" borderId="7" xfId="0" applyNumberFormat="1" applyFont="1" applyFill="1" applyBorder="1" applyAlignment="1">
      <alignment horizontal="left" vertical="center"/>
    </xf>
    <xf numFmtId="167" fontId="17" fillId="9" borderId="0" xfId="0" applyNumberFormat="1" applyFont="1" applyFill="1" applyAlignment="1">
      <alignment horizontal="left" vertical="center"/>
    </xf>
    <xf numFmtId="0" fontId="19" fillId="10" borderId="11" xfId="0" applyFont="1" applyFill="1" applyBorder="1" applyAlignment="1">
      <alignment vertical="top" wrapText="1"/>
    </xf>
    <xf numFmtId="0" fontId="19" fillId="10" borderId="0" xfId="0" applyFont="1" applyFill="1" applyAlignment="1">
      <alignment vertical="top" wrapText="1"/>
    </xf>
    <xf numFmtId="0" fontId="19" fillId="10" borderId="12" xfId="0" applyFont="1" applyFill="1" applyBorder="1" applyAlignment="1">
      <alignment vertical="top" wrapText="1"/>
    </xf>
    <xf numFmtId="0" fontId="0" fillId="10" borderId="0" xfId="0" applyFill="1"/>
    <xf numFmtId="0" fontId="20" fillId="10" borderId="0" xfId="0" applyFont="1" applyFill="1" applyAlignment="1">
      <alignment horizontal="left" vertical="top"/>
    </xf>
    <xf numFmtId="0" fontId="19" fillId="10" borderId="5" xfId="0" applyFont="1" applyFill="1" applyBorder="1" applyAlignment="1">
      <alignment vertical="top" wrapText="1"/>
    </xf>
    <xf numFmtId="0" fontId="20" fillId="10" borderId="0" xfId="0" applyFont="1" applyFill="1" applyAlignment="1">
      <alignment vertical="top"/>
    </xf>
    <xf numFmtId="0" fontId="22" fillId="10" borderId="0" xfId="0" applyFont="1" applyFill="1" applyAlignment="1">
      <alignment horizontal="right"/>
    </xf>
    <xf numFmtId="0" fontId="23" fillId="10" borderId="0" xfId="0" applyFont="1" applyFill="1"/>
    <xf numFmtId="0" fontId="6" fillId="10" borderId="0" xfId="0" applyFont="1" applyFill="1"/>
    <xf numFmtId="0" fontId="7" fillId="10" borderId="0" xfId="0" applyFont="1" applyFill="1"/>
    <xf numFmtId="0" fontId="6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left" vertical="top"/>
    </xf>
    <xf numFmtId="0" fontId="0" fillId="10" borderId="0" xfId="0" applyFill="1" applyAlignment="1">
      <alignment vertical="center"/>
    </xf>
    <xf numFmtId="0" fontId="19" fillId="10" borderId="14" xfId="0" applyFont="1" applyFill="1" applyBorder="1" applyAlignment="1">
      <alignment vertical="top" wrapText="1"/>
    </xf>
    <xf numFmtId="0" fontId="19" fillId="10" borderId="9" xfId="0" applyFont="1" applyFill="1" applyBorder="1" applyAlignment="1">
      <alignment vertical="top" wrapText="1"/>
    </xf>
    <xf numFmtId="0" fontId="19" fillId="10" borderId="10" xfId="0" applyFont="1" applyFill="1" applyBorder="1" applyAlignment="1">
      <alignment vertical="top" wrapText="1"/>
    </xf>
    <xf numFmtId="0" fontId="1" fillId="4" borderId="16" xfId="0" applyFont="1" applyFill="1" applyBorder="1" applyAlignment="1">
      <alignment horizontal="center" vertical="center"/>
    </xf>
    <xf numFmtId="167" fontId="25" fillId="9" borderId="17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166" fontId="0" fillId="5" borderId="1" xfId="1" applyNumberFormat="1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" fillId="11" borderId="1" xfId="0" applyFont="1" applyFill="1" applyBorder="1" applyAlignment="1">
      <alignment horizontal="center" vertical="center" wrapText="1"/>
    </xf>
    <xf numFmtId="9" fontId="0" fillId="6" borderId="1" xfId="2" applyFont="1" applyFill="1" applyBorder="1" applyAlignment="1">
      <alignment horizontal="center"/>
    </xf>
    <xf numFmtId="0" fontId="2" fillId="0" borderId="0" xfId="4"/>
    <xf numFmtId="0" fontId="2" fillId="0" borderId="6" xfId="4" applyBorder="1"/>
    <xf numFmtId="0" fontId="2" fillId="0" borderId="24" xfId="4" applyBorder="1"/>
    <xf numFmtId="0" fontId="2" fillId="0" borderId="25" xfId="4" applyBorder="1"/>
    <xf numFmtId="0" fontId="26" fillId="0" borderId="6" xfId="4" applyFont="1" applyBorder="1"/>
    <xf numFmtId="0" fontId="12" fillId="0" borderId="6" xfId="4" applyFont="1" applyBorder="1" applyAlignment="1">
      <alignment horizontal="left"/>
    </xf>
    <xf numFmtId="0" fontId="12" fillId="0" borderId="6" xfId="4" applyFont="1" applyBorder="1"/>
    <xf numFmtId="0" fontId="27" fillId="0" borderId="24" xfId="0" applyFont="1" applyBorder="1" applyAlignment="1">
      <alignment horizontal="left" vertical="top" wrapText="1"/>
    </xf>
    <xf numFmtId="0" fontId="29" fillId="0" borderId="24" xfId="0" applyFont="1" applyBorder="1" applyAlignment="1">
      <alignment horizontal="left" vertical="top" wrapText="1"/>
    </xf>
    <xf numFmtId="0" fontId="9" fillId="0" borderId="6" xfId="5" applyBorder="1" applyAlignment="1">
      <alignment vertical="top"/>
    </xf>
    <xf numFmtId="0" fontId="1" fillId="0" borderId="0" xfId="4" applyFont="1"/>
    <xf numFmtId="0" fontId="30" fillId="0" borderId="0" xfId="4" applyFont="1"/>
    <xf numFmtId="0" fontId="9" fillId="0" borderId="0" xfId="3"/>
    <xf numFmtId="0" fontId="30" fillId="0" borderId="0" xfId="4" quotePrefix="1" applyFont="1"/>
    <xf numFmtId="0" fontId="0" fillId="9" borderId="0" xfId="0" applyFill="1"/>
    <xf numFmtId="0" fontId="24" fillId="9" borderId="0" xfId="0" applyFont="1" applyFill="1"/>
    <xf numFmtId="0" fontId="14" fillId="9" borderId="0" xfId="0" applyFont="1" applyFill="1"/>
    <xf numFmtId="0" fontId="32" fillId="9" borderId="0" xfId="0" applyFont="1" applyFill="1"/>
    <xf numFmtId="0" fontId="33" fillId="9" borderId="0" xfId="3" applyFont="1" applyFill="1"/>
    <xf numFmtId="0" fontId="0" fillId="0" borderId="0" xfId="0" applyFill="1"/>
    <xf numFmtId="0" fontId="0" fillId="5" borderId="6" xfId="0" applyFill="1" applyBorder="1" applyAlignment="1">
      <alignment horizontal="center"/>
    </xf>
    <xf numFmtId="0" fontId="11" fillId="0" borderId="6" xfId="4" applyFont="1" applyBorder="1" applyAlignment="1">
      <alignment horizontal="left"/>
    </xf>
    <xf numFmtId="0" fontId="15" fillId="8" borderId="0" xfId="0" applyFont="1" applyFill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 vertical="center"/>
    </xf>
    <xf numFmtId="0" fontId="18" fillId="8" borderId="1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1" fillId="11" borderId="2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3" fillId="7" borderId="0" xfId="0" applyFont="1" applyFill="1" applyAlignment="1">
      <alignment horizontal="center" vertical="center" wrapText="1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31" fillId="8" borderId="0" xfId="0" applyFont="1" applyFill="1" applyAlignment="1">
      <alignment horizontal="center" vertical="center"/>
    </xf>
    <xf numFmtId="0" fontId="31" fillId="8" borderId="11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top" wrapText="1"/>
    </xf>
    <xf numFmtId="0" fontId="27" fillId="0" borderId="15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15" xfId="0" applyFont="1" applyBorder="1" applyAlignment="1">
      <alignment horizontal="left" vertical="top" wrapText="1"/>
    </xf>
    <xf numFmtId="0" fontId="10" fillId="0" borderId="6" xfId="4" applyFont="1" applyBorder="1" applyAlignment="1">
      <alignment horizontal="left"/>
    </xf>
    <xf numFmtId="0" fontId="11" fillId="0" borderId="6" xfId="4" applyFont="1" applyBorder="1" applyAlignment="1">
      <alignment horizontal="left"/>
    </xf>
  </cellXfs>
  <cellStyles count="6">
    <cellStyle name="Comma" xfId="1" builtinId="3"/>
    <cellStyle name="Hyperlink" xfId="3" builtinId="8"/>
    <cellStyle name="Hyperlink 2" xfId="5" xr:uid="{52FC2609-59A4-4037-BA33-8E180D4F4901}"/>
    <cellStyle name="Normal" xfId="0" builtinId="0"/>
    <cellStyle name="Normal 2" xfId="4" xr:uid="{441D3032-846A-4B3D-9A32-33EE29204447}"/>
    <cellStyle name="Percent" xfId="2" builtinId="5"/>
  </cellStyles>
  <dxfs count="0"/>
  <tableStyles count="0" defaultTableStyle="TableStyleMedium2" defaultPivotStyle="PivotStyleMedium9"/>
  <colors>
    <mruColors>
      <color rgb="FFFCFDE9"/>
      <color rgb="FF5ECA5E"/>
      <color rgb="FFF8FA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belajarexcel.id/xl-test/jawaban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10</xdr:col>
      <xdr:colOff>586741</xdr:colOff>
      <xdr:row>15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3ADB4-E34A-4B4E-B01E-29EC1A905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0965180" cy="2741295"/>
        </a:xfrm>
        <a:prstGeom prst="rect">
          <a:avLst/>
        </a:prstGeom>
      </xdr:spPr>
    </xdr:pic>
    <xdr:clientData/>
  </xdr:twoCellAnchor>
  <xdr:twoCellAnchor editAs="oneCell">
    <xdr:from>
      <xdr:col>5</xdr:col>
      <xdr:colOff>365760</xdr:colOff>
      <xdr:row>12</xdr:row>
      <xdr:rowOff>76200</xdr:rowOff>
    </xdr:from>
    <xdr:to>
      <xdr:col>6</xdr:col>
      <xdr:colOff>1061720</xdr:colOff>
      <xdr:row>15</xdr:row>
      <xdr:rowOff>175260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BB82EA-97A7-4AD1-BCAE-F060811E2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2270760"/>
          <a:ext cx="1511300" cy="647700"/>
        </a:xfrm>
        <a:prstGeom prst="rect">
          <a:avLst/>
        </a:prstGeom>
      </xdr:spPr>
    </xdr:pic>
    <xdr:clientData/>
  </xdr:twoCellAnchor>
  <xdr:twoCellAnchor>
    <xdr:from>
      <xdr:col>3</xdr:col>
      <xdr:colOff>609600</xdr:colOff>
      <xdr:row>36</xdr:row>
      <xdr:rowOff>121920</xdr:rowOff>
    </xdr:from>
    <xdr:to>
      <xdr:col>4</xdr:col>
      <xdr:colOff>1158240</xdr:colOff>
      <xdr:row>38</xdr:row>
      <xdr:rowOff>76200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C9637A0-C05D-4922-8EDA-EA3291B32B09}"/>
            </a:ext>
          </a:extLst>
        </xdr:cNvPr>
        <xdr:cNvSpPr/>
      </xdr:nvSpPr>
      <xdr:spPr>
        <a:xfrm>
          <a:off x="2834640" y="7185660"/>
          <a:ext cx="1676400" cy="3505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oneCellAnchor>
    <xdr:from>
      <xdr:col>9</xdr:col>
      <xdr:colOff>487680</xdr:colOff>
      <xdr:row>0</xdr:row>
      <xdr:rowOff>91440</xdr:rowOff>
    </xdr:from>
    <xdr:ext cx="1198149" cy="28020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FF42BC-49E8-4F79-9031-5979F35F2CE5}"/>
            </a:ext>
          </a:extLst>
        </xdr:cNvPr>
        <xdr:cNvSpPr txBox="1"/>
      </xdr:nvSpPr>
      <xdr:spPr>
        <a:xfrm>
          <a:off x="9692640" y="91440"/>
          <a:ext cx="1198149" cy="280205"/>
        </a:xfrm>
        <a:prstGeom prst="rect">
          <a:avLst/>
        </a:prstGeom>
        <a:noFill/>
        <a:ln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200" b="1">
              <a:solidFill>
                <a:schemeClr val="bg1"/>
              </a:solidFill>
            </a:rPr>
            <a:t>EXTREME</a:t>
          </a:r>
          <a:r>
            <a:rPr lang="en-ID" sz="1200" b="1" baseline="0">
              <a:solidFill>
                <a:schemeClr val="bg1"/>
              </a:solidFill>
            </a:rPr>
            <a:t> LEVEL</a:t>
          </a:r>
          <a:endParaRPr lang="en-ID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10</xdr:col>
      <xdr:colOff>601981</xdr:colOff>
      <xdr:row>0</xdr:row>
      <xdr:rowOff>0</xdr:rowOff>
    </xdr:from>
    <xdr:to>
      <xdr:col>12</xdr:col>
      <xdr:colOff>2831</xdr:colOff>
      <xdr:row>15</xdr:row>
      <xdr:rowOff>15240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9E97222-FED2-43F0-89BC-2809836C5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80421" y="0"/>
          <a:ext cx="1770670" cy="2758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FD6ABFB8-9755-44D5-BCE7-4538BF3CB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twoCellAnchor editAs="oneCell">
    <xdr:from>
      <xdr:col>1</xdr:col>
      <xdr:colOff>388621</xdr:colOff>
      <xdr:row>0</xdr:row>
      <xdr:rowOff>99060</xdr:rowOff>
    </xdr:from>
    <xdr:to>
      <xdr:col>4</xdr:col>
      <xdr:colOff>167641</xdr:colOff>
      <xdr:row>14</xdr:row>
      <xdr:rowOff>162193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9EBF32-1EBD-451A-A244-C36F708C0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1" y="99060"/>
          <a:ext cx="1684020" cy="2623453"/>
        </a:xfrm>
        <a:prstGeom prst="rect">
          <a:avLst/>
        </a:prstGeom>
      </xdr:spPr>
    </xdr:pic>
    <xdr:clientData/>
  </xdr:two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5" name="Picture 4">
          <a:extLst>
            <a:ext uri="{FF2B5EF4-FFF2-40B4-BE49-F238E27FC236}">
              <a16:creationId xmlns:a16="http://schemas.microsoft.com/office/drawing/2014/main" id="{D450C605-5FE6-42E0-96A5-33D34C609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79"/>
  <sheetViews>
    <sheetView tabSelected="1" topLeftCell="B45" zoomScaleNormal="100" workbookViewId="0">
      <selection activeCell="L46" sqref="L46:L60"/>
    </sheetView>
  </sheetViews>
  <sheetFormatPr defaultRowHeight="14.45"/>
  <cols>
    <col min="1" max="1" width="7.28515625" customWidth="1"/>
    <col min="2" max="2" width="9.7109375" customWidth="1"/>
    <col min="3" max="3" width="15.5703125" customWidth="1"/>
    <col min="4" max="4" width="16.42578125" bestFit="1" customWidth="1"/>
    <col min="5" max="5" width="19.42578125" customWidth="1"/>
    <col min="6" max="6" width="11.85546875" bestFit="1" customWidth="1"/>
    <col min="7" max="7" width="22.7109375" customWidth="1"/>
    <col min="8" max="8" width="14.28515625" customWidth="1"/>
    <col min="9" max="9" width="16.85546875" customWidth="1"/>
    <col min="10" max="10" width="17.140625" customWidth="1"/>
    <col min="11" max="11" width="16.42578125" bestFit="1" customWidth="1"/>
    <col min="12" max="12" width="18.140625" customWidth="1"/>
    <col min="13" max="13" width="18.28515625" customWidth="1"/>
    <col min="14" max="14" width="18.7109375" customWidth="1"/>
    <col min="15" max="15" width="11.5703125" customWidth="1"/>
    <col min="16" max="16" width="15.42578125" bestFit="1" customWidth="1"/>
    <col min="17" max="17" width="12.28515625" bestFit="1" customWidth="1"/>
    <col min="18" max="18" width="12.140625" bestFit="1" customWidth="1"/>
  </cols>
  <sheetData>
    <row r="1" spans="10:12">
      <c r="J1" s="75"/>
      <c r="K1" s="75"/>
      <c r="L1" s="75"/>
    </row>
    <row r="2" spans="10:12">
      <c r="J2" s="75"/>
      <c r="K2" s="75"/>
      <c r="L2" s="75"/>
    </row>
    <row r="3" spans="10:12">
      <c r="J3" s="75"/>
      <c r="K3" s="75"/>
      <c r="L3" s="75"/>
    </row>
    <row r="4" spans="10:12">
      <c r="J4" s="75"/>
      <c r="K4" s="75"/>
      <c r="L4" s="75"/>
    </row>
    <row r="5" spans="10:12">
      <c r="J5" s="75"/>
      <c r="K5" s="75"/>
      <c r="L5" s="75"/>
    </row>
    <row r="6" spans="10:12">
      <c r="J6" s="75"/>
      <c r="K6" s="75"/>
      <c r="L6" s="75"/>
    </row>
    <row r="7" spans="10:12">
      <c r="J7" s="75"/>
      <c r="K7" s="75"/>
      <c r="L7" s="75"/>
    </row>
    <row r="8" spans="10:12">
      <c r="J8" s="75"/>
      <c r="K8" s="75"/>
      <c r="L8" s="75"/>
    </row>
    <row r="9" spans="10:12">
      <c r="J9" s="75"/>
      <c r="K9" s="75"/>
      <c r="L9" s="75"/>
    </row>
    <row r="10" spans="10:12">
      <c r="J10" s="75"/>
      <c r="K10" s="75"/>
      <c r="L10" s="75"/>
    </row>
    <row r="11" spans="10:12">
      <c r="J11" s="75"/>
      <c r="K11" s="75"/>
      <c r="L11" s="75"/>
    </row>
    <row r="12" spans="10:12">
      <c r="J12" s="75"/>
      <c r="K12" s="75"/>
      <c r="L12" s="75"/>
    </row>
    <row r="13" spans="10:12">
      <c r="J13" s="75"/>
      <c r="K13" s="75"/>
      <c r="L13" s="75"/>
    </row>
    <row r="14" spans="10:12">
      <c r="J14" s="75"/>
      <c r="K14" s="75"/>
      <c r="L14" s="75"/>
    </row>
    <row r="15" spans="10:12">
      <c r="J15" s="75"/>
      <c r="K15" s="75"/>
      <c r="L15" s="75"/>
    </row>
    <row r="17" spans="1:12" ht="23.45">
      <c r="A17" s="78" t="s">
        <v>0</v>
      </c>
      <c r="B17" s="78"/>
      <c r="C17" s="26" t="s">
        <v>1</v>
      </c>
      <c r="E17" s="27" t="s">
        <v>2</v>
      </c>
      <c r="F17" s="28" t="str">
        <f ca="1">kode_jawaban</f>
        <v>XA3|151-95F1;211-87F1;681-824C41;BC1-53DA041;801-FD3DB1;111-78C1;1D1-169541;1B1-4BBED21;261-3C514F1;121-19067C61</v>
      </c>
      <c r="G17" s="29"/>
      <c r="H17" s="29"/>
      <c r="I17" s="29"/>
      <c r="J17" s="29"/>
      <c r="K17" s="29"/>
      <c r="L17" s="29"/>
    </row>
    <row r="19" spans="1:12" ht="22.9">
      <c r="A19" s="79" t="s">
        <v>3</v>
      </c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1"/>
    </row>
    <row r="20" spans="1:12" ht="15.6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44"/>
      <c r="L20" s="32"/>
    </row>
    <row r="21" spans="1:12" ht="15.6">
      <c r="A21" s="33"/>
      <c r="B21" s="34" t="s">
        <v>4</v>
      </c>
      <c r="D21" s="33"/>
      <c r="E21" s="31"/>
      <c r="F21" s="31"/>
      <c r="G21" s="31"/>
      <c r="H21" s="31"/>
      <c r="I21" s="31"/>
      <c r="J21" s="31"/>
      <c r="K21" s="31"/>
      <c r="L21" s="35"/>
    </row>
    <row r="22" spans="1:12" ht="15.6">
      <c r="A22" s="33"/>
      <c r="B22" s="33"/>
      <c r="C22" s="36"/>
      <c r="E22" s="31"/>
      <c r="F22" s="31"/>
      <c r="G22" s="31"/>
      <c r="H22" s="31"/>
      <c r="I22" s="31"/>
      <c r="J22" s="31"/>
      <c r="K22" s="31"/>
      <c r="L22" s="35"/>
    </row>
    <row r="23" spans="1:12" ht="15.6">
      <c r="A23" s="33"/>
      <c r="B23" s="37" t="s">
        <v>5</v>
      </c>
      <c r="C23" s="38" t="s">
        <v>6</v>
      </c>
      <c r="D23" s="33"/>
      <c r="E23" s="33"/>
      <c r="F23" s="31"/>
      <c r="G23" s="33"/>
      <c r="H23" s="33"/>
      <c r="I23" s="31"/>
      <c r="J23" s="31"/>
      <c r="K23" s="31"/>
      <c r="L23" s="35"/>
    </row>
    <row r="24" spans="1:12" ht="15.6">
      <c r="A24" s="33"/>
      <c r="B24" s="41">
        <v>1</v>
      </c>
      <c r="C24" s="33" t="s">
        <v>7</v>
      </c>
      <c r="D24" s="33"/>
      <c r="E24" s="33"/>
      <c r="F24" s="31"/>
      <c r="G24" s="33"/>
      <c r="H24" s="33"/>
      <c r="I24" s="31"/>
      <c r="J24" s="31"/>
      <c r="K24" s="31"/>
      <c r="L24" s="35"/>
    </row>
    <row r="25" spans="1:12" ht="15.6">
      <c r="A25" s="33"/>
      <c r="B25" s="41">
        <v>2</v>
      </c>
      <c r="C25" s="33" t="s">
        <v>8</v>
      </c>
      <c r="D25" s="33"/>
      <c r="E25" s="33"/>
      <c r="F25" s="31"/>
      <c r="G25" s="33"/>
      <c r="H25" s="33"/>
      <c r="I25" s="31"/>
      <c r="J25" s="31"/>
      <c r="K25" s="31"/>
      <c r="L25" s="35"/>
    </row>
    <row r="26" spans="1:12" ht="15.6">
      <c r="A26" s="33"/>
      <c r="B26" s="41">
        <v>3</v>
      </c>
      <c r="C26" s="33" t="s">
        <v>9</v>
      </c>
      <c r="D26" s="33"/>
      <c r="E26" s="33"/>
      <c r="F26" s="31"/>
      <c r="G26" s="33"/>
      <c r="H26" s="33"/>
      <c r="I26" s="31"/>
      <c r="J26" s="31"/>
      <c r="K26" s="31"/>
      <c r="L26" s="35"/>
    </row>
    <row r="27" spans="1:12" ht="15.6">
      <c r="A27" s="33"/>
      <c r="B27" s="41">
        <v>4</v>
      </c>
      <c r="C27" s="33" t="s">
        <v>10</v>
      </c>
      <c r="D27" s="33"/>
      <c r="E27" s="33"/>
      <c r="F27" s="31"/>
      <c r="G27" s="33"/>
      <c r="H27" s="33"/>
      <c r="I27" s="31"/>
      <c r="J27" s="31"/>
      <c r="K27" s="31"/>
      <c r="L27" s="35"/>
    </row>
    <row r="28" spans="1:12" ht="15.6">
      <c r="A28" s="33"/>
      <c r="B28" s="41">
        <v>5</v>
      </c>
      <c r="C28" s="33" t="s">
        <v>11</v>
      </c>
      <c r="D28" s="33"/>
      <c r="E28" s="33"/>
      <c r="F28" s="31"/>
      <c r="G28" s="33"/>
      <c r="H28" s="33"/>
      <c r="I28" s="31"/>
      <c r="J28" s="31"/>
      <c r="K28" s="31"/>
      <c r="L28" s="35"/>
    </row>
    <row r="29" spans="1:12" ht="15.6">
      <c r="A29" s="33"/>
      <c r="B29" s="41">
        <v>6</v>
      </c>
      <c r="C29" s="42" t="s">
        <v>12</v>
      </c>
      <c r="D29" s="33"/>
      <c r="E29" s="33"/>
      <c r="F29" s="31"/>
      <c r="G29" s="33"/>
      <c r="H29" s="33"/>
      <c r="I29" s="31"/>
      <c r="J29" s="31"/>
      <c r="K29" s="31"/>
      <c r="L29" s="35"/>
    </row>
    <row r="30" spans="1:12" ht="15.6">
      <c r="A30" s="33"/>
      <c r="B30" s="39"/>
      <c r="C30" s="42" t="s">
        <v>13</v>
      </c>
      <c r="D30" s="33"/>
      <c r="E30" s="33"/>
      <c r="F30" s="31"/>
      <c r="G30" s="33"/>
      <c r="H30" s="33"/>
      <c r="I30" s="31"/>
      <c r="J30" s="31"/>
      <c r="K30" s="31"/>
      <c r="L30" s="35"/>
    </row>
    <row r="31" spans="1:12" ht="15.6">
      <c r="A31" s="33"/>
      <c r="B31" s="41">
        <v>7</v>
      </c>
      <c r="C31" s="43" t="s">
        <v>14</v>
      </c>
      <c r="D31" s="33"/>
      <c r="E31" s="33"/>
      <c r="F31" s="31"/>
      <c r="G31" s="33"/>
      <c r="H31" s="33"/>
      <c r="I31" s="31"/>
      <c r="J31" s="31"/>
      <c r="K31" s="31"/>
      <c r="L31" s="35"/>
    </row>
    <row r="32" spans="1:12" ht="15.6">
      <c r="A32" s="33"/>
      <c r="B32" s="41">
        <v>8</v>
      </c>
      <c r="C32" s="43" t="s">
        <v>15</v>
      </c>
      <c r="D32" s="33"/>
      <c r="E32" s="33"/>
      <c r="F32" s="31"/>
      <c r="G32" s="33"/>
      <c r="H32" s="33"/>
      <c r="I32" s="31"/>
      <c r="J32" s="31"/>
      <c r="K32" s="31"/>
      <c r="L32" s="35"/>
    </row>
    <row r="33" spans="1:14" ht="15.6">
      <c r="A33" s="33"/>
      <c r="B33" s="41">
        <v>9</v>
      </c>
      <c r="C33" s="33" t="s">
        <v>16</v>
      </c>
      <c r="D33" s="33"/>
      <c r="E33" s="33"/>
      <c r="F33" s="31"/>
      <c r="G33" s="33"/>
      <c r="H33" s="33"/>
      <c r="I33" s="31"/>
      <c r="J33" s="31"/>
      <c r="K33" s="31"/>
      <c r="L33" s="35"/>
    </row>
    <row r="34" spans="1:14" ht="15.6">
      <c r="A34" s="33"/>
      <c r="B34" s="41">
        <v>10</v>
      </c>
      <c r="C34" s="33" t="s">
        <v>17</v>
      </c>
      <c r="D34" s="33"/>
      <c r="E34" s="33"/>
      <c r="F34" s="31"/>
      <c r="G34" s="33"/>
      <c r="H34" s="33"/>
      <c r="I34" s="31"/>
      <c r="J34" s="31"/>
      <c r="K34" s="31"/>
      <c r="L34" s="35"/>
    </row>
    <row r="35" spans="1:14" ht="15.6">
      <c r="A35" s="33"/>
      <c r="B35" s="33"/>
      <c r="C35" s="33"/>
      <c r="D35" s="33"/>
      <c r="E35" s="33"/>
      <c r="F35" s="31"/>
      <c r="G35" s="33"/>
      <c r="H35" s="33"/>
      <c r="I35" s="31"/>
      <c r="J35" s="31"/>
      <c r="K35" s="31"/>
      <c r="L35" s="35"/>
    </row>
    <row r="36" spans="1:14" ht="15.6">
      <c r="A36" s="33"/>
      <c r="B36" s="33"/>
      <c r="C36" s="40" t="s">
        <v>18</v>
      </c>
      <c r="D36" s="33"/>
      <c r="E36" s="33"/>
      <c r="F36" s="31"/>
      <c r="G36" s="33"/>
      <c r="H36" s="33"/>
      <c r="I36" s="31"/>
      <c r="J36" s="31"/>
      <c r="K36" s="31"/>
      <c r="L36" s="35"/>
    </row>
    <row r="37" spans="1:14" ht="15.6">
      <c r="A37" s="33"/>
      <c r="B37" s="33"/>
      <c r="C37" s="40" t="s">
        <v>19</v>
      </c>
      <c r="D37" s="33"/>
      <c r="E37" s="31"/>
      <c r="F37" s="31"/>
      <c r="G37" s="33"/>
      <c r="H37" s="33"/>
      <c r="I37" s="31"/>
      <c r="J37" s="31"/>
      <c r="K37" s="31"/>
      <c r="L37" s="35"/>
    </row>
    <row r="38" spans="1:14" ht="15.6">
      <c r="A38" s="33"/>
      <c r="B38" s="33"/>
      <c r="C38" s="33"/>
      <c r="E38" s="31"/>
      <c r="F38" s="31"/>
      <c r="G38" s="33"/>
      <c r="H38" s="33"/>
      <c r="I38" s="31"/>
      <c r="J38" s="31"/>
      <c r="K38" s="31"/>
      <c r="L38" s="35"/>
    </row>
    <row r="39" spans="1:14" ht="15.6">
      <c r="A39" s="33"/>
      <c r="B39" s="33"/>
      <c r="C39" s="40"/>
      <c r="D39" s="31"/>
      <c r="E39" s="31"/>
      <c r="F39" s="31"/>
      <c r="G39" s="33"/>
      <c r="H39" s="33"/>
      <c r="I39" s="31"/>
      <c r="J39" s="31"/>
      <c r="K39" s="45"/>
      <c r="L39" s="46"/>
    </row>
    <row r="40" spans="1:14" ht="22.9">
      <c r="A40" s="82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4"/>
    </row>
    <row r="42" spans="1:14" ht="21" customHeight="1">
      <c r="A42" s="95" t="s">
        <v>20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</row>
    <row r="43" spans="1:14" ht="21.6" thickBot="1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4" ht="19.5" customHeight="1" thickBot="1">
      <c r="E44" s="48">
        <v>1</v>
      </c>
      <c r="G44" s="48">
        <v>2</v>
      </c>
      <c r="I44" s="48">
        <v>3</v>
      </c>
      <c r="J44" s="48">
        <v>4</v>
      </c>
      <c r="K44" s="48">
        <v>5</v>
      </c>
      <c r="L44" s="48">
        <v>6</v>
      </c>
      <c r="M44" s="48">
        <v>7</v>
      </c>
      <c r="N44" s="48">
        <v>8</v>
      </c>
    </row>
    <row r="45" spans="1:14" s="1" customFormat="1" ht="31.15" customHeight="1">
      <c r="A45" s="92" t="s">
        <v>21</v>
      </c>
      <c r="B45" s="93"/>
      <c r="C45" s="47" t="s">
        <v>22</v>
      </c>
      <c r="D45" s="12" t="s">
        <v>23</v>
      </c>
      <c r="E45" s="11" t="s">
        <v>24</v>
      </c>
      <c r="F45" s="12" t="s">
        <v>25</v>
      </c>
      <c r="G45" s="11" t="s">
        <v>26</v>
      </c>
      <c r="H45" s="11" t="s">
        <v>27</v>
      </c>
      <c r="I45" s="12" t="s">
        <v>28</v>
      </c>
      <c r="J45" s="12" t="s">
        <v>29</v>
      </c>
      <c r="K45" s="11" t="s">
        <v>30</v>
      </c>
      <c r="L45" s="11" t="s">
        <v>31</v>
      </c>
      <c r="M45" s="12" t="s">
        <v>32</v>
      </c>
      <c r="N45" s="12" t="s">
        <v>33</v>
      </c>
    </row>
    <row r="46" spans="1:14" ht="19.899999999999999" customHeight="1">
      <c r="A46" s="94">
        <v>1</v>
      </c>
      <c r="B46" s="94"/>
      <c r="C46" s="13">
        <v>45139</v>
      </c>
      <c r="D46" s="76" t="s">
        <v>34</v>
      </c>
      <c r="E46" s="14" t="str" cm="1">
        <f t="array" ref="E46">VLOOKUP(D46,TRANSPOSE($B$67:$E$68),2,0)</f>
        <v>Toko Bagus</v>
      </c>
      <c r="F46" s="76" t="s">
        <v>35</v>
      </c>
      <c r="G46" s="14" t="str">
        <f>MID(VLOOKUP("*"&amp;F46&amp;"*",$G$68:$I$72,1,FALSE),6,100)</f>
        <v>Pembersih Lantai</v>
      </c>
      <c r="H46" s="76">
        <v>2</v>
      </c>
      <c r="I46" s="15">
        <f>VLOOKUP("*"&amp;F46&amp;"*",$G$68:$I$72,3,FALSE)</f>
        <v>30200</v>
      </c>
      <c r="J46" s="15">
        <f>SUMPRODUCT(H46,I46)</f>
        <v>60400</v>
      </c>
      <c r="K46" s="16" cm="1">
        <f t="array" ref="K46">HLOOKUP(H46,TRANSPOSE($K$67:$M$70),3,TRUE)*J46</f>
        <v>3020</v>
      </c>
      <c r="L46" s="16" t="str">
        <f>VLOOKUP(H46,{0,"iPhone XR";11,"Samsung S20";16,"Mendoan"},2,1)</f>
        <v>iPhone XR</v>
      </c>
      <c r="M46" s="15">
        <f>VLOOKUP(L46,IF({1,0},$E$73:$E$75,$D$73:$D$75),2,0)</f>
        <v>4500</v>
      </c>
      <c r="N46" s="15">
        <f>J46-K46-M46</f>
        <v>52880</v>
      </c>
    </row>
    <row r="47" spans="1:14" ht="19.899999999999999" customHeight="1">
      <c r="A47" s="94">
        <v>2</v>
      </c>
      <c r="B47" s="94"/>
      <c r="C47" s="13">
        <v>45139</v>
      </c>
      <c r="D47" s="76" t="s">
        <v>36</v>
      </c>
      <c r="E47" s="14" t="str" cm="1">
        <f t="array" ref="E47">VLOOKUP(D47,TRANSPOSE($B$67:$E$68),2,0)</f>
        <v>Toko Cemerlang</v>
      </c>
      <c r="F47" s="76" t="s">
        <v>37</v>
      </c>
      <c r="G47" s="14" t="str">
        <f t="shared" ref="G47:G60" si="0">MID(VLOOKUP("*"&amp;F47&amp;"*",$G$68:$I$72,1,FALSE),6,100)</f>
        <v>Pewangi Pakaian</v>
      </c>
      <c r="H47" s="76">
        <v>7</v>
      </c>
      <c r="I47" s="15">
        <f t="shared" ref="I47:I60" si="1">VLOOKUP("*"&amp;F47&amp;"*",$G$68:$I$72,3,FALSE)</f>
        <v>32500</v>
      </c>
      <c r="J47" s="15">
        <f t="shared" ref="J47:J60" si="2">SUMPRODUCT(H47,I47)</f>
        <v>227500</v>
      </c>
      <c r="K47" s="16" cm="1">
        <f t="array" ref="K47">HLOOKUP(H47,TRANSPOSE($K$67:$M$70),3,TRUE)*J47</f>
        <v>11375</v>
      </c>
      <c r="L47" s="16" t="str">
        <f>VLOOKUP(H47,{0,"iPhone XR";11,"Samsung S20";16,"Mendoan"},2,1)</f>
        <v>iPhone XR</v>
      </c>
      <c r="M47" s="15">
        <f>VLOOKUP(L47,IF({1,0},$E$73:$E$75,$D$73:$D$75),2,0)</f>
        <v>4500</v>
      </c>
      <c r="N47" s="15">
        <f t="shared" ref="N47:N60" si="3">J47-K47-M47</f>
        <v>211625</v>
      </c>
    </row>
    <row r="48" spans="1:14" ht="19.899999999999999" customHeight="1">
      <c r="A48" s="94">
        <v>3</v>
      </c>
      <c r="B48" s="94"/>
      <c r="C48" s="13">
        <v>45140</v>
      </c>
      <c r="D48" s="76" t="s">
        <v>38</v>
      </c>
      <c r="E48" s="14" t="str" cm="1">
        <f t="array" ref="E48">VLOOKUP(D48,TRANSPOSE($B$67:$E$68),2,0)</f>
        <v>Toko Bahagia</v>
      </c>
      <c r="F48" s="76" t="s">
        <v>39</v>
      </c>
      <c r="G48" s="14" t="str">
        <f t="shared" si="0"/>
        <v>Sabun Cuci Piring</v>
      </c>
      <c r="H48" s="76">
        <v>17</v>
      </c>
      <c r="I48" s="15">
        <f t="shared" si="1"/>
        <v>19900</v>
      </c>
      <c r="J48" s="15">
        <f t="shared" si="2"/>
        <v>338300</v>
      </c>
      <c r="K48" s="16" cm="1">
        <f t="array" ref="K48">HLOOKUP(H48,TRANSPOSE($K$67:$M$70),3,TRUE)*J48</f>
        <v>84575</v>
      </c>
      <c r="L48" s="16" t="str">
        <f>VLOOKUP(H48,{0,"iPhone XR";11,"Samsung S20";16,"Mendoan"},2,1)</f>
        <v>Mendoan</v>
      </c>
      <c r="M48" s="15">
        <f>VLOOKUP(L48,IF({1,0},$E$73:$E$75,$D$73:$D$75),2,0)</f>
        <v>7500</v>
      </c>
      <c r="N48" s="15">
        <f t="shared" si="3"/>
        <v>246225</v>
      </c>
    </row>
    <row r="49" spans="1:14" ht="19.899999999999999" customHeight="1">
      <c r="A49" s="94">
        <v>4</v>
      </c>
      <c r="B49" s="94"/>
      <c r="C49" s="13">
        <v>45140</v>
      </c>
      <c r="D49" s="76" t="s">
        <v>34</v>
      </c>
      <c r="E49" s="14" t="str" cm="1">
        <f t="array" ref="E49">VLOOKUP(D49,TRANSPOSE($B$67:$E$68),2,0)</f>
        <v>Toko Bagus</v>
      </c>
      <c r="F49" s="76" t="s">
        <v>35</v>
      </c>
      <c r="G49" s="14" t="str">
        <f t="shared" si="0"/>
        <v>Pembersih Lantai</v>
      </c>
      <c r="H49" s="76">
        <v>9</v>
      </c>
      <c r="I49" s="15">
        <f t="shared" si="1"/>
        <v>30200</v>
      </c>
      <c r="J49" s="15">
        <f t="shared" si="2"/>
        <v>271800</v>
      </c>
      <c r="K49" s="16" cm="1">
        <f t="array" ref="K49">HLOOKUP(H49,TRANSPOSE($K$67:$M$70),3,TRUE)*J49</f>
        <v>13590</v>
      </c>
      <c r="L49" s="16" t="str">
        <f>VLOOKUP(H49,{0,"iPhone XR";11,"Samsung S20";16,"Mendoan"},2,1)</f>
        <v>iPhone XR</v>
      </c>
      <c r="M49" s="15">
        <f>VLOOKUP(L49,IF({1,0},$E$73:$E$75,$D$73:$D$75),2,0)</f>
        <v>4500</v>
      </c>
      <c r="N49" s="15">
        <f t="shared" si="3"/>
        <v>253710</v>
      </c>
    </row>
    <row r="50" spans="1:14" ht="19.899999999999999" customHeight="1">
      <c r="A50" s="94">
        <v>5</v>
      </c>
      <c r="B50" s="94"/>
      <c r="C50" s="13">
        <v>45141</v>
      </c>
      <c r="D50" s="76" t="s">
        <v>36</v>
      </c>
      <c r="E50" s="14" t="str" cm="1">
        <f t="array" ref="E50">VLOOKUP(D50,TRANSPOSE($B$67:$E$68),2,0)</f>
        <v>Toko Cemerlang</v>
      </c>
      <c r="F50" s="76" t="s">
        <v>35</v>
      </c>
      <c r="G50" s="14" t="str">
        <f t="shared" si="0"/>
        <v>Pembersih Lantai</v>
      </c>
      <c r="H50" s="76">
        <v>14</v>
      </c>
      <c r="I50" s="15">
        <f t="shared" si="1"/>
        <v>30200</v>
      </c>
      <c r="J50" s="15">
        <f t="shared" si="2"/>
        <v>422800</v>
      </c>
      <c r="K50" s="16" cm="1">
        <f t="array" ref="K50">HLOOKUP(H50,TRANSPOSE($K$67:$M$70),3,TRUE)*J50</f>
        <v>42280</v>
      </c>
      <c r="L50" s="16" t="str">
        <f>VLOOKUP(H50,{0,"iPhone XR";11,"Samsung S20";16,"Mendoan"},2,1)</f>
        <v>Samsung S20</v>
      </c>
      <c r="M50" s="15">
        <f>VLOOKUP(L50,IF({1,0},$E$73:$E$75,$D$73:$D$75),2,0)</f>
        <v>3500</v>
      </c>
      <c r="N50" s="15">
        <f t="shared" si="3"/>
        <v>377020</v>
      </c>
    </row>
    <row r="51" spans="1:14" ht="19.899999999999999" customHeight="1">
      <c r="A51" s="94">
        <v>6</v>
      </c>
      <c r="B51" s="94"/>
      <c r="C51" s="13">
        <v>45142</v>
      </c>
      <c r="D51" s="76" t="s">
        <v>34</v>
      </c>
      <c r="E51" s="14" t="str" cm="1">
        <f t="array" ref="E51">VLOOKUP(D51,TRANSPOSE($B$67:$E$68),2,0)</f>
        <v>Toko Bagus</v>
      </c>
      <c r="F51" s="76" t="s">
        <v>39</v>
      </c>
      <c r="G51" s="14" t="str">
        <f t="shared" si="0"/>
        <v>Sabun Cuci Piring</v>
      </c>
      <c r="H51" s="76">
        <v>7</v>
      </c>
      <c r="I51" s="15">
        <f t="shared" si="1"/>
        <v>19900</v>
      </c>
      <c r="J51" s="15">
        <f t="shared" si="2"/>
        <v>139300</v>
      </c>
      <c r="K51" s="16" cm="1">
        <f t="array" ref="K51">HLOOKUP(H51,TRANSPOSE($K$67:$M$70),3,TRUE)*J51</f>
        <v>6965</v>
      </c>
      <c r="L51" s="16" t="str">
        <f>VLOOKUP(H51,{0,"iPhone XR";11,"Samsung S20";16,"Mendoan"},2,1)</f>
        <v>iPhone XR</v>
      </c>
      <c r="M51" s="15">
        <f>VLOOKUP(L51,IF({1,0},$E$73:$E$75,$D$73:$D$75),2,0)</f>
        <v>4500</v>
      </c>
      <c r="N51" s="15">
        <f t="shared" si="3"/>
        <v>127835</v>
      </c>
    </row>
    <row r="52" spans="1:14" ht="19.899999999999999" customHeight="1">
      <c r="A52" s="94">
        <v>7</v>
      </c>
      <c r="B52" s="94"/>
      <c r="C52" s="13">
        <v>45143</v>
      </c>
      <c r="D52" s="76" t="s">
        <v>36</v>
      </c>
      <c r="E52" s="14" t="str" cm="1">
        <f t="array" ref="E52">VLOOKUP(D52,TRANSPOSE($B$67:$E$68),2,0)</f>
        <v>Toko Cemerlang</v>
      </c>
      <c r="F52" s="76" t="s">
        <v>40</v>
      </c>
      <c r="G52" s="14" t="str">
        <f t="shared" si="0"/>
        <v>Minyak Goreng</v>
      </c>
      <c r="H52" s="76">
        <v>10</v>
      </c>
      <c r="I52" s="15">
        <f t="shared" si="1"/>
        <v>23600</v>
      </c>
      <c r="J52" s="15">
        <f t="shared" si="2"/>
        <v>236000</v>
      </c>
      <c r="K52" s="16" cm="1">
        <f t="array" ref="K52">HLOOKUP(H52,TRANSPOSE($K$67:$M$70),3,TRUE)*J52</f>
        <v>11800</v>
      </c>
      <c r="L52" s="16" t="str">
        <f>VLOOKUP(H52,{0,"iPhone XR";11,"Samsung S20";16,"Mendoan"},2,1)</f>
        <v>iPhone XR</v>
      </c>
      <c r="M52" s="15">
        <f>VLOOKUP(L52,IF({1,0},$E$73:$E$75,$D$73:$D$75),2,0)</f>
        <v>4500</v>
      </c>
      <c r="N52" s="15">
        <f t="shared" si="3"/>
        <v>219700</v>
      </c>
    </row>
    <row r="53" spans="1:14" ht="19.899999999999999" customHeight="1">
      <c r="A53" s="94">
        <v>8</v>
      </c>
      <c r="B53" s="94"/>
      <c r="C53" s="13">
        <v>45144</v>
      </c>
      <c r="D53" s="76" t="s">
        <v>34</v>
      </c>
      <c r="E53" s="14" t="str" cm="1">
        <f t="array" ref="E53">VLOOKUP(D53,TRANSPOSE($B$67:$E$68),2,0)</f>
        <v>Toko Bagus</v>
      </c>
      <c r="F53" s="76" t="s">
        <v>35</v>
      </c>
      <c r="G53" s="14" t="str">
        <f t="shared" si="0"/>
        <v>Pembersih Lantai</v>
      </c>
      <c r="H53" s="76">
        <v>24</v>
      </c>
      <c r="I53" s="15">
        <f t="shared" si="1"/>
        <v>30200</v>
      </c>
      <c r="J53" s="15">
        <f t="shared" si="2"/>
        <v>724800</v>
      </c>
      <c r="K53" s="16" cm="1">
        <f t="array" ref="K53">HLOOKUP(H53,TRANSPOSE($K$67:$M$70),3,TRUE)*J53</f>
        <v>181200</v>
      </c>
      <c r="L53" s="16" t="str">
        <f>VLOOKUP(H53,{0,"iPhone XR";11,"Samsung S20";16,"Mendoan"},2,1)</f>
        <v>Mendoan</v>
      </c>
      <c r="M53" s="15">
        <f>VLOOKUP(L53,IF({1,0},$E$73:$E$75,$D$73:$D$75),2,0)</f>
        <v>7500</v>
      </c>
      <c r="N53" s="15">
        <f t="shared" si="3"/>
        <v>536100</v>
      </c>
    </row>
    <row r="54" spans="1:14" ht="19.899999999999999" customHeight="1">
      <c r="A54" s="94">
        <v>9</v>
      </c>
      <c r="B54" s="94"/>
      <c r="C54" s="13">
        <v>45145</v>
      </c>
      <c r="D54" s="76" t="s">
        <v>36</v>
      </c>
      <c r="E54" s="14" t="str" cm="1">
        <f t="array" ref="E54">VLOOKUP(D54,TRANSPOSE($B$67:$E$68),2,0)</f>
        <v>Toko Cemerlang</v>
      </c>
      <c r="F54" s="76" t="s">
        <v>40</v>
      </c>
      <c r="G54" s="14" t="str">
        <f t="shared" si="0"/>
        <v>Minyak Goreng</v>
      </c>
      <c r="H54" s="76">
        <v>11</v>
      </c>
      <c r="I54" s="15">
        <f t="shared" si="1"/>
        <v>23600</v>
      </c>
      <c r="J54" s="15">
        <f t="shared" si="2"/>
        <v>259600</v>
      </c>
      <c r="K54" s="16" cm="1">
        <f t="array" ref="K54">HLOOKUP(H54,TRANSPOSE($K$67:$M$70),3,TRUE)*J54</f>
        <v>25960</v>
      </c>
      <c r="L54" s="16" t="str">
        <f>VLOOKUP(H54,{0,"iPhone XR";11,"Samsung S20";16,"Mendoan"},2,1)</f>
        <v>Samsung S20</v>
      </c>
      <c r="M54" s="15">
        <f>VLOOKUP(L54,IF({1,0},$E$73:$E$75,$D$73:$D$75),2,0)</f>
        <v>3500</v>
      </c>
      <c r="N54" s="15">
        <f t="shared" si="3"/>
        <v>230140</v>
      </c>
    </row>
    <row r="55" spans="1:14" ht="19.899999999999999" customHeight="1">
      <c r="A55" s="94">
        <v>10</v>
      </c>
      <c r="B55" s="94"/>
      <c r="C55" s="13">
        <v>45146</v>
      </c>
      <c r="D55" s="76" t="s">
        <v>34</v>
      </c>
      <c r="E55" s="14" t="str" cm="1">
        <f t="array" ref="E55">VLOOKUP(D55,TRANSPOSE($B$67:$E$68),2,0)</f>
        <v>Toko Bagus</v>
      </c>
      <c r="F55" s="76" t="s">
        <v>35</v>
      </c>
      <c r="G55" s="14" t="str">
        <f t="shared" si="0"/>
        <v>Pembersih Lantai</v>
      </c>
      <c r="H55" s="76">
        <v>7</v>
      </c>
      <c r="I55" s="15">
        <f t="shared" si="1"/>
        <v>30200</v>
      </c>
      <c r="J55" s="15">
        <f t="shared" si="2"/>
        <v>211400</v>
      </c>
      <c r="K55" s="16" cm="1">
        <f t="array" ref="K55">HLOOKUP(H55,TRANSPOSE($K$67:$M$70),3,TRUE)*J55</f>
        <v>10570</v>
      </c>
      <c r="L55" s="16" t="str">
        <f>VLOOKUP(H55,{0,"iPhone XR";11,"Samsung S20";16,"Mendoan"},2,1)</f>
        <v>iPhone XR</v>
      </c>
      <c r="M55" s="15">
        <f>VLOOKUP(L55,IF({1,0},$E$73:$E$75,$D$73:$D$75),2,0)</f>
        <v>4500</v>
      </c>
      <c r="N55" s="15">
        <f t="shared" si="3"/>
        <v>196330</v>
      </c>
    </row>
    <row r="56" spans="1:14" ht="19.899999999999999" customHeight="1">
      <c r="A56" s="94">
        <v>11</v>
      </c>
      <c r="B56" s="94"/>
      <c r="C56" s="13">
        <v>45146</v>
      </c>
      <c r="D56" s="76" t="s">
        <v>38</v>
      </c>
      <c r="E56" s="14" t="str" cm="1">
        <f t="array" ref="E56">VLOOKUP(D56,TRANSPOSE($B$67:$E$68),2,0)</f>
        <v>Toko Bahagia</v>
      </c>
      <c r="F56" s="76" t="s">
        <v>37</v>
      </c>
      <c r="G56" s="14" t="str">
        <f t="shared" si="0"/>
        <v>Pewangi Pakaian</v>
      </c>
      <c r="H56" s="76">
        <v>24</v>
      </c>
      <c r="I56" s="15">
        <f t="shared" si="1"/>
        <v>32500</v>
      </c>
      <c r="J56" s="15">
        <f t="shared" si="2"/>
        <v>780000</v>
      </c>
      <c r="K56" s="16" cm="1">
        <f t="array" ref="K56">HLOOKUP(H56,TRANSPOSE($K$67:$M$70),3,TRUE)*J56</f>
        <v>195000</v>
      </c>
      <c r="L56" s="16" t="str">
        <f>VLOOKUP(H56,{0,"iPhone XR";11,"Samsung S20";16,"Mendoan"},2,1)</f>
        <v>Mendoan</v>
      </c>
      <c r="M56" s="15">
        <f>VLOOKUP(L56,IF({1,0},$E$73:$E$75,$D$73:$D$75),2,0)</f>
        <v>7500</v>
      </c>
      <c r="N56" s="15">
        <f t="shared" si="3"/>
        <v>577500</v>
      </c>
    </row>
    <row r="57" spans="1:14" ht="19.899999999999999" customHeight="1">
      <c r="A57" s="94">
        <v>12</v>
      </c>
      <c r="B57" s="94"/>
      <c r="C57" s="13">
        <v>45147</v>
      </c>
      <c r="D57" s="76" t="s">
        <v>34</v>
      </c>
      <c r="E57" s="14" t="str" cm="1">
        <f t="array" ref="E57">VLOOKUP(D57,TRANSPOSE($B$67:$E$68),2,0)</f>
        <v>Toko Bagus</v>
      </c>
      <c r="F57" s="76" t="s">
        <v>41</v>
      </c>
      <c r="G57" s="14" t="str">
        <f t="shared" si="0"/>
        <v>Detergen</v>
      </c>
      <c r="H57" s="76">
        <v>2</v>
      </c>
      <c r="I57" s="15">
        <f t="shared" si="1"/>
        <v>28000</v>
      </c>
      <c r="J57" s="15">
        <f t="shared" si="2"/>
        <v>56000</v>
      </c>
      <c r="K57" s="16" cm="1">
        <f t="array" ref="K57">HLOOKUP(H57,TRANSPOSE($K$67:$M$70),3,TRUE)*J57</f>
        <v>2800</v>
      </c>
      <c r="L57" s="16" t="str">
        <f>VLOOKUP(H57,{0,"iPhone XR";11,"Samsung S20";16,"Mendoan"},2,1)</f>
        <v>iPhone XR</v>
      </c>
      <c r="M57" s="15">
        <f>VLOOKUP(L57,IF({1,0},$E$73:$E$75,$D$73:$D$75),2,0)</f>
        <v>4500</v>
      </c>
      <c r="N57" s="15">
        <f t="shared" si="3"/>
        <v>48700</v>
      </c>
    </row>
    <row r="58" spans="1:14" ht="19.899999999999999" customHeight="1">
      <c r="A58" s="94">
        <v>13</v>
      </c>
      <c r="B58" s="94"/>
      <c r="C58" s="13">
        <v>45148</v>
      </c>
      <c r="D58" s="76" t="s">
        <v>38</v>
      </c>
      <c r="E58" s="14" t="str" cm="1">
        <f t="array" ref="E58">VLOOKUP(D58,TRANSPOSE($B$67:$E$68),2,0)</f>
        <v>Toko Bahagia</v>
      </c>
      <c r="F58" s="76" t="s">
        <v>41</v>
      </c>
      <c r="G58" s="14" t="str">
        <f t="shared" si="0"/>
        <v>Detergen</v>
      </c>
      <c r="H58" s="76">
        <v>1</v>
      </c>
      <c r="I58" s="15">
        <f t="shared" si="1"/>
        <v>28000</v>
      </c>
      <c r="J58" s="15">
        <f t="shared" si="2"/>
        <v>28000</v>
      </c>
      <c r="K58" s="16" cm="1">
        <f t="array" ref="K58">HLOOKUP(H58,TRANSPOSE($K$67:$M$70),3,TRUE)*J58</f>
        <v>1400</v>
      </c>
      <c r="L58" s="16" t="str">
        <f>VLOOKUP(H58,{0,"iPhone XR";11,"Samsung S20";16,"Mendoan"},2,1)</f>
        <v>iPhone XR</v>
      </c>
      <c r="M58" s="15">
        <f>VLOOKUP(L58,IF({1,0},$E$73:$E$75,$D$73:$D$75),2,0)</f>
        <v>4500</v>
      </c>
      <c r="N58" s="15">
        <f t="shared" si="3"/>
        <v>22100</v>
      </c>
    </row>
    <row r="59" spans="1:14" ht="19.899999999999999" customHeight="1">
      <c r="A59" s="94">
        <v>14</v>
      </c>
      <c r="B59" s="94"/>
      <c r="C59" s="13">
        <v>45148</v>
      </c>
      <c r="D59" s="76" t="s">
        <v>34</v>
      </c>
      <c r="E59" s="14" t="str" cm="1">
        <f t="array" ref="E59">VLOOKUP(D59,TRANSPOSE($B$67:$E$68),2,0)</f>
        <v>Toko Bagus</v>
      </c>
      <c r="F59" s="76" t="s">
        <v>35</v>
      </c>
      <c r="G59" s="14" t="str">
        <f t="shared" si="0"/>
        <v>Pembersih Lantai</v>
      </c>
      <c r="H59" s="76">
        <v>12</v>
      </c>
      <c r="I59" s="15">
        <f t="shared" si="1"/>
        <v>30200</v>
      </c>
      <c r="J59" s="15">
        <f t="shared" si="2"/>
        <v>362400</v>
      </c>
      <c r="K59" s="16" cm="1">
        <f t="array" ref="K59">HLOOKUP(H59,TRANSPOSE($K$67:$M$70),3,TRUE)*J59</f>
        <v>36240</v>
      </c>
      <c r="L59" s="16" t="str">
        <f>VLOOKUP(H59,{0,"iPhone XR";11,"Samsung S20";16,"Mendoan"},2,1)</f>
        <v>Samsung S20</v>
      </c>
      <c r="M59" s="15">
        <f>VLOOKUP(L59,IF({1,0},$E$73:$E$75,$D$73:$D$75),2,0)</f>
        <v>3500</v>
      </c>
      <c r="N59" s="15">
        <f t="shared" si="3"/>
        <v>322660</v>
      </c>
    </row>
    <row r="60" spans="1:14" ht="19.899999999999999" customHeight="1" thickBot="1">
      <c r="A60" s="94">
        <v>15</v>
      </c>
      <c r="B60" s="94"/>
      <c r="C60" s="13">
        <v>45149</v>
      </c>
      <c r="D60" s="76" t="s">
        <v>38</v>
      </c>
      <c r="E60" s="14" t="str" cm="1">
        <f t="array" ref="E60">VLOOKUP(D60,TRANSPOSE($B$67:$E$68),2,0)</f>
        <v>Toko Bahagia</v>
      </c>
      <c r="F60" s="76" t="s">
        <v>35</v>
      </c>
      <c r="G60" s="14" t="str">
        <f t="shared" si="0"/>
        <v>Pembersih Lantai</v>
      </c>
      <c r="H60" s="76">
        <v>23</v>
      </c>
      <c r="I60" s="15">
        <f t="shared" si="1"/>
        <v>30200</v>
      </c>
      <c r="J60" s="15">
        <f t="shared" si="2"/>
        <v>694600</v>
      </c>
      <c r="K60" s="16" cm="1">
        <f t="array" ref="K60">HLOOKUP(H60,TRANSPOSE($K$67:$M$70),3,TRUE)*J60</f>
        <v>173650</v>
      </c>
      <c r="L60" s="16" t="str">
        <f>VLOOKUP(H60,{0,"iPhone XR";11,"Samsung S20";16,"Mendoan"},2,1)</f>
        <v>Mendoan</v>
      </c>
      <c r="M60" s="15">
        <f>VLOOKUP(L60,IF({1,0},$E$73:$E$75,$D$73:$D$75),2,0)</f>
        <v>7500</v>
      </c>
      <c r="N60" s="15">
        <f t="shared" si="3"/>
        <v>513450</v>
      </c>
    </row>
    <row r="61" spans="1:14" ht="15.75">
      <c r="A61" s="96"/>
      <c r="B61" s="97"/>
      <c r="C61" s="97"/>
      <c r="D61" s="97"/>
      <c r="E61" s="98"/>
      <c r="F61" s="48">
        <v>9</v>
      </c>
      <c r="G61" s="20" t="s">
        <v>42</v>
      </c>
      <c r="H61" s="23">
        <f>SUM(H46:H60)</f>
        <v>170</v>
      </c>
      <c r="I61" s="96"/>
      <c r="J61" s="97"/>
      <c r="K61" s="98"/>
      <c r="L61" s="48">
        <v>9</v>
      </c>
      <c r="M61" s="20" t="s">
        <v>42</v>
      </c>
      <c r="N61" s="17">
        <f>SUM(N46:N60)</f>
        <v>3935975</v>
      </c>
    </row>
    <row r="62" spans="1:14" ht="15.75">
      <c r="A62" s="99"/>
      <c r="B62" s="100"/>
      <c r="C62" s="100"/>
      <c r="D62" s="100"/>
      <c r="E62" s="101"/>
      <c r="F62" s="48">
        <v>10</v>
      </c>
      <c r="G62" s="20" t="s">
        <v>43</v>
      </c>
      <c r="H62" s="24">
        <f>AVERAGE(H46:H60)</f>
        <v>11.333333333333334</v>
      </c>
      <c r="I62" s="99"/>
      <c r="J62" s="100"/>
      <c r="K62" s="101"/>
      <c r="L62" s="48">
        <v>10</v>
      </c>
      <c r="M62" s="20" t="s">
        <v>43</v>
      </c>
      <c r="N62" s="18">
        <f>AVERAGE(N46:N60)</f>
        <v>262398.33333333331</v>
      </c>
    </row>
    <row r="63" spans="1:14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</row>
    <row r="64" spans="1:14">
      <c r="B64" s="8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</row>
    <row r="65" spans="1:14">
      <c r="B65" s="8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</row>
    <row r="66" spans="1:14">
      <c r="B66" s="85" t="s">
        <v>44</v>
      </c>
      <c r="C66" s="87"/>
      <c r="D66" s="87"/>
      <c r="E66" s="86"/>
      <c r="F66" s="2"/>
      <c r="G66" s="85" t="s">
        <v>45</v>
      </c>
      <c r="H66" s="87"/>
      <c r="I66" s="86"/>
      <c r="J66" s="2"/>
      <c r="K66" s="85" t="s">
        <v>46</v>
      </c>
      <c r="L66" s="87"/>
      <c r="M66" s="86"/>
    </row>
    <row r="67" spans="1:14">
      <c r="B67" s="52" t="s">
        <v>47</v>
      </c>
      <c r="C67" s="49" t="s">
        <v>36</v>
      </c>
      <c r="D67" s="49" t="s">
        <v>34</v>
      </c>
      <c r="E67" s="49" t="s">
        <v>38</v>
      </c>
      <c r="G67" s="90" t="s">
        <v>47</v>
      </c>
      <c r="H67" s="91"/>
      <c r="I67" s="50" t="s">
        <v>28</v>
      </c>
      <c r="K67" s="52" t="s">
        <v>48</v>
      </c>
      <c r="L67" s="52" t="s">
        <v>49</v>
      </c>
      <c r="M67" s="54" t="s">
        <v>30</v>
      </c>
    </row>
    <row r="68" spans="1:14">
      <c r="B68" s="50" t="s">
        <v>50</v>
      </c>
      <c r="C68" s="53" t="s">
        <v>51</v>
      </c>
      <c r="D68" s="53" t="s">
        <v>52</v>
      </c>
      <c r="E68" s="53" t="s">
        <v>53</v>
      </c>
      <c r="F68" s="6"/>
      <c r="G68" s="88" t="s">
        <v>54</v>
      </c>
      <c r="H68" s="89"/>
      <c r="I68" s="51">
        <v>28000</v>
      </c>
      <c r="K68" s="49">
        <v>0</v>
      </c>
      <c r="L68" s="49">
        <v>10</v>
      </c>
      <c r="M68" s="55">
        <v>0.05</v>
      </c>
    </row>
    <row r="69" spans="1:14">
      <c r="B69" s="9"/>
      <c r="G69" s="88" t="s">
        <v>55</v>
      </c>
      <c r="H69" s="89"/>
      <c r="I69" s="51">
        <v>19900</v>
      </c>
      <c r="K69" s="49">
        <v>11</v>
      </c>
      <c r="L69" s="49">
        <v>15</v>
      </c>
      <c r="M69" s="55">
        <v>0.1</v>
      </c>
    </row>
    <row r="70" spans="1:14">
      <c r="B70" s="9"/>
      <c r="G70" s="88" t="s">
        <v>56</v>
      </c>
      <c r="H70" s="89"/>
      <c r="I70" s="51">
        <v>30200</v>
      </c>
      <c r="J70" s="3"/>
      <c r="K70" s="49">
        <v>16</v>
      </c>
      <c r="L70" s="49" t="s">
        <v>57</v>
      </c>
      <c r="M70" s="55">
        <v>0.25</v>
      </c>
    </row>
    <row r="71" spans="1:14">
      <c r="B71" s="9"/>
      <c r="D71" s="85" t="s">
        <v>58</v>
      </c>
      <c r="E71" s="86"/>
      <c r="G71" s="88" t="s">
        <v>59</v>
      </c>
      <c r="H71" s="89"/>
      <c r="I71" s="51">
        <v>32500</v>
      </c>
    </row>
    <row r="72" spans="1:14">
      <c r="B72" s="9"/>
      <c r="D72" s="52" t="s">
        <v>60</v>
      </c>
      <c r="E72" s="52" t="s">
        <v>61</v>
      </c>
      <c r="G72" s="88" t="s">
        <v>62</v>
      </c>
      <c r="H72" s="89"/>
      <c r="I72" s="51">
        <v>23600</v>
      </c>
    </row>
    <row r="73" spans="1:14" ht="15" customHeight="1">
      <c r="B73" s="9"/>
      <c r="D73" s="51">
        <v>4500</v>
      </c>
      <c r="E73" s="49" t="s">
        <v>63</v>
      </c>
    </row>
    <row r="74" spans="1:14" ht="14.45" customHeight="1">
      <c r="B74" s="9"/>
      <c r="C74" s="21"/>
      <c r="D74" s="51">
        <v>3500</v>
      </c>
      <c r="E74" s="49" t="s">
        <v>64</v>
      </c>
      <c r="F74" s="7"/>
      <c r="G74" s="22"/>
    </row>
    <row r="75" spans="1:14" ht="15" customHeight="1">
      <c r="B75" s="10"/>
      <c r="C75" s="21"/>
      <c r="D75" s="51">
        <v>7500</v>
      </c>
      <c r="E75" s="49" t="s">
        <v>65</v>
      </c>
      <c r="F75" s="7"/>
      <c r="G75" s="22"/>
    </row>
    <row r="76" spans="1:14">
      <c r="B76" s="9"/>
      <c r="C76" s="4"/>
    </row>
    <row r="77" spans="1:14">
      <c r="B77" s="9"/>
      <c r="C77" s="4"/>
      <c r="M77" s="5"/>
    </row>
    <row r="78" spans="1:14">
      <c r="B78" s="9"/>
    </row>
    <row r="79" spans="1:14">
      <c r="A79" s="102" t="s">
        <v>66</v>
      </c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</row>
  </sheetData>
  <mergeCells count="33">
    <mergeCell ref="A61:E62"/>
    <mergeCell ref="I61:K62"/>
    <mergeCell ref="A79:N79"/>
    <mergeCell ref="G72:H72"/>
    <mergeCell ref="A59:B59"/>
    <mergeCell ref="A60:B60"/>
    <mergeCell ref="A42:N42"/>
    <mergeCell ref="A52:B52"/>
    <mergeCell ref="A53:B53"/>
    <mergeCell ref="A54:B54"/>
    <mergeCell ref="A55:B55"/>
    <mergeCell ref="A56:B56"/>
    <mergeCell ref="A47:B47"/>
    <mergeCell ref="A48:B48"/>
    <mergeCell ref="A49:B49"/>
    <mergeCell ref="A50:B50"/>
    <mergeCell ref="A51:B51"/>
    <mergeCell ref="A17:B17"/>
    <mergeCell ref="A19:L19"/>
    <mergeCell ref="A40:L40"/>
    <mergeCell ref="D71:E71"/>
    <mergeCell ref="B66:E66"/>
    <mergeCell ref="K66:M66"/>
    <mergeCell ref="G66:I66"/>
    <mergeCell ref="G70:H70"/>
    <mergeCell ref="G71:H71"/>
    <mergeCell ref="G67:H67"/>
    <mergeCell ref="G68:H68"/>
    <mergeCell ref="G69:H69"/>
    <mergeCell ref="A45:B45"/>
    <mergeCell ref="A46:B46"/>
    <mergeCell ref="A57:B57"/>
    <mergeCell ref="A58:B5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C7447-8E9B-44DB-AF1C-59CF29A2A8C2}">
  <sheetPr codeName="Sheet3"/>
  <dimension ref="B1:P32"/>
  <sheetViews>
    <sheetView showGridLines="0" workbookViewId="0">
      <selection activeCell="R17" sqref="R17"/>
    </sheetView>
  </sheetViews>
  <sheetFormatPr defaultColWidth="8.85546875" defaultRowHeight="14.45"/>
  <cols>
    <col min="1" max="1" width="5.7109375" style="56" customWidth="1"/>
    <col min="2" max="2" width="10" style="56" customWidth="1"/>
    <col min="3" max="6" width="8.85546875" style="56"/>
    <col min="7" max="8" width="4.28515625" style="56" customWidth="1"/>
    <col min="9" max="9" width="8.85546875" style="56"/>
    <col min="10" max="10" width="10.42578125" style="56" customWidth="1"/>
    <col min="11" max="11" width="9.28515625" style="56" customWidth="1"/>
    <col min="12" max="13" width="8.85546875" style="56"/>
    <col min="14" max="14" width="26.42578125" style="56" customWidth="1"/>
    <col min="15" max="16384" width="8.85546875" style="56"/>
  </cols>
  <sheetData>
    <row r="1" spans="7:16">
      <c r="H1" s="57"/>
      <c r="I1" s="57"/>
      <c r="J1" s="57"/>
      <c r="K1" s="57"/>
      <c r="L1" s="57"/>
      <c r="M1" s="57"/>
      <c r="N1" s="57"/>
      <c r="O1" s="57"/>
      <c r="P1" s="57"/>
    </row>
    <row r="2" spans="7:16">
      <c r="H2" s="57"/>
      <c r="I2" s="57"/>
      <c r="J2" s="57"/>
      <c r="K2" s="57"/>
      <c r="L2" s="57"/>
      <c r="M2" s="57"/>
      <c r="N2" s="57"/>
      <c r="O2" s="57"/>
      <c r="P2" s="57"/>
    </row>
    <row r="3" spans="7:16">
      <c r="G3" s="58"/>
      <c r="H3" s="59"/>
      <c r="I3" s="57"/>
      <c r="J3" s="57"/>
      <c r="K3" s="57"/>
      <c r="L3" s="57"/>
      <c r="M3" s="57"/>
      <c r="N3" s="57"/>
      <c r="O3" s="57"/>
      <c r="P3" s="57"/>
    </row>
    <row r="4" spans="7:16">
      <c r="G4" s="58"/>
      <c r="H4" s="59"/>
      <c r="I4" s="57"/>
      <c r="J4" s="57"/>
      <c r="K4" s="57"/>
      <c r="L4" s="57"/>
      <c r="M4" s="57"/>
      <c r="N4" s="57"/>
      <c r="O4" s="57"/>
      <c r="P4" s="57"/>
    </row>
    <row r="5" spans="7:16">
      <c r="G5" s="58"/>
      <c r="H5" s="59"/>
      <c r="I5" s="57"/>
      <c r="J5" s="57"/>
      <c r="K5" s="57"/>
      <c r="L5" s="57"/>
      <c r="M5" s="57"/>
      <c r="N5" s="57"/>
      <c r="O5" s="57"/>
      <c r="P5" s="57"/>
    </row>
    <row r="6" spans="7:16">
      <c r="G6" s="58"/>
      <c r="H6" s="59"/>
      <c r="I6" s="57" t="s">
        <v>67</v>
      </c>
      <c r="J6" s="57"/>
      <c r="K6" s="57"/>
      <c r="L6" s="57"/>
      <c r="M6" s="57"/>
      <c r="N6" s="57"/>
      <c r="O6" s="57"/>
      <c r="P6" s="57"/>
    </row>
    <row r="7" spans="7:16">
      <c r="G7" s="58"/>
      <c r="H7" s="59"/>
      <c r="I7" s="57" t="s">
        <v>68</v>
      </c>
      <c r="J7" s="57"/>
      <c r="K7" s="57"/>
      <c r="L7" s="57"/>
      <c r="M7" s="57"/>
      <c r="N7" s="57"/>
      <c r="O7" s="57"/>
      <c r="P7" s="57"/>
    </row>
    <row r="8" spans="7:16">
      <c r="G8" s="58"/>
      <c r="H8" s="59"/>
      <c r="I8" s="57"/>
      <c r="J8" s="57"/>
      <c r="K8" s="57"/>
      <c r="L8" s="57"/>
      <c r="M8" s="57"/>
      <c r="N8" s="57"/>
      <c r="O8" s="57"/>
      <c r="P8" s="57"/>
    </row>
    <row r="9" spans="7:16">
      <c r="G9" s="58"/>
      <c r="H9" s="59"/>
      <c r="I9" s="57"/>
      <c r="J9" s="57"/>
      <c r="K9" s="57"/>
      <c r="L9" s="57"/>
      <c r="M9" s="57"/>
      <c r="N9" s="57"/>
      <c r="O9" s="57"/>
      <c r="P9" s="57"/>
    </row>
    <row r="10" spans="7:16">
      <c r="G10" s="58"/>
      <c r="H10" s="59"/>
      <c r="I10" s="57" t="s">
        <v>69</v>
      </c>
      <c r="J10" s="57"/>
      <c r="K10" s="57"/>
      <c r="L10" s="57"/>
      <c r="M10" s="57"/>
      <c r="N10" s="57"/>
      <c r="O10" s="57"/>
      <c r="P10" s="57"/>
    </row>
    <row r="11" spans="7:16">
      <c r="G11" s="58"/>
      <c r="H11" s="59"/>
      <c r="I11" s="57"/>
      <c r="J11" s="57"/>
      <c r="K11" s="57"/>
      <c r="L11" s="57"/>
      <c r="M11" s="57"/>
      <c r="N11" s="57"/>
      <c r="O11" s="57"/>
      <c r="P11" s="57"/>
    </row>
    <row r="12" spans="7:16">
      <c r="G12" s="58"/>
      <c r="H12" s="59"/>
      <c r="I12" s="60"/>
      <c r="J12" s="108" t="s">
        <v>70</v>
      </c>
      <c r="K12" s="108"/>
      <c r="L12" s="109" t="s">
        <v>71</v>
      </c>
      <c r="M12" s="109"/>
      <c r="N12" s="57"/>
      <c r="O12" s="57"/>
      <c r="P12" s="57"/>
    </row>
    <row r="13" spans="7:16">
      <c r="G13" s="58"/>
      <c r="H13" s="59"/>
      <c r="I13" s="60"/>
      <c r="J13" s="108" t="s">
        <v>72</v>
      </c>
      <c r="K13" s="108"/>
      <c r="L13" s="77" t="s">
        <v>73</v>
      </c>
      <c r="M13" s="61"/>
      <c r="N13" s="57"/>
      <c r="O13" s="57"/>
      <c r="P13" s="57"/>
    </row>
    <row r="14" spans="7:16">
      <c r="G14" s="58"/>
      <c r="H14" s="59"/>
      <c r="I14" s="60"/>
      <c r="J14" s="108" t="s">
        <v>74</v>
      </c>
      <c r="K14" s="108"/>
      <c r="L14" s="77" t="s">
        <v>75</v>
      </c>
      <c r="M14" s="62"/>
      <c r="N14" s="57"/>
      <c r="O14" s="57"/>
      <c r="P14" s="57"/>
    </row>
    <row r="15" spans="7:16">
      <c r="G15" s="58"/>
      <c r="H15" s="59"/>
      <c r="I15" s="60"/>
      <c r="J15" s="108" t="s">
        <v>76</v>
      </c>
      <c r="K15" s="108"/>
      <c r="L15" s="77" t="s">
        <v>77</v>
      </c>
      <c r="M15" s="62"/>
      <c r="N15" s="57"/>
      <c r="O15" s="57"/>
      <c r="P15" s="57"/>
    </row>
    <row r="16" spans="7:16">
      <c r="G16" s="58"/>
      <c r="H16" s="59"/>
      <c r="I16" s="60"/>
      <c r="J16" s="108" t="s">
        <v>78</v>
      </c>
      <c r="K16" s="108"/>
      <c r="L16" s="77" t="s">
        <v>79</v>
      </c>
      <c r="M16" s="62"/>
      <c r="N16" s="57"/>
      <c r="O16" s="57"/>
      <c r="P16" s="57"/>
    </row>
    <row r="17" spans="2:16" ht="54.6" customHeight="1">
      <c r="B17" s="104" t="s">
        <v>80</v>
      </c>
      <c r="C17" s="104"/>
      <c r="D17" s="104"/>
      <c r="E17" s="104"/>
      <c r="F17" s="105"/>
      <c r="G17" s="63"/>
      <c r="H17" s="59"/>
      <c r="I17" s="57" t="s">
        <v>81</v>
      </c>
      <c r="J17" s="57"/>
      <c r="K17" s="57"/>
      <c r="L17" s="57"/>
      <c r="M17" s="57"/>
      <c r="N17" s="57"/>
      <c r="O17" s="57"/>
      <c r="P17" s="57"/>
    </row>
    <row r="18" spans="2:16" ht="54.6" customHeight="1">
      <c r="B18" s="106" t="s">
        <v>82</v>
      </c>
      <c r="C18" s="106"/>
      <c r="D18" s="106"/>
      <c r="E18" s="106"/>
      <c r="F18" s="107"/>
      <c r="G18" s="64"/>
      <c r="H18" s="59"/>
      <c r="I18" s="65" t="s">
        <v>83</v>
      </c>
      <c r="J18" s="57"/>
      <c r="K18" s="57"/>
      <c r="L18" s="57"/>
      <c r="M18" s="57"/>
      <c r="N18" s="57"/>
      <c r="O18" s="57"/>
      <c r="P18" s="57"/>
    </row>
    <row r="19" spans="2:16">
      <c r="B19" s="66" t="s">
        <v>84</v>
      </c>
      <c r="H19" s="57"/>
      <c r="J19" s="57"/>
      <c r="K19" s="57"/>
      <c r="L19" s="57"/>
      <c r="M19" s="57"/>
      <c r="N19" s="57"/>
      <c r="O19" s="57"/>
      <c r="P19" s="57"/>
    </row>
    <row r="20" spans="2:16">
      <c r="B20" s="67" t="s">
        <v>85</v>
      </c>
      <c r="C20" s="68" t="s">
        <v>86</v>
      </c>
      <c r="H20" s="57"/>
      <c r="J20" s="57"/>
      <c r="K20" s="57"/>
      <c r="L20" s="57"/>
      <c r="M20" s="57"/>
      <c r="N20" s="57"/>
      <c r="O20" s="57"/>
      <c r="P20" s="57"/>
    </row>
    <row r="21" spans="2:16">
      <c r="B21" s="69" t="s">
        <v>87</v>
      </c>
      <c r="C21" s="68" t="s">
        <v>88</v>
      </c>
      <c r="H21" s="57"/>
      <c r="I21" s="57"/>
      <c r="J21" s="57"/>
      <c r="K21" s="57"/>
      <c r="L21" s="57"/>
      <c r="M21" s="57"/>
      <c r="N21" s="57"/>
      <c r="O21" s="57"/>
      <c r="P21" s="57"/>
    </row>
    <row r="22" spans="2:16">
      <c r="H22" s="57"/>
      <c r="I22" s="57"/>
      <c r="J22" s="57"/>
      <c r="K22" s="57"/>
      <c r="L22" s="57"/>
      <c r="M22" s="57"/>
      <c r="N22" s="57"/>
      <c r="O22" s="57"/>
      <c r="P22" s="57"/>
    </row>
    <row r="23" spans="2:16">
      <c r="N23" s="57"/>
      <c r="O23" s="57"/>
      <c r="P23" s="57"/>
    </row>
    <row r="24" spans="2:16">
      <c r="N24" s="57"/>
      <c r="O24" s="57"/>
      <c r="P24" s="57"/>
    </row>
    <row r="25" spans="2:16">
      <c r="B25" s="103"/>
      <c r="C25" s="102"/>
      <c r="D25" s="102"/>
      <c r="E25" s="102"/>
      <c r="F25" s="102"/>
      <c r="G25" s="102"/>
      <c r="H25" s="102"/>
      <c r="I25" s="102"/>
      <c r="N25" s="57"/>
      <c r="O25" s="57"/>
      <c r="P25" s="57"/>
    </row>
    <row r="26" spans="2:16">
      <c r="B26" s="70"/>
      <c r="C26" s="71"/>
      <c r="D26" s="70"/>
      <c r="E26" s="70"/>
      <c r="F26" s="70"/>
      <c r="G26" s="70"/>
      <c r="H26" s="70"/>
      <c r="I26" s="70"/>
    </row>
    <row r="27" spans="2:16">
      <c r="B27" s="70"/>
      <c r="C27" s="70"/>
      <c r="D27" s="72" t="s">
        <v>89</v>
      </c>
      <c r="E27" s="70"/>
      <c r="F27" s="70"/>
      <c r="G27" s="70"/>
      <c r="H27" s="70"/>
      <c r="I27" s="70"/>
    </row>
    <row r="28" spans="2:16">
      <c r="B28" s="70"/>
      <c r="C28" s="70"/>
      <c r="D28" s="73" t="s">
        <v>90</v>
      </c>
      <c r="E28" s="70"/>
      <c r="F28" s="70"/>
      <c r="G28" s="70"/>
      <c r="H28" s="70"/>
      <c r="I28" s="70"/>
    </row>
    <row r="29" spans="2:16">
      <c r="B29" s="70"/>
      <c r="C29" s="70"/>
      <c r="D29" s="74" t="s">
        <v>91</v>
      </c>
      <c r="E29" s="70"/>
      <c r="F29" s="70"/>
      <c r="G29" s="70"/>
      <c r="H29" s="70"/>
      <c r="I29" s="70"/>
    </row>
    <row r="30" spans="2:16">
      <c r="B30" s="70"/>
      <c r="C30" s="70"/>
      <c r="D30" s="70"/>
      <c r="E30" s="70"/>
      <c r="F30" s="70"/>
      <c r="G30" s="70"/>
      <c r="H30" s="70"/>
      <c r="I30" s="70"/>
    </row>
    <row r="31" spans="2:16">
      <c r="B31" s="70"/>
      <c r="C31" s="70"/>
      <c r="D31" s="70"/>
      <c r="E31" s="70"/>
      <c r="F31" s="70"/>
      <c r="G31" s="70"/>
      <c r="H31" s="70"/>
      <c r="I31" s="70"/>
    </row>
    <row r="32" spans="2:16">
      <c r="B32" s="103"/>
      <c r="C32" s="102"/>
      <c r="D32" s="102"/>
      <c r="E32" s="102"/>
      <c r="F32" s="102"/>
      <c r="G32" s="102"/>
      <c r="H32" s="102"/>
      <c r="I32" s="102"/>
    </row>
  </sheetData>
  <mergeCells count="10">
    <mergeCell ref="L12:M12"/>
    <mergeCell ref="J13:K13"/>
    <mergeCell ref="J14:K14"/>
    <mergeCell ref="J15:K15"/>
    <mergeCell ref="J16:K16"/>
    <mergeCell ref="B25:I25"/>
    <mergeCell ref="B32:I32"/>
    <mergeCell ref="B17:F17"/>
    <mergeCell ref="B18:F18"/>
    <mergeCell ref="J12:K12"/>
  </mergeCells>
  <hyperlinks>
    <hyperlink ref="I18" r:id="rId1" xr:uid="{A6F44533-DF06-4AB5-8273-0A7D3EBB8D05}"/>
    <hyperlink ref="C21" r:id="rId2" xr:uid="{9AAA503A-9CF8-4407-BE58-CA115CF10DF5}"/>
    <hyperlink ref="C20" r:id="rId3" xr:uid="{80C14FFC-B89C-40B0-89BE-AFBDDF5F89C2}"/>
    <hyperlink ref="D29" r:id="rId4" xr:uid="{EE671286-B50C-4200-ABD4-9CB5387BFB81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2CD40-914E-4292-9FAE-45BE368B15E1}">
  <sheetPr codeName="Sheet2"/>
  <dimension ref="A1:AD68"/>
  <sheetViews>
    <sheetView workbookViewId="0">
      <selection activeCell="C10" sqref="C10"/>
    </sheetView>
  </sheetViews>
  <sheetFormatPr defaultRowHeight="14.45"/>
  <cols>
    <col min="3" max="3" width="11.5703125" customWidth="1"/>
    <col min="4" max="4" width="15.85546875" customWidth="1"/>
    <col min="5" max="5" width="16.42578125" customWidth="1"/>
    <col min="6" max="6" width="9.28515625" customWidth="1"/>
    <col min="7" max="7" width="10.28515625" customWidth="1"/>
    <col min="8" max="9" width="13" customWidth="1"/>
    <col min="11" max="11" width="10" customWidth="1"/>
    <col min="12" max="12" width="13.7109375" customWidth="1"/>
    <col min="13" max="13" width="14.140625" customWidth="1"/>
    <col min="21" max="21" width="59.140625" customWidth="1"/>
    <col min="22" max="22" width="14.42578125" customWidth="1"/>
    <col min="28" max="28" width="11.28515625" customWidth="1"/>
    <col min="29" max="29" width="13.85546875" customWidth="1"/>
    <col min="30" max="30" width="17.28515625" customWidth="1"/>
  </cols>
  <sheetData>
    <row r="1" spans="1:30">
      <c r="A1" t="s">
        <v>92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U1">
        <v>1</v>
      </c>
      <c r="V1">
        <v>2</v>
      </c>
      <c r="W1">
        <v>3</v>
      </c>
      <c r="X1">
        <v>4</v>
      </c>
      <c r="Y1">
        <v>5</v>
      </c>
      <c r="Z1">
        <v>6</v>
      </c>
      <c r="AA1">
        <v>7</v>
      </c>
      <c r="AB1">
        <v>8</v>
      </c>
      <c r="AC1">
        <v>9</v>
      </c>
      <c r="AD1">
        <v>10</v>
      </c>
    </row>
    <row r="2" spans="1:30">
      <c r="A2" t="s">
        <v>93</v>
      </c>
      <c r="C2">
        <v>1</v>
      </c>
      <c r="D2" t="str">
        <f>'XL-Test'!E46</f>
        <v>Toko Bagus</v>
      </c>
      <c r="E2" t="str">
        <f>'XL-Test'!G46</f>
        <v>Pembersih Lantai</v>
      </c>
      <c r="F2">
        <f>'XL-Test'!I46</f>
        <v>30200</v>
      </c>
      <c r="G2">
        <f>'XL-Test'!J46</f>
        <v>60400</v>
      </c>
      <c r="H2">
        <f>'XL-Test'!K46</f>
        <v>3020</v>
      </c>
      <c r="I2" t="str">
        <f>'XL-Test'!L46</f>
        <v>iPhone XR</v>
      </c>
      <c r="J2">
        <f>'XL-Test'!M46</f>
        <v>4500</v>
      </c>
      <c r="K2">
        <f>'XL-Test'!N46</f>
        <v>52880</v>
      </c>
      <c r="L2">
        <f>'XL-Test'!H61</f>
        <v>170</v>
      </c>
      <c r="M2">
        <f>'XL-Test'!H62</f>
        <v>11.333333333333334</v>
      </c>
      <c r="T2">
        <v>1</v>
      </c>
      <c r="U2" t="str">
        <f ca="1">SUBSTITUTE(_xlfn.FORMULATEXT('XL-Test'!E46),"$","")</f>
        <v>=VLOOKUP(D46;TRANSPOSE(B67:E68);2;0)</v>
      </c>
      <c r="V2" t="str">
        <f ca="1">SUBSTITUTE(_xlfn.FORMULATEXT('XL-Test'!G46),"$","")</f>
        <v>=MID(VLOOKUP("*"&amp;F46&amp;"*";G68:I72;1;FALSE);6;100)</v>
      </c>
      <c r="W2" t="str">
        <f ca="1">SUBSTITUTE(_xlfn.FORMULATEXT('XL-Test'!I46),"$","")</f>
        <v>=VLOOKUP("*"&amp;F46&amp;"*";G68:I72;3;FALSE)</v>
      </c>
      <c r="X2" t="str">
        <f ca="1">SUBSTITUTE(_xlfn.FORMULATEXT('XL-Test'!J46),"$","")</f>
        <v>=SUMPRODUCT(H46;I46)</v>
      </c>
      <c r="Y2" t="str">
        <f ca="1">SUBSTITUTE(_xlfn.FORMULATEXT('XL-Test'!K46),"$","")</f>
        <v>=HLOOKUP(H46;TRANSPOSE(K67:M70);3;TRUE)*J46</v>
      </c>
      <c r="Z2" t="str">
        <f ca="1">SUBSTITUTE(_xlfn.FORMULATEXT('XL-Test'!L46),"$","")</f>
        <v>=VLOOKUP(H46;{0\"iPhone XR";11\"Samsung S20";16\"Mendoan"};2;1)</v>
      </c>
      <c r="AA2" t="str">
        <f ca="1">SUBSTITUTE(_xlfn.FORMULATEXT('XL-Test'!M46),"$","")</f>
        <v>=VLOOKUP(L46;IF({1\0};E73:E75;D73:D75);2;0)</v>
      </c>
      <c r="AB2" t="str">
        <f ca="1">SUBSTITUTE(_xlfn.FORMULATEXT('XL-Test'!N46),"$","")</f>
        <v>=J46-K46-M46</v>
      </c>
      <c r="AC2" t="str">
        <f ca="1">_xlfn.FORMULATEXT('XL-Test'!H61)</f>
        <v>=SUM(H46:H60)</v>
      </c>
      <c r="AD2" t="str">
        <f ca="1">_xlfn.FORMULATEXT('XL-Test'!N62)</f>
        <v>=AVERAGE(N46:N60)</v>
      </c>
    </row>
    <row r="3" spans="1:30">
      <c r="A3" t="str">
        <f>A2&amp;"|"</f>
        <v>XA3|</v>
      </c>
      <c r="C3">
        <v>2</v>
      </c>
      <c r="D3" t="str">
        <f>'XL-Test'!E47</f>
        <v>Toko Cemerlang</v>
      </c>
      <c r="E3" t="str">
        <f>'XL-Test'!G47</f>
        <v>Pewangi Pakaian</v>
      </c>
      <c r="F3">
        <f>'XL-Test'!I47</f>
        <v>32500</v>
      </c>
      <c r="G3">
        <f>'XL-Test'!J47</f>
        <v>227500</v>
      </c>
      <c r="H3">
        <f>'XL-Test'!K47</f>
        <v>11375</v>
      </c>
      <c r="I3" t="str">
        <f>'XL-Test'!L47</f>
        <v>iPhone XR</v>
      </c>
      <c r="J3">
        <f>'XL-Test'!M47</f>
        <v>4500</v>
      </c>
      <c r="K3">
        <f>'XL-Test'!N47</f>
        <v>211625</v>
      </c>
      <c r="L3">
        <f>'XL-Test'!N61</f>
        <v>3935975</v>
      </c>
      <c r="M3">
        <f>'XL-Test'!N62</f>
        <v>262398.33333333331</v>
      </c>
      <c r="T3">
        <v>2</v>
      </c>
      <c r="U3" t="str">
        <f ca="1">SUBSTITUTE(_xlfn.FORMULATEXT('XL-Test'!G46),"$","")</f>
        <v>=MID(VLOOKUP("*"&amp;F46&amp;"*";G68:I72;1;FALSE);6;100)</v>
      </c>
    </row>
    <row r="4" spans="1:30">
      <c r="C4">
        <v>3</v>
      </c>
      <c r="D4" t="str">
        <f>'XL-Test'!E48</f>
        <v>Toko Bahagia</v>
      </c>
      <c r="E4" t="str">
        <f>'XL-Test'!G48</f>
        <v>Sabun Cuci Piring</v>
      </c>
      <c r="F4">
        <f>'XL-Test'!I48</f>
        <v>19900</v>
      </c>
      <c r="G4">
        <f>'XL-Test'!J48</f>
        <v>338300</v>
      </c>
      <c r="H4">
        <f>'XL-Test'!K48</f>
        <v>84575</v>
      </c>
      <c r="I4" t="str">
        <f>'XL-Test'!L48</f>
        <v>Mendoan</v>
      </c>
      <c r="J4">
        <f>'XL-Test'!M48</f>
        <v>7500</v>
      </c>
      <c r="K4">
        <f>'XL-Test'!N48</f>
        <v>246225</v>
      </c>
      <c r="M4">
        <f>M2*100</f>
        <v>1133.3333333333335</v>
      </c>
      <c r="T4">
        <v>3</v>
      </c>
      <c r="U4" t="str">
        <f ca="1">SUBSTITUTE(_xlfn.FORMULATEXT('XL-Test'!I46),"$","")</f>
        <v>=VLOOKUP("*"&amp;F46&amp;"*";G68:I72;3;FALSE)</v>
      </c>
    </row>
    <row r="5" spans="1:30">
      <c r="C5">
        <v>4</v>
      </c>
      <c r="D5" t="str">
        <f>'XL-Test'!E49</f>
        <v>Toko Bagus</v>
      </c>
      <c r="E5" t="str">
        <f>'XL-Test'!G49</f>
        <v>Pembersih Lantai</v>
      </c>
      <c r="F5">
        <f>'XL-Test'!I49</f>
        <v>30200</v>
      </c>
      <c r="G5">
        <f>'XL-Test'!J49</f>
        <v>271800</v>
      </c>
      <c r="H5">
        <f>'XL-Test'!K49</f>
        <v>13590</v>
      </c>
      <c r="I5" t="str">
        <f>'XL-Test'!L49</f>
        <v>iPhone XR</v>
      </c>
      <c r="J5">
        <f>'XL-Test'!M49</f>
        <v>4500</v>
      </c>
      <c r="K5">
        <f>'XL-Test'!N49</f>
        <v>253710</v>
      </c>
      <c r="M5">
        <f>M3*100</f>
        <v>26239833.333333332</v>
      </c>
      <c r="T5">
        <v>4</v>
      </c>
      <c r="U5" t="str">
        <f ca="1">SUBSTITUTE(_xlfn.FORMULATEXT('XL-Test'!J46),"$","")</f>
        <v>=SUMPRODUCT(H46;I46)</v>
      </c>
    </row>
    <row r="6" spans="1:30">
      <c r="C6">
        <v>5</v>
      </c>
      <c r="D6" t="str">
        <f>'XL-Test'!E50</f>
        <v>Toko Cemerlang</v>
      </c>
      <c r="E6" t="str">
        <f>'XL-Test'!G50</f>
        <v>Pembersih Lantai</v>
      </c>
      <c r="F6">
        <f>'XL-Test'!I50</f>
        <v>30200</v>
      </c>
      <c r="G6">
        <f>'XL-Test'!J50</f>
        <v>422800</v>
      </c>
      <c r="H6">
        <f>'XL-Test'!K50</f>
        <v>42280</v>
      </c>
      <c r="I6" t="str">
        <f>'XL-Test'!L50</f>
        <v>Samsung S20</v>
      </c>
      <c r="J6">
        <f>'XL-Test'!M50</f>
        <v>3500</v>
      </c>
      <c r="K6">
        <f>'XL-Test'!N50</f>
        <v>377020</v>
      </c>
      <c r="T6">
        <v>5</v>
      </c>
      <c r="U6" t="str">
        <f ca="1">SUBSTITUTE(_xlfn.FORMULATEXT('XL-Test'!K46),"$","")</f>
        <v>=HLOOKUP(H46;TRANSPOSE(K67:M70);3;TRUE)*J46</v>
      </c>
    </row>
    <row r="7" spans="1:30">
      <c r="C7">
        <v>6</v>
      </c>
      <c r="D7" t="str">
        <f>'XL-Test'!E51</f>
        <v>Toko Bagus</v>
      </c>
      <c r="E7" t="str">
        <f>'XL-Test'!G51</f>
        <v>Sabun Cuci Piring</v>
      </c>
      <c r="F7">
        <f>'XL-Test'!I51</f>
        <v>19900</v>
      </c>
      <c r="G7">
        <f>'XL-Test'!J51</f>
        <v>139300</v>
      </c>
      <c r="H7">
        <f>'XL-Test'!K51</f>
        <v>6965</v>
      </c>
      <c r="I7" t="str">
        <f>'XL-Test'!L51</f>
        <v>iPhone XR</v>
      </c>
      <c r="J7">
        <f>'XL-Test'!M51</f>
        <v>4500</v>
      </c>
      <c r="K7">
        <f>'XL-Test'!N51</f>
        <v>127835</v>
      </c>
      <c r="T7">
        <v>6</v>
      </c>
      <c r="U7" t="str">
        <f ca="1">SUBSTITUTE(_xlfn.FORMULATEXT('XL-Test'!L46),"$","")</f>
        <v>=VLOOKUP(H46;{0\"iPhone XR";11\"Samsung S20";16\"Mendoan"};2;1)</v>
      </c>
    </row>
    <row r="8" spans="1:30">
      <c r="C8">
        <v>7</v>
      </c>
      <c r="D8" t="str">
        <f>'XL-Test'!E52</f>
        <v>Toko Cemerlang</v>
      </c>
      <c r="E8" t="str">
        <f>'XL-Test'!G52</f>
        <v>Minyak Goreng</v>
      </c>
      <c r="F8">
        <f>'XL-Test'!I52</f>
        <v>23600</v>
      </c>
      <c r="G8">
        <f>'XL-Test'!J52</f>
        <v>236000</v>
      </c>
      <c r="H8">
        <f>'XL-Test'!K52</f>
        <v>11800</v>
      </c>
      <c r="I8" t="str">
        <f>'XL-Test'!L52</f>
        <v>iPhone XR</v>
      </c>
      <c r="J8">
        <f>'XL-Test'!M52</f>
        <v>4500</v>
      </c>
      <c r="K8">
        <f>'XL-Test'!N52</f>
        <v>219700</v>
      </c>
      <c r="T8">
        <v>7</v>
      </c>
      <c r="U8" t="str">
        <f ca="1">SUBSTITUTE(_xlfn.FORMULATEXT('XL-Test'!M46),"$","")</f>
        <v>=VLOOKUP(L46;IF({1\0};E73:E75;D73:D75);2;0)</v>
      </c>
    </row>
    <row r="9" spans="1:30">
      <c r="C9">
        <v>8</v>
      </c>
      <c r="D9" t="str">
        <f>'XL-Test'!E53</f>
        <v>Toko Bagus</v>
      </c>
      <c r="E9" t="str">
        <f>'XL-Test'!G53</f>
        <v>Pembersih Lantai</v>
      </c>
      <c r="F9">
        <f>'XL-Test'!I53</f>
        <v>30200</v>
      </c>
      <c r="G9">
        <f>'XL-Test'!J53</f>
        <v>724800</v>
      </c>
      <c r="H9">
        <f>'XL-Test'!K53</f>
        <v>181200</v>
      </c>
      <c r="I9" t="str">
        <f>'XL-Test'!L53</f>
        <v>Mendoan</v>
      </c>
      <c r="J9">
        <f>'XL-Test'!M53</f>
        <v>7500</v>
      </c>
      <c r="K9">
        <f>'XL-Test'!N53</f>
        <v>536100</v>
      </c>
      <c r="T9">
        <v>8</v>
      </c>
      <c r="U9" t="str">
        <f ca="1">SUBSTITUTE(_xlfn.FORMULATEXT('XL-Test'!N46),"$","")</f>
        <v>=J46-K46-M46</v>
      </c>
    </row>
    <row r="10" spans="1:30">
      <c r="C10">
        <v>9</v>
      </c>
      <c r="D10" t="str">
        <f>'XL-Test'!E54</f>
        <v>Toko Cemerlang</v>
      </c>
      <c r="E10" t="str">
        <f>'XL-Test'!G54</f>
        <v>Minyak Goreng</v>
      </c>
      <c r="F10">
        <f>'XL-Test'!I54</f>
        <v>23600</v>
      </c>
      <c r="G10">
        <f>'XL-Test'!J54</f>
        <v>259600</v>
      </c>
      <c r="H10">
        <f>'XL-Test'!K54</f>
        <v>25960</v>
      </c>
      <c r="I10" t="str">
        <f>'XL-Test'!L54</f>
        <v>Samsung S20</v>
      </c>
      <c r="J10">
        <f>'XL-Test'!M54</f>
        <v>3500</v>
      </c>
      <c r="K10">
        <f>'XL-Test'!N54</f>
        <v>230140</v>
      </c>
      <c r="T10">
        <v>9</v>
      </c>
    </row>
    <row r="11" spans="1:30">
      <c r="C11">
        <v>10</v>
      </c>
      <c r="D11" t="str">
        <f>'XL-Test'!E55</f>
        <v>Toko Bagus</v>
      </c>
      <c r="E11" t="str">
        <f>'XL-Test'!G55</f>
        <v>Pembersih Lantai</v>
      </c>
      <c r="F11">
        <f>'XL-Test'!I55</f>
        <v>30200</v>
      </c>
      <c r="G11">
        <f>'XL-Test'!J55</f>
        <v>211400</v>
      </c>
      <c r="H11">
        <f>'XL-Test'!K55</f>
        <v>10570</v>
      </c>
      <c r="I11" t="str">
        <f>'XL-Test'!L55</f>
        <v>iPhone XR</v>
      </c>
      <c r="J11">
        <f>'XL-Test'!M55</f>
        <v>4500</v>
      </c>
      <c r="K11">
        <f>'XL-Test'!N55</f>
        <v>196330</v>
      </c>
      <c r="T11">
        <v>10</v>
      </c>
    </row>
    <row r="12" spans="1:30">
      <c r="C12">
        <v>11</v>
      </c>
      <c r="D12" t="str">
        <f>'XL-Test'!E56</f>
        <v>Toko Bahagia</v>
      </c>
      <c r="E12" t="str">
        <f>'XL-Test'!G56</f>
        <v>Pewangi Pakaian</v>
      </c>
      <c r="F12">
        <f>'XL-Test'!I56</f>
        <v>32500</v>
      </c>
      <c r="G12">
        <f>'XL-Test'!J56</f>
        <v>780000</v>
      </c>
      <c r="H12">
        <f>'XL-Test'!K56</f>
        <v>195000</v>
      </c>
      <c r="I12" t="str">
        <f>'XL-Test'!L56</f>
        <v>Mendoan</v>
      </c>
      <c r="J12">
        <f>'XL-Test'!M56</f>
        <v>7500</v>
      </c>
      <c r="K12">
        <f>'XL-Test'!N56</f>
        <v>577500</v>
      </c>
    </row>
    <row r="13" spans="1:30">
      <c r="C13">
        <v>12</v>
      </c>
      <c r="D13" t="str">
        <f>'XL-Test'!E57</f>
        <v>Toko Bagus</v>
      </c>
      <c r="E13" t="str">
        <f>'XL-Test'!G57</f>
        <v>Detergen</v>
      </c>
      <c r="F13">
        <f>'XL-Test'!I57</f>
        <v>28000</v>
      </c>
      <c r="G13">
        <f>'XL-Test'!J57</f>
        <v>56000</v>
      </c>
      <c r="H13">
        <f>'XL-Test'!K57</f>
        <v>2800</v>
      </c>
      <c r="I13" t="str">
        <f>'XL-Test'!L57</f>
        <v>iPhone XR</v>
      </c>
      <c r="J13">
        <f>'XL-Test'!M57</f>
        <v>4500</v>
      </c>
      <c r="K13">
        <f>'XL-Test'!N57</f>
        <v>48700</v>
      </c>
    </row>
    <row r="14" spans="1:30">
      <c r="C14">
        <v>13</v>
      </c>
      <c r="D14" t="str">
        <f>'XL-Test'!E58</f>
        <v>Toko Bahagia</v>
      </c>
      <c r="E14" t="str">
        <f>'XL-Test'!G58</f>
        <v>Detergen</v>
      </c>
      <c r="F14">
        <f>'XL-Test'!I58</f>
        <v>28000</v>
      </c>
      <c r="G14">
        <f>'XL-Test'!J58</f>
        <v>28000</v>
      </c>
      <c r="H14">
        <f>'XL-Test'!K58</f>
        <v>1400</v>
      </c>
      <c r="I14" t="str">
        <f>'XL-Test'!L58</f>
        <v>iPhone XR</v>
      </c>
      <c r="J14">
        <f>'XL-Test'!M58</f>
        <v>4500</v>
      </c>
      <c r="K14">
        <f>'XL-Test'!N58</f>
        <v>22100</v>
      </c>
    </row>
    <row r="15" spans="1:30">
      <c r="C15">
        <v>14</v>
      </c>
      <c r="D15" t="str">
        <f>'XL-Test'!E59</f>
        <v>Toko Bagus</v>
      </c>
      <c r="E15" t="str">
        <f>'XL-Test'!G59</f>
        <v>Pembersih Lantai</v>
      </c>
      <c r="F15">
        <f>'XL-Test'!I59</f>
        <v>30200</v>
      </c>
      <c r="G15">
        <f>'XL-Test'!J59</f>
        <v>362400</v>
      </c>
      <c r="H15">
        <f>'XL-Test'!K59</f>
        <v>36240</v>
      </c>
      <c r="I15" t="str">
        <f>'XL-Test'!L59</f>
        <v>Samsung S20</v>
      </c>
      <c r="J15">
        <f>'XL-Test'!M59</f>
        <v>3500</v>
      </c>
      <c r="K15">
        <f>'XL-Test'!N59</f>
        <v>322660</v>
      </c>
    </row>
    <row r="16" spans="1:30">
      <c r="C16">
        <v>15</v>
      </c>
      <c r="D16" t="str">
        <f>'XL-Test'!E60</f>
        <v>Toko Bahagia</v>
      </c>
      <c r="E16" t="str">
        <f>'XL-Test'!G60</f>
        <v>Pembersih Lantai</v>
      </c>
      <c r="F16">
        <f>'XL-Test'!I60</f>
        <v>30200</v>
      </c>
      <c r="G16">
        <f>'XL-Test'!J60</f>
        <v>694600</v>
      </c>
      <c r="H16">
        <f>'XL-Test'!K60</f>
        <v>173650</v>
      </c>
      <c r="I16" t="str">
        <f>'XL-Test'!L60</f>
        <v>Mendoan</v>
      </c>
      <c r="J16">
        <f>'XL-Test'!M60</f>
        <v>7500</v>
      </c>
      <c r="K16">
        <f>'XL-Test'!N60</f>
        <v>513450</v>
      </c>
    </row>
    <row r="18" spans="2:13">
      <c r="C18" t="s">
        <v>94</v>
      </c>
      <c r="D18">
        <f>CODE(RIGHT(D3))+CODE(RIGHT(D2))+CODE(RIGHT(D4))+CODE(RIGHT(D5))+CODE(RIGHT(D6))+CODE(RIGHT(D6))+CODE(RIGHT(D7))+CODE(RIGHT(D8))+CODE(RIGHT(D9))+CODE(RIGHT(D10))+CODE(RIGHT(D11))+CODE(RIGHT(D12))+CODE(RIGHT(D13))+CODE(RIGHT(D14))+CODE(RIGHT(D15))+CODE(RIGHT(D16))+CODE(MID(D2,7,1))+CODE(MID(D3,7,1))+CODE(MID(D4,7,1))+CODE(MID(D5,7,1))+CODE(MID(D6,7,1))+CODE(MID(D7,7,1))+CODE(MID(D8,7,1))</f>
        <v>2399</v>
      </c>
      <c r="E18">
        <f>CODE(RIGHT(E3))+CODE(RIGHT(E2))+CODE(RIGHT(E4))+CODE(RIGHT(E5))+CODE(RIGHT(E6))+CODE(RIGHT(E6))+CODE(RIGHT(E7))+CODE(RIGHT(E8))+CODE(RIGHT(E9))+CODE(RIGHT(E10))+CODE(RIGHT(E11))+CODE(RIGHT(E12))+CODE(RIGHT(E13))+CODE(RIGHT(E14))+CODE(RIGHT(E15))+CODE(RIGHT(E16))+CODE(LEFT(E2))+CODE(LEFT(E3))+CODE(LEFT(E4))+CODE(LEFT(E5))+CODE(LEFT(E6))+CODE(LEFT(E6))</f>
        <v>2175</v>
      </c>
      <c r="F18">
        <f>SUM(F2:F16)+F3+F6+F10+F14</f>
        <v>533700</v>
      </c>
      <c r="G18">
        <f>SUM(G2:G16)+G3+G7+G10+G13</f>
        <v>5495300</v>
      </c>
      <c r="H18">
        <f>SUM(H2:H16)+H2+H5+H9+H13+H15</f>
        <v>1037275</v>
      </c>
      <c r="I18">
        <f>CODE( LEFT(I3))+CODE( LEFT(I2))+CODE( LEFT(I4))+CODE( LEFT(I5))+CODE( LEFT(I6))+CODE( LEFT(I6))+CODE( LEFT(I7))+CODE( LEFT(I8))+CODE( LEFT(I9))+CODE( LEFT(I10))+CODE( LEFT(I11))+CODE( LEFT(I12))+CODE( LEFT(I13))+CODE( LEFT(I14))+CODE( LEFT(I15))+CODE( LEFT(I16))+CODE(RIGHT(I2))+CODE(RIGHT(I3))+CODE(RIGHT(I4))+CODE(RIGHT(I5))+CODE(RIGHT(I6))+CODE(RIGHT(I6))</f>
        <v>1932</v>
      </c>
      <c r="J18">
        <f>SUM(J2:J16)+J3+J6+J10+J13</f>
        <v>92500</v>
      </c>
      <c r="K18">
        <f>SUM(K2:K16)+K4+K8+K13+K16</f>
        <v>4964050</v>
      </c>
      <c r="L18">
        <f>L2*100+L3</f>
        <v>3952975</v>
      </c>
      <c r="M18">
        <f>INT(M4+M5)</f>
        <v>26240966</v>
      </c>
    </row>
    <row r="20" spans="2:13">
      <c r="B20" t="s">
        <v>95</v>
      </c>
      <c r="C20" t="s">
        <v>96</v>
      </c>
      <c r="D20" t="str">
        <f ca="1">IFERROR(DEC2HEX(IF(OR(D2="",D2=0),D22,D18)),"EEEE")&amp;D31</f>
        <v>95F1</v>
      </c>
      <c r="E20" t="str">
        <f t="shared" ref="E20:M20" ca="1" si="0">IFERROR(DEC2HEX(IF(OR(E2="",E2=0),E22,E18)),"EEEE")&amp;E31</f>
        <v>87F1</v>
      </c>
      <c r="F20" t="str">
        <f t="shared" ca="1" si="0"/>
        <v>824C41</v>
      </c>
      <c r="G20" t="str">
        <f t="shared" ca="1" si="0"/>
        <v>53DA041</v>
      </c>
      <c r="H20" t="str">
        <f t="shared" ca="1" si="0"/>
        <v>FD3DB1</v>
      </c>
      <c r="I20" t="str">
        <f t="shared" ca="1" si="0"/>
        <v>78C1</v>
      </c>
      <c r="J20" t="str">
        <f t="shared" ca="1" si="0"/>
        <v>169541</v>
      </c>
      <c r="K20" t="str">
        <f t="shared" ca="1" si="0"/>
        <v>4BBED21</v>
      </c>
      <c r="L20" t="str">
        <f t="shared" ca="1" si="0"/>
        <v>3C514F1</v>
      </c>
      <c r="M20" t="str">
        <f t="shared" ca="1" si="0"/>
        <v>19067C61</v>
      </c>
    </row>
    <row r="22" spans="2:13">
      <c r="C22" t="s">
        <v>97</v>
      </c>
      <c r="D22">
        <v>5567</v>
      </c>
      <c r="E22">
        <v>8646</v>
      </c>
      <c r="F22">
        <v>1669</v>
      </c>
      <c r="G22">
        <v>3015</v>
      </c>
      <c r="H22">
        <v>2054</v>
      </c>
      <c r="I22">
        <v>4590</v>
      </c>
      <c r="J22">
        <v>7598</v>
      </c>
      <c r="K22">
        <v>7048</v>
      </c>
      <c r="L22">
        <v>9956</v>
      </c>
      <c r="M22">
        <v>4653</v>
      </c>
    </row>
    <row r="24" spans="2:13">
      <c r="C24" t="b">
        <v>1</v>
      </c>
      <c r="D24" t="str">
        <f>LEFT(DEC2HEX(D22),2)</f>
        <v>15</v>
      </c>
      <c r="E24" t="str">
        <f t="shared" ref="E24:M24" si="1">LEFT(DEC2HEX(E22),2)</f>
        <v>21</v>
      </c>
      <c r="F24" t="str">
        <f t="shared" si="1"/>
        <v>68</v>
      </c>
      <c r="G24" t="str">
        <f t="shared" si="1"/>
        <v>BC</v>
      </c>
      <c r="H24" t="str">
        <f t="shared" si="1"/>
        <v>80</v>
      </c>
      <c r="I24" t="str">
        <f t="shared" si="1"/>
        <v>11</v>
      </c>
      <c r="J24" t="str">
        <f t="shared" si="1"/>
        <v>1D</v>
      </c>
      <c r="K24" t="str">
        <f t="shared" si="1"/>
        <v>1B</v>
      </c>
      <c r="L24" t="str">
        <f t="shared" si="1"/>
        <v>26</v>
      </c>
      <c r="M24" t="str">
        <f t="shared" si="1"/>
        <v>12</v>
      </c>
    </row>
    <row r="25" spans="2:13">
      <c r="C25" t="b">
        <v>0</v>
      </c>
      <c r="D25" t="str">
        <f>RIGHT(DEC2HEX(D22),2)</f>
        <v>BF</v>
      </c>
      <c r="E25" t="str">
        <f t="shared" ref="E25:M25" si="2">RIGHT(DEC2HEX(E22),2)</f>
        <v>C6</v>
      </c>
      <c r="F25" t="str">
        <f t="shared" si="2"/>
        <v>85</v>
      </c>
      <c r="G25" t="str">
        <f t="shared" si="2"/>
        <v>C7</v>
      </c>
      <c r="H25" t="str">
        <f t="shared" si="2"/>
        <v>06</v>
      </c>
      <c r="I25" t="str">
        <f t="shared" si="2"/>
        <v>EE</v>
      </c>
      <c r="J25" t="str">
        <f t="shared" si="2"/>
        <v>AE</v>
      </c>
      <c r="K25" t="str">
        <f t="shared" si="2"/>
        <v>88</v>
      </c>
      <c r="L25" t="str">
        <f t="shared" si="2"/>
        <v>E4</v>
      </c>
      <c r="M25" t="str">
        <f t="shared" si="2"/>
        <v>2D</v>
      </c>
    </row>
    <row r="28" spans="2:13">
      <c r="C28" t="s">
        <v>98</v>
      </c>
      <c r="D28" t="b">
        <f ca="1">AND(OR(ISNUMBER(FIND("(B",U2)),ISNUMBER(FIND("(C",U2)),ISNUMBER(FIND(":E",U2))),OR(ISNUMBER(FIND("66",U2)),ISNUMBER(FIND("67",U2)),ISNUMBER(FIND("68",U2))))</f>
        <v>1</v>
      </c>
      <c r="E28" t="b">
        <f ca="1">AND(OR(ISNUMBER(FIND(";G",SUBSTITUTE(V2,",",";"))),ISNUMBER(FIND(":H",V2)),ISNUMBER(FIND(":I",V2))),ISNUMBER(FIND(";1;",SUBSTITUTE(V2,",",";"))))</f>
        <v>1</v>
      </c>
      <c r="F28" t="b">
        <f ca="1">OR(ISNUMBER(FIND(";G",SUBSTITUTE(W2,",",";"))),ISNUMBER(FIND(":I",W2)))</f>
        <v>1</v>
      </c>
      <c r="G28" t="b">
        <v>1</v>
      </c>
      <c r="H28" t="b">
        <f ca="1">AND(OR(ISNUMBER(FIND("(K",Y2)),ISNUMBER(FIND(":M",Y2))),OR(ISNUMBER(FIND("66",Y2)),ISNUMBER(FIND("67",Y2)),ISNUMBER(FIND("68",Y2)),ISNUMBER(FIND("69",Y2)),ISNUMBER(FIND("70",Y2))))</f>
        <v>1</v>
      </c>
      <c r="I28" t="b">
        <f ca="1">OR(ISNUMBER(FIND("{",Z2)),ISNUMBER(FIND("}",Z2)),ISNUMBER(FIND("STACK",Z2)))</f>
        <v>1</v>
      </c>
      <c r="J28" t="b">
        <f ca="1">AND(ISNUMBER(FIND(":E",AA2)),ISNUMBER(FIND(":D",AA2)))</f>
        <v>1</v>
      </c>
      <c r="K28" t="b">
        <v>1</v>
      </c>
      <c r="L28" t="b">
        <v>1</v>
      </c>
      <c r="M28" t="b">
        <v>1</v>
      </c>
    </row>
    <row r="29" spans="2:13">
      <c r="C29" t="s">
        <v>99</v>
      </c>
      <c r="D29" t="b">
        <f ca="1">AND(ISNUMBER(FIND("=",U2)),ISNUMBER(FIND("(",U2)))</f>
        <v>1</v>
      </c>
      <c r="E29" t="b">
        <f t="shared" ref="E29:H29" ca="1" si="3">AND(ISNUMBER(FIND("=",V2)),ISNUMBER(FIND("(",V2)))</f>
        <v>1</v>
      </c>
      <c r="F29" t="b">
        <f t="shared" ca="1" si="3"/>
        <v>1</v>
      </c>
      <c r="G29" t="b">
        <f ca="1">AND(ISNUMBER(FIND("=",X2)))</f>
        <v>1</v>
      </c>
      <c r="H29" t="b">
        <f t="shared" ca="1" si="3"/>
        <v>1</v>
      </c>
      <c r="I29" t="b">
        <f t="shared" ref="I29" ca="1" si="4">AND(ISNUMBER(FIND("=",Z2)),ISNUMBER(FIND("(",Z2)))</f>
        <v>1</v>
      </c>
      <c r="J29" t="b">
        <f t="shared" ref="J29" ca="1" si="5">AND(ISNUMBER(FIND("=",AA2)),ISNUMBER(FIND("(",AA2)))</f>
        <v>1</v>
      </c>
      <c r="K29" t="b">
        <f ca="1">AND(ISNUMBER(FIND("=",AB2)))</f>
        <v>1</v>
      </c>
      <c r="L29" t="b">
        <f t="shared" ref="L29:M29" ca="1" si="6">AND(ISNUMBER(FIND("=",AC2)))</f>
        <v>1</v>
      </c>
      <c r="M29" t="b">
        <f t="shared" ca="1" si="6"/>
        <v>1</v>
      </c>
    </row>
    <row r="30" spans="2:13">
      <c r="C30" t="s">
        <v>98</v>
      </c>
      <c r="D30" t="b">
        <f ca="1">AND(ISNUMBER(FIND("VLO",U2)))</f>
        <v>1</v>
      </c>
      <c r="E30" t="b">
        <f t="shared" ref="E30:J30" ca="1" si="7">AND(ISNUMBER(FIND("VLO",V2)))</f>
        <v>1</v>
      </c>
      <c r="F30" t="b">
        <f t="shared" ca="1" si="7"/>
        <v>1</v>
      </c>
      <c r="G30" t="b">
        <v>1</v>
      </c>
      <c r="H30" t="b">
        <f ca="1">AND(ISNUMBER(FIND("HLO",Y2)))</f>
        <v>1</v>
      </c>
      <c r="I30" t="b">
        <f t="shared" ca="1" si="7"/>
        <v>1</v>
      </c>
      <c r="J30" t="b">
        <f t="shared" ca="1" si="7"/>
        <v>1</v>
      </c>
      <c r="K30" t="b">
        <v>1</v>
      </c>
      <c r="L30" t="b">
        <v>1</v>
      </c>
      <c r="M30" t="b">
        <v>1</v>
      </c>
    </row>
    <row r="31" spans="2:13">
      <c r="B31" t="s">
        <v>100</v>
      </c>
      <c r="D31">
        <f ca="1">AND(D28:D30,D62)+0</f>
        <v>1</v>
      </c>
      <c r="E31">
        <f t="shared" ref="E31:M31" ca="1" si="8">AND(E28:E30,E62)+0</f>
        <v>1</v>
      </c>
      <c r="F31">
        <f t="shared" ca="1" si="8"/>
        <v>1</v>
      </c>
      <c r="G31">
        <f t="shared" ca="1" si="8"/>
        <v>1</v>
      </c>
      <c r="H31">
        <f t="shared" ca="1" si="8"/>
        <v>1</v>
      </c>
      <c r="I31">
        <f t="shared" ca="1" si="8"/>
        <v>1</v>
      </c>
      <c r="J31">
        <f t="shared" ca="1" si="8"/>
        <v>1</v>
      </c>
      <c r="K31">
        <f t="shared" ca="1" si="8"/>
        <v>1</v>
      </c>
      <c r="L31">
        <f t="shared" ca="1" si="8"/>
        <v>1</v>
      </c>
      <c r="M31">
        <f t="shared" ca="1" si="8"/>
        <v>1</v>
      </c>
    </row>
    <row r="33" spans="2:13">
      <c r="C33" t="s">
        <v>101</v>
      </c>
      <c r="D33">
        <f ca="1">IFERROR(LEN(U2)-LEN(SUBSTITUTE(U2,"(","")),99)</f>
        <v>2</v>
      </c>
      <c r="E33">
        <f t="shared" ref="E33:M33" ca="1" si="9">IFERROR(LEN(V2)-LEN(SUBSTITUTE(V2,"(","")),99)</f>
        <v>2</v>
      </c>
      <c r="F33">
        <f t="shared" ca="1" si="9"/>
        <v>1</v>
      </c>
      <c r="G33">
        <f t="shared" ca="1" si="9"/>
        <v>1</v>
      </c>
      <c r="H33">
        <f t="shared" ca="1" si="9"/>
        <v>2</v>
      </c>
      <c r="I33">
        <f t="shared" ca="1" si="9"/>
        <v>1</v>
      </c>
      <c r="J33">
        <f t="shared" ca="1" si="9"/>
        <v>2</v>
      </c>
      <c r="K33">
        <f t="shared" ca="1" si="9"/>
        <v>0</v>
      </c>
      <c r="L33">
        <f t="shared" ca="1" si="9"/>
        <v>1</v>
      </c>
      <c r="M33">
        <f t="shared" ca="1" si="9"/>
        <v>1</v>
      </c>
    </row>
    <row r="34" spans="2:13">
      <c r="D34">
        <v>2</v>
      </c>
      <c r="E34">
        <v>2</v>
      </c>
      <c r="F34">
        <v>2</v>
      </c>
      <c r="G34">
        <v>1</v>
      </c>
      <c r="H34">
        <v>2</v>
      </c>
      <c r="I34">
        <v>2</v>
      </c>
      <c r="J34">
        <v>2</v>
      </c>
      <c r="K34">
        <v>0</v>
      </c>
      <c r="L34">
        <v>1</v>
      </c>
      <c r="M34">
        <v>1</v>
      </c>
    </row>
    <row r="35" spans="2:13">
      <c r="D35" t="b">
        <f ca="1">D33&lt;=D34</f>
        <v>1</v>
      </c>
      <c r="E35" t="b">
        <f t="shared" ref="E35:M35" ca="1" si="10">E33&lt;=E34</f>
        <v>1</v>
      </c>
      <c r="F35" t="b">
        <f t="shared" ca="1" si="10"/>
        <v>1</v>
      </c>
      <c r="G35" t="b">
        <v>1</v>
      </c>
      <c r="H35" t="b">
        <f t="shared" ca="1" si="10"/>
        <v>1</v>
      </c>
      <c r="I35" t="b">
        <f t="shared" ca="1" si="10"/>
        <v>1</v>
      </c>
      <c r="J35" t="b">
        <f t="shared" ca="1" si="10"/>
        <v>1</v>
      </c>
      <c r="K35" t="b">
        <v>1</v>
      </c>
      <c r="L35" t="b">
        <f t="shared" ca="1" si="10"/>
        <v>1</v>
      </c>
      <c r="M35" t="b">
        <f t="shared" ca="1" si="10"/>
        <v>1</v>
      </c>
    </row>
    <row r="36" spans="2:13">
      <c r="D36">
        <f ca="1">D35+0</f>
        <v>1</v>
      </c>
      <c r="E36">
        <f t="shared" ref="E36:M36" ca="1" si="11">E35+0</f>
        <v>1</v>
      </c>
      <c r="F36">
        <f t="shared" ca="1" si="11"/>
        <v>1</v>
      </c>
      <c r="G36">
        <f t="shared" si="11"/>
        <v>1</v>
      </c>
      <c r="H36">
        <f t="shared" ca="1" si="11"/>
        <v>1</v>
      </c>
      <c r="I36">
        <f t="shared" ca="1" si="11"/>
        <v>1</v>
      </c>
      <c r="J36">
        <f t="shared" ca="1" si="11"/>
        <v>1</v>
      </c>
      <c r="K36">
        <f t="shared" si="11"/>
        <v>1</v>
      </c>
      <c r="L36">
        <f t="shared" ca="1" si="11"/>
        <v>1</v>
      </c>
      <c r="M36">
        <f t="shared" ca="1" si="11"/>
        <v>1</v>
      </c>
    </row>
    <row r="37" spans="2:13">
      <c r="C37" t="s">
        <v>101</v>
      </c>
      <c r="D37" t="b">
        <f ca="1">OR(AND(ISNUMBER(FIND("VLO",U2)),ISNUMBER(FIND("TRAN",U2))),AND(ISNUMBER(FIND("VLO",U2)),OR(ISNUMBER(FIND("MATCH",U2)),ISNUMBER(FIND("IF",U2)),ISNUMBER(FIND("RIGH",U2)))))</f>
        <v>1</v>
      </c>
      <c r="E37" t="b">
        <f ca="1">AND(ISNUMBER(FIND("VLO",V2)),ISNUMBER(FIND("*",V2)))</f>
        <v>1</v>
      </c>
      <c r="F37" t="b">
        <f ca="1">AND(ISNUMBER(FIND("VLO",W2)),ISNUMBER(FIND("*",W2)))</f>
        <v>1</v>
      </c>
      <c r="G37" t="b">
        <f ca="1">OR(ISNUMBER(FIND("*",X2)),ISNUMBER(FIND("PROD",X2)))</f>
        <v>1</v>
      </c>
      <c r="H37" t="b">
        <f ca="1">AND(ISNUMBER(FIND("HLO",Y2)),ISNUMBER(FIND("TRAN",Y2)))</f>
        <v>1</v>
      </c>
      <c r="I37" t="b">
        <f ca="1">AND(ISNUMBER(FIND("VLO",Z2)),OR(ISNUMBER(FIND("{",Z2)),ISNUMBER(FIND("STACK",Z2))))</f>
        <v>1</v>
      </c>
      <c r="J37" t="b">
        <f ca="1">AND(ISNUMBER(FIND("VLO",AA2)),ISNUMBER(FIND("{",AA2)))</f>
        <v>1</v>
      </c>
      <c r="K37" t="b">
        <f ca="1">AND(ISNUMBER(FIND("-",AB2)))</f>
        <v>1</v>
      </c>
      <c r="L37" t="b">
        <f ca="1">AND(ISNUMBER(FIND("SUM",AC2)))</f>
        <v>1</v>
      </c>
      <c r="M37" t="b">
        <f ca="1">AND(ISNUMBER(FIND("AVE",AD2)))</f>
        <v>1</v>
      </c>
    </row>
    <row r="39" spans="2:13">
      <c r="B39" t="s">
        <v>95</v>
      </c>
      <c r="D39" t="str">
        <f ca="1">IF(D37,D24,D25)&amp;D36</f>
        <v>151</v>
      </c>
      <c r="E39" t="str">
        <f t="shared" ref="E39:M39" ca="1" si="12">IF(E37,E24,E25)&amp;E36</f>
        <v>211</v>
      </c>
      <c r="F39" t="str">
        <f t="shared" ca="1" si="12"/>
        <v>681</v>
      </c>
      <c r="G39" t="str">
        <f t="shared" ca="1" si="12"/>
        <v>BC1</v>
      </c>
      <c r="H39" t="str">
        <f t="shared" ca="1" si="12"/>
        <v>801</v>
      </c>
      <c r="I39" t="str">
        <f t="shared" ca="1" si="12"/>
        <v>111</v>
      </c>
      <c r="J39" t="str">
        <f t="shared" ca="1" si="12"/>
        <v>1D1</v>
      </c>
      <c r="K39" t="str">
        <f t="shared" ca="1" si="12"/>
        <v>1B1</v>
      </c>
      <c r="L39" t="str">
        <f t="shared" ca="1" si="12"/>
        <v>261</v>
      </c>
      <c r="M39" t="str">
        <f t="shared" ca="1" si="12"/>
        <v>121</v>
      </c>
    </row>
    <row r="43" spans="2:13">
      <c r="C43">
        <v>1</v>
      </c>
      <c r="D43">
        <f ca="1">IFERROR(LEN(_xlfn.FORMULATEXT('XL-Test'!E46)),0)</f>
        <v>40</v>
      </c>
      <c r="E43">
        <f ca="1">IFERROR(LEN(_xlfn.FORMULATEXT('XL-Test'!G46)),0)</f>
        <v>52</v>
      </c>
      <c r="F43">
        <f ca="1">IFERROR(LEN(_xlfn.FORMULATEXT('XL-Test'!I46)),0)</f>
        <v>41</v>
      </c>
      <c r="G43">
        <f ca="1">IFERROR(LEN(_xlfn.FORMULATEXT('XL-Test'!J46)),0)</f>
        <v>20</v>
      </c>
      <c r="H43">
        <f ca="1">IFERROR(LEN(_xlfn.FORMULATEXT('XL-Test'!K46)),0)</f>
        <v>47</v>
      </c>
      <c r="I43">
        <f ca="1">IFERROR(LEN(_xlfn.FORMULATEXT('XL-Test'!L46)),0)</f>
        <v>63</v>
      </c>
      <c r="J43">
        <f ca="1">IFERROR(LEN(_xlfn.FORMULATEXT('XL-Test'!M46)),0)</f>
        <v>51</v>
      </c>
      <c r="K43">
        <f ca="1">IFERROR(LEN(_xlfn.FORMULATEXT('XL-Test'!N46)),0)</f>
        <v>12</v>
      </c>
    </row>
    <row r="44" spans="2:13">
      <c r="C44">
        <v>2</v>
      </c>
      <c r="D44">
        <f ca="1">IFERROR(LEN(_xlfn.FORMULATEXT('XL-Test'!E47)),0)</f>
        <v>40</v>
      </c>
      <c r="E44">
        <f ca="1">IFERROR(LEN(_xlfn.FORMULATEXT('XL-Test'!G47)),0)</f>
        <v>52</v>
      </c>
      <c r="F44">
        <f ca="1">IFERROR(LEN(_xlfn.FORMULATEXT('XL-Test'!I47)),0)</f>
        <v>41</v>
      </c>
      <c r="G44">
        <f ca="1">IFERROR(LEN(_xlfn.FORMULATEXT('XL-Test'!J47)),0)</f>
        <v>20</v>
      </c>
      <c r="H44">
        <f ca="1">IFERROR(LEN(_xlfn.FORMULATEXT('XL-Test'!K47)),0)</f>
        <v>47</v>
      </c>
      <c r="I44">
        <f ca="1">IFERROR(LEN(_xlfn.FORMULATEXT('XL-Test'!L47)),0)</f>
        <v>63</v>
      </c>
      <c r="J44">
        <f ca="1">IFERROR(LEN(_xlfn.FORMULATEXT('XL-Test'!M47)),0)</f>
        <v>51</v>
      </c>
      <c r="K44">
        <f ca="1">IFERROR(LEN(_xlfn.FORMULATEXT('XL-Test'!N47)),0)</f>
        <v>12</v>
      </c>
    </row>
    <row r="45" spans="2:13">
      <c r="C45">
        <v>3</v>
      </c>
      <c r="D45">
        <f ca="1">IFERROR(LEN(_xlfn.FORMULATEXT('XL-Test'!E48)),0)</f>
        <v>40</v>
      </c>
      <c r="E45">
        <f ca="1">IFERROR(LEN(_xlfn.FORMULATEXT('XL-Test'!G48)),0)</f>
        <v>52</v>
      </c>
      <c r="F45">
        <f ca="1">IFERROR(LEN(_xlfn.FORMULATEXT('XL-Test'!I48)),0)</f>
        <v>41</v>
      </c>
      <c r="G45">
        <f ca="1">IFERROR(LEN(_xlfn.FORMULATEXT('XL-Test'!J48)),0)</f>
        <v>20</v>
      </c>
      <c r="H45">
        <f ca="1">IFERROR(LEN(_xlfn.FORMULATEXT('XL-Test'!K48)),0)</f>
        <v>47</v>
      </c>
      <c r="I45">
        <f ca="1">IFERROR(LEN(_xlfn.FORMULATEXT('XL-Test'!L48)),0)</f>
        <v>63</v>
      </c>
      <c r="J45">
        <f ca="1">IFERROR(LEN(_xlfn.FORMULATEXT('XL-Test'!M48)),0)</f>
        <v>51</v>
      </c>
      <c r="K45">
        <f ca="1">IFERROR(LEN(_xlfn.FORMULATEXT('XL-Test'!N48)),0)</f>
        <v>12</v>
      </c>
    </row>
    <row r="46" spans="2:13">
      <c r="C46">
        <v>4</v>
      </c>
      <c r="D46">
        <f ca="1">IFERROR(LEN(_xlfn.FORMULATEXT('XL-Test'!E49)),0)</f>
        <v>40</v>
      </c>
      <c r="E46">
        <f ca="1">IFERROR(LEN(_xlfn.FORMULATEXT('XL-Test'!G49)),0)</f>
        <v>52</v>
      </c>
      <c r="F46">
        <f ca="1">IFERROR(LEN(_xlfn.FORMULATEXT('XL-Test'!I49)),0)</f>
        <v>41</v>
      </c>
      <c r="G46">
        <f ca="1">IFERROR(LEN(_xlfn.FORMULATEXT('XL-Test'!J49)),0)</f>
        <v>20</v>
      </c>
      <c r="H46">
        <f ca="1">IFERROR(LEN(_xlfn.FORMULATEXT('XL-Test'!K49)),0)</f>
        <v>47</v>
      </c>
      <c r="I46">
        <f ca="1">IFERROR(LEN(_xlfn.FORMULATEXT('XL-Test'!L49)),0)</f>
        <v>63</v>
      </c>
      <c r="J46">
        <f ca="1">IFERROR(LEN(_xlfn.FORMULATEXT('XL-Test'!M49)),0)</f>
        <v>51</v>
      </c>
      <c r="K46">
        <f ca="1">IFERROR(LEN(_xlfn.FORMULATEXT('XL-Test'!N49)),0)</f>
        <v>12</v>
      </c>
    </row>
    <row r="47" spans="2:13">
      <c r="C47">
        <v>5</v>
      </c>
      <c r="D47">
        <f ca="1">IFERROR(LEN(_xlfn.FORMULATEXT('XL-Test'!E50)),0)</f>
        <v>40</v>
      </c>
      <c r="E47">
        <f ca="1">IFERROR(LEN(_xlfn.FORMULATEXT('XL-Test'!G50)),0)</f>
        <v>52</v>
      </c>
      <c r="F47">
        <f ca="1">IFERROR(LEN(_xlfn.FORMULATEXT('XL-Test'!I50)),0)</f>
        <v>41</v>
      </c>
      <c r="G47">
        <f ca="1">IFERROR(LEN(_xlfn.FORMULATEXT('XL-Test'!J50)),0)</f>
        <v>20</v>
      </c>
      <c r="H47">
        <f ca="1">IFERROR(LEN(_xlfn.FORMULATEXT('XL-Test'!K50)),0)</f>
        <v>47</v>
      </c>
      <c r="I47">
        <f ca="1">IFERROR(LEN(_xlfn.FORMULATEXT('XL-Test'!L50)),0)</f>
        <v>63</v>
      </c>
      <c r="J47">
        <f ca="1">IFERROR(LEN(_xlfn.FORMULATEXT('XL-Test'!M50)),0)</f>
        <v>51</v>
      </c>
      <c r="K47">
        <f ca="1">IFERROR(LEN(_xlfn.FORMULATEXT('XL-Test'!N50)),0)</f>
        <v>12</v>
      </c>
    </row>
    <row r="48" spans="2:13">
      <c r="C48">
        <v>6</v>
      </c>
      <c r="D48">
        <f ca="1">IFERROR(LEN(_xlfn.FORMULATEXT('XL-Test'!E51)),0)</f>
        <v>40</v>
      </c>
      <c r="E48">
        <f ca="1">IFERROR(LEN(_xlfn.FORMULATEXT('XL-Test'!G51)),0)</f>
        <v>52</v>
      </c>
      <c r="F48">
        <f ca="1">IFERROR(LEN(_xlfn.FORMULATEXT('XL-Test'!I51)),0)</f>
        <v>41</v>
      </c>
      <c r="G48">
        <f ca="1">IFERROR(LEN(_xlfn.FORMULATEXT('XL-Test'!J51)),0)</f>
        <v>20</v>
      </c>
      <c r="H48">
        <f ca="1">IFERROR(LEN(_xlfn.FORMULATEXT('XL-Test'!K51)),0)</f>
        <v>47</v>
      </c>
      <c r="I48">
        <f ca="1">IFERROR(LEN(_xlfn.FORMULATEXT('XL-Test'!L51)),0)</f>
        <v>63</v>
      </c>
      <c r="J48">
        <f ca="1">IFERROR(LEN(_xlfn.FORMULATEXT('XL-Test'!M51)),0)</f>
        <v>51</v>
      </c>
      <c r="K48">
        <f ca="1">IFERROR(LEN(_xlfn.FORMULATEXT('XL-Test'!N51)),0)</f>
        <v>12</v>
      </c>
    </row>
    <row r="49" spans="3:13">
      <c r="C49">
        <v>7</v>
      </c>
      <c r="D49">
        <f ca="1">IFERROR(LEN(_xlfn.FORMULATEXT('XL-Test'!E52)),0)</f>
        <v>40</v>
      </c>
      <c r="E49">
        <f ca="1">IFERROR(LEN(_xlfn.FORMULATEXT('XL-Test'!G52)),0)</f>
        <v>52</v>
      </c>
      <c r="F49">
        <f ca="1">IFERROR(LEN(_xlfn.FORMULATEXT('XL-Test'!I52)),0)</f>
        <v>41</v>
      </c>
      <c r="G49">
        <f ca="1">IFERROR(LEN(_xlfn.FORMULATEXT('XL-Test'!J52)),0)</f>
        <v>20</v>
      </c>
      <c r="H49">
        <f ca="1">IFERROR(LEN(_xlfn.FORMULATEXT('XL-Test'!K52)),0)</f>
        <v>47</v>
      </c>
      <c r="I49">
        <f ca="1">IFERROR(LEN(_xlfn.FORMULATEXT('XL-Test'!L52)),0)</f>
        <v>63</v>
      </c>
      <c r="J49">
        <f ca="1">IFERROR(LEN(_xlfn.FORMULATEXT('XL-Test'!M52)),0)</f>
        <v>51</v>
      </c>
      <c r="K49">
        <f ca="1">IFERROR(LEN(_xlfn.FORMULATEXT('XL-Test'!N52)),0)</f>
        <v>12</v>
      </c>
    </row>
    <row r="50" spans="3:13">
      <c r="C50">
        <v>8</v>
      </c>
      <c r="D50">
        <f ca="1">IFERROR(LEN(_xlfn.FORMULATEXT('XL-Test'!E53)),0)</f>
        <v>40</v>
      </c>
      <c r="E50">
        <f ca="1">IFERROR(LEN(_xlfn.FORMULATEXT('XL-Test'!G53)),0)</f>
        <v>52</v>
      </c>
      <c r="F50">
        <f ca="1">IFERROR(LEN(_xlfn.FORMULATEXT('XL-Test'!I53)),0)</f>
        <v>41</v>
      </c>
      <c r="G50">
        <f ca="1">IFERROR(LEN(_xlfn.FORMULATEXT('XL-Test'!J53)),0)</f>
        <v>20</v>
      </c>
      <c r="H50">
        <f ca="1">IFERROR(LEN(_xlfn.FORMULATEXT('XL-Test'!K53)),0)</f>
        <v>47</v>
      </c>
      <c r="I50">
        <f ca="1">IFERROR(LEN(_xlfn.FORMULATEXT('XL-Test'!L53)),0)</f>
        <v>63</v>
      </c>
      <c r="J50">
        <f ca="1">IFERROR(LEN(_xlfn.FORMULATEXT('XL-Test'!M53)),0)</f>
        <v>51</v>
      </c>
      <c r="K50">
        <f ca="1">IFERROR(LEN(_xlfn.FORMULATEXT('XL-Test'!N53)),0)</f>
        <v>12</v>
      </c>
    </row>
    <row r="51" spans="3:13">
      <c r="C51">
        <v>9</v>
      </c>
      <c r="D51">
        <f ca="1">IFERROR(LEN(_xlfn.FORMULATEXT('XL-Test'!E54)),0)</f>
        <v>40</v>
      </c>
      <c r="E51">
        <f ca="1">IFERROR(LEN(_xlfn.FORMULATEXT('XL-Test'!G54)),0)</f>
        <v>52</v>
      </c>
      <c r="F51">
        <f ca="1">IFERROR(LEN(_xlfn.FORMULATEXT('XL-Test'!I54)),0)</f>
        <v>41</v>
      </c>
      <c r="G51">
        <f ca="1">IFERROR(LEN(_xlfn.FORMULATEXT('XL-Test'!J54)),0)</f>
        <v>20</v>
      </c>
      <c r="H51">
        <f ca="1">IFERROR(LEN(_xlfn.FORMULATEXT('XL-Test'!K54)),0)</f>
        <v>47</v>
      </c>
      <c r="I51">
        <f ca="1">IFERROR(LEN(_xlfn.FORMULATEXT('XL-Test'!L54)),0)</f>
        <v>63</v>
      </c>
      <c r="J51">
        <f ca="1">IFERROR(LEN(_xlfn.FORMULATEXT('XL-Test'!M54)),0)</f>
        <v>51</v>
      </c>
      <c r="K51">
        <f ca="1">IFERROR(LEN(_xlfn.FORMULATEXT('XL-Test'!N54)),0)</f>
        <v>12</v>
      </c>
    </row>
    <row r="52" spans="3:13">
      <c r="C52">
        <v>10</v>
      </c>
      <c r="D52">
        <f ca="1">IFERROR(LEN(_xlfn.FORMULATEXT('XL-Test'!E55)),0)</f>
        <v>40</v>
      </c>
      <c r="E52">
        <f ca="1">IFERROR(LEN(_xlfn.FORMULATEXT('XL-Test'!G55)),0)</f>
        <v>52</v>
      </c>
      <c r="F52">
        <f ca="1">IFERROR(LEN(_xlfn.FORMULATEXT('XL-Test'!I55)),0)</f>
        <v>41</v>
      </c>
      <c r="G52">
        <f ca="1">IFERROR(LEN(_xlfn.FORMULATEXT('XL-Test'!J55)),0)</f>
        <v>20</v>
      </c>
      <c r="H52">
        <f ca="1">IFERROR(LEN(_xlfn.FORMULATEXT('XL-Test'!K55)),0)</f>
        <v>47</v>
      </c>
      <c r="I52">
        <f ca="1">IFERROR(LEN(_xlfn.FORMULATEXT('XL-Test'!L55)),0)</f>
        <v>63</v>
      </c>
      <c r="J52">
        <f ca="1">IFERROR(LEN(_xlfn.FORMULATEXT('XL-Test'!M55)),0)</f>
        <v>51</v>
      </c>
      <c r="K52">
        <f ca="1">IFERROR(LEN(_xlfn.FORMULATEXT('XL-Test'!N55)),0)</f>
        <v>12</v>
      </c>
    </row>
    <row r="53" spans="3:13">
      <c r="C53">
        <v>11</v>
      </c>
      <c r="D53">
        <f ca="1">IFERROR(LEN(_xlfn.FORMULATEXT('XL-Test'!E56)),0)</f>
        <v>40</v>
      </c>
      <c r="E53">
        <f ca="1">IFERROR(LEN(_xlfn.FORMULATEXT('XL-Test'!G56)),0)</f>
        <v>52</v>
      </c>
      <c r="F53">
        <f ca="1">IFERROR(LEN(_xlfn.FORMULATEXT('XL-Test'!I56)),0)</f>
        <v>41</v>
      </c>
      <c r="G53">
        <f ca="1">IFERROR(LEN(_xlfn.FORMULATEXT('XL-Test'!J56)),0)</f>
        <v>20</v>
      </c>
      <c r="H53">
        <f ca="1">IFERROR(LEN(_xlfn.FORMULATEXT('XL-Test'!K56)),0)</f>
        <v>47</v>
      </c>
      <c r="I53">
        <f ca="1">IFERROR(LEN(_xlfn.FORMULATEXT('XL-Test'!L56)),0)</f>
        <v>63</v>
      </c>
      <c r="J53">
        <f ca="1">IFERROR(LEN(_xlfn.FORMULATEXT('XL-Test'!M56)),0)</f>
        <v>51</v>
      </c>
      <c r="K53">
        <f ca="1">IFERROR(LEN(_xlfn.FORMULATEXT('XL-Test'!N56)),0)</f>
        <v>12</v>
      </c>
    </row>
    <row r="54" spans="3:13">
      <c r="C54">
        <v>12</v>
      </c>
      <c r="D54">
        <f ca="1">IFERROR(LEN(_xlfn.FORMULATEXT('XL-Test'!E57)),0)</f>
        <v>40</v>
      </c>
      <c r="E54">
        <f ca="1">IFERROR(LEN(_xlfn.FORMULATEXT('XL-Test'!G57)),0)</f>
        <v>52</v>
      </c>
      <c r="F54">
        <f ca="1">IFERROR(LEN(_xlfn.FORMULATEXT('XL-Test'!I57)),0)</f>
        <v>41</v>
      </c>
      <c r="G54">
        <f ca="1">IFERROR(LEN(_xlfn.FORMULATEXT('XL-Test'!J57)),0)</f>
        <v>20</v>
      </c>
      <c r="H54">
        <f ca="1">IFERROR(LEN(_xlfn.FORMULATEXT('XL-Test'!K57)),0)</f>
        <v>47</v>
      </c>
      <c r="I54">
        <f ca="1">IFERROR(LEN(_xlfn.FORMULATEXT('XL-Test'!L57)),0)</f>
        <v>63</v>
      </c>
      <c r="J54">
        <f ca="1">IFERROR(LEN(_xlfn.FORMULATEXT('XL-Test'!M57)),0)</f>
        <v>51</v>
      </c>
      <c r="K54">
        <f ca="1">IFERROR(LEN(_xlfn.FORMULATEXT('XL-Test'!N57)),0)</f>
        <v>12</v>
      </c>
    </row>
    <row r="55" spans="3:13">
      <c r="C55">
        <v>13</v>
      </c>
      <c r="D55">
        <f ca="1">IFERROR(LEN(_xlfn.FORMULATEXT('XL-Test'!E58)),0)</f>
        <v>40</v>
      </c>
      <c r="E55">
        <f ca="1">IFERROR(LEN(_xlfn.FORMULATEXT('XL-Test'!G58)),0)</f>
        <v>52</v>
      </c>
      <c r="F55">
        <f ca="1">IFERROR(LEN(_xlfn.FORMULATEXT('XL-Test'!I58)),0)</f>
        <v>41</v>
      </c>
      <c r="G55">
        <f ca="1">IFERROR(LEN(_xlfn.FORMULATEXT('XL-Test'!J58)),0)</f>
        <v>20</v>
      </c>
      <c r="H55">
        <f ca="1">IFERROR(LEN(_xlfn.FORMULATEXT('XL-Test'!K58)),0)</f>
        <v>47</v>
      </c>
      <c r="I55">
        <f ca="1">IFERROR(LEN(_xlfn.FORMULATEXT('XL-Test'!L58)),0)</f>
        <v>63</v>
      </c>
      <c r="J55">
        <f ca="1">IFERROR(LEN(_xlfn.FORMULATEXT('XL-Test'!M58)),0)</f>
        <v>51</v>
      </c>
      <c r="K55">
        <f ca="1">IFERROR(LEN(_xlfn.FORMULATEXT('XL-Test'!N58)),0)</f>
        <v>12</v>
      </c>
    </row>
    <row r="56" spans="3:13">
      <c r="C56">
        <v>14</v>
      </c>
      <c r="D56">
        <f ca="1">IFERROR(LEN(_xlfn.FORMULATEXT('XL-Test'!E59)),0)</f>
        <v>40</v>
      </c>
      <c r="E56">
        <f ca="1">IFERROR(LEN(_xlfn.FORMULATEXT('XL-Test'!G59)),0)</f>
        <v>52</v>
      </c>
      <c r="F56">
        <f ca="1">IFERROR(LEN(_xlfn.FORMULATEXT('XL-Test'!I59)),0)</f>
        <v>41</v>
      </c>
      <c r="G56">
        <f ca="1">IFERROR(LEN(_xlfn.FORMULATEXT('XL-Test'!J59)),0)</f>
        <v>20</v>
      </c>
      <c r="H56">
        <f ca="1">IFERROR(LEN(_xlfn.FORMULATEXT('XL-Test'!K59)),0)</f>
        <v>47</v>
      </c>
      <c r="I56">
        <f ca="1">IFERROR(LEN(_xlfn.FORMULATEXT('XL-Test'!L59)),0)</f>
        <v>63</v>
      </c>
      <c r="J56">
        <f ca="1">IFERROR(LEN(_xlfn.FORMULATEXT('XL-Test'!M59)),0)</f>
        <v>51</v>
      </c>
      <c r="K56">
        <f ca="1">IFERROR(LEN(_xlfn.FORMULATEXT('XL-Test'!N59)),0)</f>
        <v>12</v>
      </c>
    </row>
    <row r="57" spans="3:13">
      <c r="C57">
        <v>15</v>
      </c>
      <c r="D57">
        <f ca="1">IFERROR(LEN(_xlfn.FORMULATEXT('XL-Test'!E60)),0)</f>
        <v>40</v>
      </c>
      <c r="E57">
        <f ca="1">IFERROR(LEN(_xlfn.FORMULATEXT('XL-Test'!G60)),0)</f>
        <v>52</v>
      </c>
      <c r="F57">
        <f ca="1">IFERROR(LEN(_xlfn.FORMULATEXT('XL-Test'!I60)),0)</f>
        <v>41</v>
      </c>
      <c r="G57">
        <f ca="1">IFERROR(LEN(_xlfn.FORMULATEXT('XL-Test'!J60)),0)</f>
        <v>20</v>
      </c>
      <c r="H57">
        <f ca="1">IFERROR(LEN(_xlfn.FORMULATEXT('XL-Test'!K60)),0)</f>
        <v>47</v>
      </c>
      <c r="I57">
        <f ca="1">IFERROR(LEN(_xlfn.FORMULATEXT('XL-Test'!L60)),0)</f>
        <v>63</v>
      </c>
      <c r="J57">
        <f ca="1">IFERROR(LEN(_xlfn.FORMULATEXT('XL-Test'!M60)),0)</f>
        <v>51</v>
      </c>
      <c r="K57">
        <f ca="1">IFERROR(LEN(_xlfn.FORMULATEXT('XL-Test'!N60)),0)</f>
        <v>12</v>
      </c>
    </row>
    <row r="59" spans="3:13">
      <c r="D59">
        <f ca="1">AVERAGE(D43:D57)</f>
        <v>40</v>
      </c>
      <c r="E59">
        <f t="shared" ref="E59:K59" ca="1" si="13">AVERAGE(E43:E57)</f>
        <v>52</v>
      </c>
      <c r="F59">
        <f t="shared" ca="1" si="13"/>
        <v>41</v>
      </c>
      <c r="G59">
        <f t="shared" ca="1" si="13"/>
        <v>20</v>
      </c>
      <c r="H59">
        <f t="shared" ca="1" si="13"/>
        <v>47</v>
      </c>
      <c r="I59">
        <f t="shared" ca="1" si="13"/>
        <v>63</v>
      </c>
      <c r="J59">
        <f t="shared" ca="1" si="13"/>
        <v>51</v>
      </c>
      <c r="K59">
        <f t="shared" ca="1" si="13"/>
        <v>12</v>
      </c>
    </row>
    <row r="60" spans="3:13">
      <c r="C60" t="s">
        <v>102</v>
      </c>
      <c r="D60" t="b">
        <f ca="1">IF(AND(D43&gt;0,D47=0,D6&gt;0),TRUE,FALSE)</f>
        <v>0</v>
      </c>
      <c r="E60" t="b">
        <f t="shared" ref="E60:K60" ca="1" si="14">IF(AND(E43&gt;0,E47=0,E6&gt;0),TRUE,FALSE)</f>
        <v>0</v>
      </c>
      <c r="F60" t="b">
        <f t="shared" ca="1" si="14"/>
        <v>0</v>
      </c>
      <c r="G60" t="b">
        <f t="shared" ca="1" si="14"/>
        <v>0</v>
      </c>
      <c r="H60" t="b">
        <f t="shared" ca="1" si="14"/>
        <v>0</v>
      </c>
      <c r="I60" t="b">
        <f t="shared" ca="1" si="14"/>
        <v>0</v>
      </c>
      <c r="J60" t="b">
        <f t="shared" ca="1" si="14"/>
        <v>0</v>
      </c>
      <c r="K60" t="b">
        <f t="shared" ca="1" si="14"/>
        <v>0</v>
      </c>
    </row>
    <row r="62" spans="3:13">
      <c r="C62" t="s">
        <v>103</v>
      </c>
      <c r="D62" t="b">
        <f ca="1">OR(D60,D63)</f>
        <v>1</v>
      </c>
      <c r="E62" t="b">
        <f t="shared" ref="E62:K62" ca="1" si="15">OR(E60,E63)</f>
        <v>1</v>
      </c>
      <c r="F62" t="b">
        <f t="shared" ca="1" si="15"/>
        <v>1</v>
      </c>
      <c r="G62" t="b">
        <f t="shared" ca="1" si="15"/>
        <v>1</v>
      </c>
      <c r="H62" t="b">
        <f t="shared" ca="1" si="15"/>
        <v>1</v>
      </c>
      <c r="I62" t="b">
        <f t="shared" ca="1" si="15"/>
        <v>1</v>
      </c>
      <c r="J62" t="b">
        <f t="shared" ca="1" si="15"/>
        <v>1</v>
      </c>
      <c r="K62" t="b">
        <f t="shared" ca="1" si="15"/>
        <v>1</v>
      </c>
      <c r="L62" t="b">
        <v>1</v>
      </c>
      <c r="M62" t="b">
        <v>1</v>
      </c>
    </row>
    <row r="63" spans="3:13">
      <c r="D63" t="b">
        <f t="shared" ref="D63:K63" ca="1" si="16">IFERROR(D59=D43,FALSE)</f>
        <v>1</v>
      </c>
      <c r="E63" t="b">
        <f t="shared" ca="1" si="16"/>
        <v>1</v>
      </c>
      <c r="F63" t="b">
        <f t="shared" ca="1" si="16"/>
        <v>1</v>
      </c>
      <c r="G63" t="b">
        <f t="shared" ca="1" si="16"/>
        <v>1</v>
      </c>
      <c r="H63" t="b">
        <f t="shared" ca="1" si="16"/>
        <v>1</v>
      </c>
      <c r="I63" t="b">
        <f t="shared" ca="1" si="16"/>
        <v>1</v>
      </c>
      <c r="J63" t="b">
        <f t="shared" ca="1" si="16"/>
        <v>1</v>
      </c>
      <c r="K63" t="b">
        <f t="shared" ca="1" si="16"/>
        <v>1</v>
      </c>
      <c r="L63" t="b">
        <v>1</v>
      </c>
      <c r="M63" t="b">
        <v>1</v>
      </c>
    </row>
    <row r="66" spans="4:13">
      <c r="D66" t="str">
        <f t="shared" ref="D66:L66" ca="1" si="17">D39&amp;"-"&amp;D20&amp;";"</f>
        <v>151-95F1;</v>
      </c>
      <c r="E66" t="str">
        <f t="shared" ca="1" si="17"/>
        <v>211-87F1;</v>
      </c>
      <c r="F66" t="str">
        <f t="shared" ca="1" si="17"/>
        <v>681-824C41;</v>
      </c>
      <c r="G66" t="str">
        <f t="shared" ca="1" si="17"/>
        <v>BC1-53DA041;</v>
      </c>
      <c r="H66" t="str">
        <f t="shared" ca="1" si="17"/>
        <v>801-FD3DB1;</v>
      </c>
      <c r="I66" t="str">
        <f t="shared" ca="1" si="17"/>
        <v>111-78C1;</v>
      </c>
      <c r="J66" t="str">
        <f t="shared" ca="1" si="17"/>
        <v>1D1-169541;</v>
      </c>
      <c r="K66" t="str">
        <f t="shared" ca="1" si="17"/>
        <v>1B1-4BBED21;</v>
      </c>
      <c r="L66" t="str">
        <f t="shared" ca="1" si="17"/>
        <v>261-3C514F1;</v>
      </c>
      <c r="M66" t="str">
        <f ca="1">M39&amp;"-"&amp;M20</f>
        <v>121-19067C61</v>
      </c>
    </row>
    <row r="68" spans="4:13">
      <c r="D68" t="str">
        <f ca="1">A3&amp;D66&amp;E66&amp;F66&amp;G66&amp;H66&amp;I66&amp;J66&amp;K66&amp;L66&amp;M66</f>
        <v>XA3|151-95F1;211-87F1;681-824C41;BC1-53DA041;801-FD3DB1;111-78C1;1D1-169541;1B1-4BBED21;261-3C514F1;121-19067C61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Siti Rukoyah Al Munazalah</cp:lastModifiedBy>
  <cp:revision/>
  <dcterms:created xsi:type="dcterms:W3CDTF">2006-09-16T00:00:00Z</dcterms:created>
  <dcterms:modified xsi:type="dcterms:W3CDTF">2026-06-16T07:20:20Z</dcterms:modified>
  <cp:category/>
  <cp:contentStatus/>
</cp:coreProperties>
</file>