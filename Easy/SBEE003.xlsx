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04b3130b3dd6cff9/VBA REPO/File BelajarExcel.id/Soal/new Format/"/>
    </mc:Choice>
  </mc:AlternateContent>
  <xr:revisionPtr revIDLastSave="201" documentId="8_{D0464499-82DF-4020-9622-C089257D5767}" xr6:coauthVersionLast="47" xr6:coauthVersionMax="47" xr10:uidLastSave="{D9675569-53FA-4B3E-938C-0EC0A3DCCF35}"/>
  <workbookProtection workbookAlgorithmName="SHA-512" workbookHashValue="YunGKrpYPIZWyHdnxyQLxUcPtdGp2OvGvvIYLdeqvDfiXobS1uxTviY6IIpVprTy5eqQnYPu2hAFGjsv/naGPQ==" workbookSaltValue="hPxHVb36WXrueIFJSoUneQ==" workbookSpinCount="100000" lockStructure="1"/>
  <bookViews>
    <workbookView xWindow="28692" yWindow="-108" windowWidth="29016" windowHeight="15696" xr2:uid="{B9C20AFC-1C21-4AAC-8E35-87A73D98435D}"/>
  </bookViews>
  <sheets>
    <sheet name="XL-Test " sheetId="1" r:id="rId1"/>
    <sheet name="About" sheetId="4" r:id="rId2"/>
    <sheet name="DF" sheetId="3" state="veryHidden" r:id="rId3"/>
  </sheets>
  <definedNames>
    <definedName name="Kode_jawaban">DF!$C$28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3" i="1" l="1"/>
  <c r="H62" i="1"/>
  <c r="L63" i="1"/>
  <c r="L62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47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47" i="1"/>
  <c r="G6" i="3"/>
  <c r="G5" i="3"/>
  <c r="G4" i="3"/>
  <c r="G3" i="3"/>
  <c r="D6" i="3"/>
  <c r="D5" i="3"/>
  <c r="D4" i="3"/>
  <c r="D3" i="3"/>
  <c r="D2" i="3"/>
  <c r="C6" i="3"/>
  <c r="C5" i="3"/>
  <c r="C3" i="3"/>
  <c r="C2" i="3"/>
  <c r="C4" i="3"/>
  <c r="D21" i="3"/>
  <c r="E21" i="3"/>
  <c r="F21" i="3"/>
  <c r="G21" i="3"/>
  <c r="H21" i="3"/>
  <c r="I21" i="3"/>
  <c r="J21" i="3"/>
  <c r="D22" i="3"/>
  <c r="E22" i="3"/>
  <c r="F22" i="3"/>
  <c r="G22" i="3"/>
  <c r="H22" i="3"/>
  <c r="I22" i="3"/>
  <c r="J22" i="3"/>
  <c r="C22" i="3"/>
  <c r="C21" i="3"/>
  <c r="M9" i="3"/>
  <c r="M8" i="3"/>
  <c r="M7" i="3"/>
  <c r="H17" i="3" s="1"/>
  <c r="M6" i="3"/>
  <c r="M5" i="3"/>
  <c r="F19" i="3" s="1"/>
  <c r="M4" i="3"/>
  <c r="M3" i="3"/>
  <c r="M2" i="3"/>
  <c r="J2" i="3" l="1"/>
  <c r="I3" i="3"/>
  <c r="G7" i="3"/>
  <c r="G2" i="3"/>
  <c r="E3" i="3"/>
  <c r="E4" i="3"/>
  <c r="E5" i="3"/>
  <c r="E6" i="3"/>
  <c r="E7" i="3"/>
  <c r="E2" i="3"/>
  <c r="D13" i="3"/>
  <c r="D14" i="3"/>
  <c r="C13" i="3"/>
  <c r="C14" i="3"/>
  <c r="J17" i="3"/>
  <c r="J19" i="3"/>
  <c r="J24" i="3" s="1"/>
  <c r="I17" i="3"/>
  <c r="I19" i="3"/>
  <c r="I24" i="3" s="1"/>
  <c r="H19" i="3"/>
  <c r="H24" i="3" s="1"/>
  <c r="G17" i="3"/>
  <c r="G19" i="3"/>
  <c r="G24" i="3" s="1"/>
  <c r="F24" i="3"/>
  <c r="F17" i="3"/>
  <c r="E17" i="3"/>
  <c r="E19" i="3"/>
  <c r="E24" i="3" s="1"/>
  <c r="D17" i="3"/>
  <c r="D19" i="3"/>
  <c r="D24" i="3" s="1"/>
  <c r="C17" i="3"/>
  <c r="C19" i="3"/>
  <c r="C24" i="3" s="1"/>
  <c r="D15" i="3" l="1"/>
  <c r="D26" i="3" s="1"/>
  <c r="J13" i="3"/>
  <c r="G13" i="3"/>
  <c r="G8" i="3"/>
  <c r="G14" i="3" s="1"/>
  <c r="H3" i="3"/>
  <c r="F3" i="3"/>
  <c r="H4" i="3"/>
  <c r="F4" i="3"/>
  <c r="H5" i="3"/>
  <c r="F5" i="3"/>
  <c r="H6" i="3"/>
  <c r="F6" i="3"/>
  <c r="E13" i="3"/>
  <c r="E8" i="3"/>
  <c r="E14" i="3" s="1"/>
  <c r="F2" i="3"/>
  <c r="F7" i="3"/>
  <c r="C15" i="3"/>
  <c r="C26" i="3" s="1"/>
  <c r="H2" i="3" l="1"/>
  <c r="H7" i="3"/>
  <c r="F13" i="3"/>
  <c r="F8" i="3"/>
  <c r="F14" i="3" s="1"/>
  <c r="E15" i="3"/>
  <c r="E26" i="3" s="1"/>
  <c r="G15" i="3"/>
  <c r="G26" i="3" s="1"/>
  <c r="F15" i="3" l="1"/>
  <c r="F26" i="3" s="1"/>
  <c r="J3" i="3"/>
  <c r="J7" i="3"/>
  <c r="H13" i="3"/>
  <c r="H8" i="3"/>
  <c r="H14" i="3" s="1"/>
  <c r="I2" i="3"/>
  <c r="I7" i="3"/>
  <c r="J8" i="3" l="1"/>
  <c r="J14" i="3" s="1"/>
  <c r="J15" i="3" s="1"/>
  <c r="J26" i="3" s="1"/>
  <c r="I13" i="3"/>
  <c r="I8" i="3"/>
  <c r="I14" i="3" s="1"/>
  <c r="H15" i="3"/>
  <c r="H26" i="3" s="1"/>
  <c r="I15" i="3" l="1"/>
  <c r="I26" i="3" s="1"/>
  <c r="C28" i="3" s="1"/>
  <c r="H17" i="1" l="1"/>
</calcChain>
</file>

<file path=xl/sharedStrings.xml><?xml version="1.0" encoding="utf-8"?>
<sst xmlns="http://schemas.openxmlformats.org/spreadsheetml/2006/main" count="151" uniqueCount="100">
  <si>
    <t>KODE SOAL</t>
  </si>
  <si>
    <t>SBEE003</t>
  </si>
  <si>
    <t>KODE JAWABAN</t>
  </si>
  <si>
    <t>Intruksi</t>
  </si>
  <si>
    <t>Kasus :</t>
  </si>
  <si>
    <t>Easy Level - Latihan Soal VLOOKUP dan HLOOKUP</t>
  </si>
  <si>
    <t>Soal  :</t>
  </si>
  <si>
    <r>
      <t xml:space="preserve"> Isi </t>
    </r>
    <r>
      <rPr>
        <b/>
        <sz val="10"/>
        <color rgb="FF000000"/>
        <rFont val="Aptos Narrow"/>
        <family val="2"/>
        <scheme val="minor"/>
      </rPr>
      <t>Nama Pelanggan</t>
    </r>
    <r>
      <rPr>
        <sz val="10"/>
        <color rgb="FF000000"/>
        <rFont val="Aptos Narrow"/>
        <family val="2"/>
        <scheme val="minor"/>
      </rPr>
      <t xml:space="preserve"> (gunakan fungsi VLOOKUP / HLOOKUP) dari table pelanggan</t>
    </r>
  </si>
  <si>
    <r>
      <t xml:space="preserve"> Isi </t>
    </r>
    <r>
      <rPr>
        <b/>
        <sz val="10"/>
        <color rgb="FF000000"/>
        <rFont val="Aptos Narrow"/>
        <family val="2"/>
        <scheme val="minor"/>
      </rPr>
      <t>Nama Produk</t>
    </r>
    <r>
      <rPr>
        <sz val="10"/>
        <color rgb="FF000000"/>
        <rFont val="Aptos Narrow"/>
        <family val="2"/>
        <scheme val="minor"/>
      </rPr>
      <t xml:space="preserve">  (gunakan fungsi VLOOKUP / HLOOKUP) dari table Kode Produk</t>
    </r>
  </si>
  <si>
    <r>
      <t xml:space="preserve"> Isi </t>
    </r>
    <r>
      <rPr>
        <b/>
        <sz val="10"/>
        <color rgb="FF000000"/>
        <rFont val="Aptos Narrow"/>
        <family val="2"/>
        <scheme val="minor"/>
      </rPr>
      <t>Harga Satuan</t>
    </r>
    <r>
      <rPr>
        <sz val="10"/>
        <color rgb="FF000000"/>
        <rFont val="Aptos Narrow"/>
        <family val="2"/>
        <scheme val="minor"/>
      </rPr>
      <t xml:space="preserve"> (gunakan fungsi VLOOKUP / HLOOKUP) dari table kode produk</t>
    </r>
  </si>
  <si>
    <r>
      <t xml:space="preserve"> Isi </t>
    </r>
    <r>
      <rPr>
        <b/>
        <sz val="10"/>
        <color rgb="FF000000"/>
        <rFont val="Aptos Narrow"/>
        <family val="2"/>
        <scheme val="minor"/>
      </rPr>
      <t>Total Penjualan</t>
    </r>
    <r>
      <rPr>
        <sz val="10"/>
        <color rgb="FF000000"/>
        <rFont val="Aptos Narrow"/>
        <family val="2"/>
        <scheme val="minor"/>
      </rPr>
      <t xml:space="preserve"> (gunakan rumus perkalian)</t>
    </r>
  </si>
  <si>
    <r>
      <t xml:space="preserve"> isi </t>
    </r>
    <r>
      <rPr>
        <b/>
        <sz val="10"/>
        <color rgb="FF000000"/>
        <rFont val="Aptos Narrow"/>
        <family val="2"/>
        <scheme val="minor"/>
      </rPr>
      <t>kolom Diskon</t>
    </r>
    <r>
      <rPr>
        <sz val="10"/>
        <color rgb="FF000000"/>
        <rFont val="Aptos Narrow"/>
        <family val="2"/>
        <scheme val="minor"/>
      </rPr>
      <t xml:space="preserve"> dengan ketentuan : </t>
    </r>
  </si>
  <si>
    <t>Jika QTY (kuantitas) pembelian di atas 200, maka diskon 10%, jika di atas 500, maka 20% (hitung menggunakan rumus IF)</t>
  </si>
  <si>
    <r>
      <t xml:space="preserve"> Isi </t>
    </r>
    <r>
      <rPr>
        <b/>
        <sz val="10"/>
        <color rgb="FF000000"/>
        <rFont val="Aptos Narrow"/>
        <family val="2"/>
        <scheme val="minor"/>
      </rPr>
      <t>Penjualan Bersih</t>
    </r>
    <r>
      <rPr>
        <sz val="10"/>
        <color rgb="FF000000"/>
        <rFont val="Aptos Narrow"/>
        <family val="2"/>
        <scheme val="minor"/>
      </rPr>
      <t xml:space="preserve"> (gunakan rumus perkalian)</t>
    </r>
  </si>
  <si>
    <t xml:space="preserve"> Hitung total QTY dan Penjualan Bersih (tidak termasuk contoh)</t>
  </si>
  <si>
    <t xml:space="preserve"> Hitung rata-rata QTY dan Penjualan Bersih (tidak termasuk contoh)</t>
  </si>
  <si>
    <r>
      <rPr>
        <b/>
        <i/>
        <sz val="11"/>
        <color rgb="FF0070C0"/>
        <rFont val="Aptos Narrow"/>
        <family val="2"/>
        <scheme val="minor"/>
      </rPr>
      <t>Sudah selesai mengerjakan?</t>
    </r>
    <r>
      <rPr>
        <i/>
        <sz val="11"/>
        <color rgb="FF0070C0"/>
        <rFont val="Aptos Narrow"/>
        <family val="2"/>
        <scheme val="minor"/>
      </rPr>
      <t xml:space="preserve"> kirim </t>
    </r>
    <r>
      <rPr>
        <b/>
        <i/>
        <sz val="11"/>
        <color rgb="FF0070C0"/>
        <rFont val="Aptos Narrow"/>
        <family val="2"/>
        <scheme val="minor"/>
      </rPr>
      <t>Kode Soal</t>
    </r>
    <r>
      <rPr>
        <i/>
        <sz val="11"/>
        <color rgb="FF0070C0"/>
        <rFont val="Aptos Narrow"/>
        <family val="2"/>
        <scheme val="minor"/>
      </rPr>
      <t xml:space="preserve"> dan </t>
    </r>
    <r>
      <rPr>
        <b/>
        <i/>
        <sz val="11"/>
        <color rgb="FF0070C0"/>
        <rFont val="Aptos Narrow"/>
        <family val="2"/>
        <scheme val="minor"/>
      </rPr>
      <t>Kode Jawaban</t>
    </r>
    <r>
      <rPr>
        <i/>
        <sz val="11"/>
        <color rgb="FF0070C0"/>
        <rFont val="Aptos Narrow"/>
        <family val="2"/>
        <scheme val="minor"/>
      </rPr>
      <t xml:space="preserve"> diatas ke alamat :  </t>
    </r>
    <r>
      <rPr>
        <b/>
        <i/>
        <sz val="11"/>
        <color rgb="FF0070C0"/>
        <rFont val="Aptos Narrow"/>
        <family val="2"/>
        <scheme val="minor"/>
      </rPr>
      <t>https://belajarexcel.id/xl-test/jawaban</t>
    </r>
    <r>
      <rPr>
        <i/>
        <sz val="11"/>
        <color rgb="FF0070C0"/>
        <rFont val="Aptos Narrow"/>
        <family val="2"/>
        <scheme val="minor"/>
      </rPr>
      <t xml:space="preserve">  untuk mengecek hasilnya</t>
    </r>
  </si>
  <si>
    <t>atau klik tombol disamping</t>
  </si>
  <si>
    <t>DAFTAR PENJUALAN</t>
  </si>
  <si>
    <t>TOKO BANGUNAN BERKAH</t>
  </si>
  <si>
    <t>NO.</t>
  </si>
  <si>
    <t>TANGGAL</t>
  </si>
  <si>
    <t>KODE PELANGGAN</t>
  </si>
  <si>
    <t>NAMA PELANGGAN</t>
  </si>
  <si>
    <t>KODE PRODUK</t>
  </si>
  <si>
    <t>NAMA PRODUK</t>
  </si>
  <si>
    <t>QTY</t>
  </si>
  <si>
    <t>HARGA SATUAN</t>
  </si>
  <si>
    <t>TOTAL PENJUALAN</t>
  </si>
  <si>
    <t>DISKON</t>
  </si>
  <si>
    <t>PENJUALAN BERSIH</t>
  </si>
  <si>
    <t>Contoh</t>
  </si>
  <si>
    <t>1-Nov</t>
  </si>
  <si>
    <t>BK-02</t>
  </si>
  <si>
    <t>Toko Beni Kusuma</t>
  </si>
  <si>
    <t>B-10</t>
  </si>
  <si>
    <t>Besi 10 Meter</t>
  </si>
  <si>
    <t>Kode Pelanggan</t>
  </si>
  <si>
    <t>AB-01</t>
  </si>
  <si>
    <t>B-05</t>
  </si>
  <si>
    <t>KODE</t>
  </si>
  <si>
    <t>Toko Ahmad Budiman</t>
  </si>
  <si>
    <t>CJ-03</t>
  </si>
  <si>
    <t>P-05</t>
  </si>
  <si>
    <t>2-Nov</t>
  </si>
  <si>
    <t>P-10</t>
  </si>
  <si>
    <t>Toko Chris John</t>
  </si>
  <si>
    <t>Kode Produk</t>
  </si>
  <si>
    <t>NAMA</t>
  </si>
  <si>
    <t>Besi 5 Meter</t>
  </si>
  <si>
    <t>Pipa 5 Meter</t>
  </si>
  <si>
    <t>Pipa 10 Meter</t>
  </si>
  <si>
    <t>3-Nov</t>
  </si>
  <si>
    <t>Total QTY</t>
  </si>
  <si>
    <t>Total Penjualan Bersih</t>
  </si>
  <si>
    <t>Rata-rata QTY</t>
  </si>
  <si>
    <t>Rata-rata Penjualan Bersih</t>
  </si>
  <si>
    <t>XL-TEST adalah platform inovatif yang menyediakan latihan Excel interaktif dengan pemeriksaan otomatis,</t>
  </si>
  <si>
    <t>sehingga pengguna dapat langsung mengetahui jawaban yang benar maupun salah.</t>
  </si>
  <si>
    <t>Terdapat 5 Level soal :</t>
  </si>
  <si>
    <t xml:space="preserve">Easy Level  </t>
  </si>
  <si>
    <t>(⭐)</t>
  </si>
  <si>
    <t xml:space="preserve">Medium Level        </t>
  </si>
  <si>
    <t>(⭐⭐)</t>
  </si>
  <si>
    <t xml:space="preserve">Hard Level </t>
  </si>
  <si>
    <t>(⭐⭐⭐)</t>
  </si>
  <si>
    <t xml:space="preserve">Extreme Level </t>
  </si>
  <si>
    <t>(⭐⭐⭐⭐)</t>
  </si>
  <si>
    <t xml:space="preserve">Championship Level </t>
  </si>
  <si>
    <t>(⭐⭐⭐⭐⭐)</t>
  </si>
  <si>
    <t>Saya adalah seorang Excel Holic yang percaya bahwa setiap angka memiliki cerita yang bisa ditemukan dengan cara yang tepat.</t>
  </si>
  <si>
    <t>Free Access</t>
  </si>
  <si>
    <t>“Excel bukan cuma soal kerjaan tapi juga hobi yang aku nikmati.”</t>
  </si>
  <si>
    <t>https://belajarexcel.id/xl-test/</t>
  </si>
  <si>
    <t>Contact :</t>
  </si>
  <si>
    <t>🌐 Web</t>
  </si>
  <si>
    <t>https://setiadi.me</t>
  </si>
  <si>
    <t>🪡threads</t>
  </si>
  <si>
    <t>https://www.threads.com/@andisetiadi</t>
  </si>
  <si>
    <t>Perlu Video Penjelasan atau Kunci Jawaban ?</t>
  </si>
  <si>
    <t>Scan barcode atau kunjungi</t>
  </si>
  <si>
    <t>https://lynk.id/setiadi/page/jawaban-xl-test</t>
  </si>
  <si>
    <t>DEF</t>
  </si>
  <si>
    <t>EC3</t>
  </si>
  <si>
    <t>Random1</t>
  </si>
  <si>
    <t>Random2</t>
  </si>
  <si>
    <t>14A45</t>
  </si>
  <si>
    <t>F36C</t>
  </si>
  <si>
    <t>CB4D</t>
  </si>
  <si>
    <t>DE3A</t>
  </si>
  <si>
    <t>15D09</t>
  </si>
  <si>
    <t>10248</t>
  </si>
  <si>
    <t>F97B</t>
  </si>
  <si>
    <t>10045</t>
  </si>
  <si>
    <t>Kosong</t>
  </si>
  <si>
    <t>Value</t>
  </si>
  <si>
    <t>Fvalue</t>
  </si>
  <si>
    <t>Cek</t>
  </si>
  <si>
    <t>Cek Formula</t>
  </si>
  <si>
    <t>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</si>
</sst>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Rp&quot;* #,##0_-;\-&quot;Rp&quot;* #,##0_-;_-&quot;Rp&quot;* &quot;-&quot;_-;_-@_-"/>
    <numFmt numFmtId="164" formatCode="_(* #,##0.00_);_(* \(#,##0.00\);_(* &quot;-&quot;??_);_(@_)"/>
    <numFmt numFmtId="165" formatCode="_(* #,##0_);_(* \(#,##0\);_(* &quot;-&quot;??_);_(@_)"/>
    <numFmt numFmtId="166" formatCode="#,##0;\(#,##0\);\-"/>
  </numFmts>
  <fonts count="38">
    <font>
      <sz val="10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i/>
      <sz val="10"/>
      <color theme="1"/>
      <name val="Aptos Narrow"/>
      <family val="2"/>
      <scheme val="minor"/>
    </font>
    <font>
      <sz val="10"/>
      <name val="Arial"/>
      <family val="2"/>
    </font>
    <font>
      <sz val="10"/>
      <color theme="1"/>
      <name val="Aptos Narrow"/>
      <family val="2"/>
      <scheme val="minor"/>
    </font>
    <font>
      <b/>
      <i/>
      <sz val="10"/>
      <color rgb="FF000000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8"/>
      <color rgb="FF000000"/>
      <name val="Aptos Narrow"/>
      <family val="2"/>
      <scheme val="minor"/>
    </font>
    <font>
      <b/>
      <sz val="10"/>
      <color theme="6"/>
      <name val="Aptos Narrow"/>
      <family val="2"/>
      <scheme val="minor"/>
    </font>
    <font>
      <b/>
      <sz val="10"/>
      <color rgb="FF0070C0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0"/>
      <color rgb="FF00B050"/>
      <name val="Aptos Narrow"/>
      <family val="2"/>
      <scheme val="minor"/>
    </font>
    <font>
      <b/>
      <sz val="12"/>
      <color theme="0"/>
      <name val="ROBOTECH GP"/>
      <family val="2"/>
    </font>
    <font>
      <b/>
      <sz val="14"/>
      <color theme="0"/>
      <name val="Roboto"/>
    </font>
    <font>
      <b/>
      <sz val="18"/>
      <color theme="0"/>
      <name val="Roboto"/>
    </font>
    <font>
      <b/>
      <sz val="18"/>
      <color theme="0"/>
      <name val="ROBOTECH GP"/>
      <family val="2"/>
    </font>
    <font>
      <sz val="12"/>
      <color theme="1"/>
      <name val="Aptos Narrow"/>
      <family val="2"/>
      <scheme val="minor"/>
    </font>
    <font>
      <i/>
      <sz val="11"/>
      <color rgb="FF0070C0"/>
      <name val="Aptos Narrow"/>
      <family val="2"/>
      <scheme val="minor"/>
    </font>
    <font>
      <b/>
      <i/>
      <sz val="11"/>
      <color rgb="FF0070C0"/>
      <name val="Aptos Narrow"/>
      <family val="2"/>
      <scheme val="minor"/>
    </font>
    <font>
      <b/>
      <sz val="12"/>
      <color theme="0"/>
      <name val="Roboto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6" tint="-0.249977111117893"/>
      <name val="Aptos Narrow"/>
      <family val="2"/>
      <scheme val="minor"/>
    </font>
    <font>
      <sz val="9"/>
      <color theme="6" tint="-0.249977111117893"/>
      <name val="Aptos Narrow"/>
      <family val="2"/>
      <scheme val="minor"/>
    </font>
    <font>
      <sz val="10"/>
      <color rgb="FF3D3D4E"/>
      <name val="Arial"/>
      <family val="2"/>
    </font>
    <font>
      <b/>
      <sz val="10"/>
      <color rgb="FF1D1F45"/>
      <name val="Arial"/>
      <family val="2"/>
    </font>
    <font>
      <sz val="10"/>
      <color rgb="FF1D1F45"/>
      <name val="Arial"/>
      <family val="2"/>
    </font>
    <font>
      <u/>
      <sz val="11"/>
      <color theme="10"/>
      <name val="Aptos Narrow"/>
      <family val="2"/>
      <scheme val="minor"/>
    </font>
    <font>
      <sz val="11"/>
      <color theme="4" tint="0.39997558519241921"/>
      <name val="Aptos Narrow"/>
      <family val="2"/>
      <scheme val="minor"/>
    </font>
    <font>
      <b/>
      <sz val="11"/>
      <color theme="0"/>
      <name val="ROBOTECH GP"/>
      <family val="2"/>
    </font>
    <font>
      <sz val="10"/>
      <color theme="0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1"/>
      <color theme="0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rgb="FFD0E0E3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rgb="FFF4CCC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000000"/>
      </patternFill>
    </fill>
    <fill>
      <gradientFill>
        <stop position="0">
          <color rgb="FF0A9085"/>
        </stop>
        <stop position="1">
          <color rgb="FF020024"/>
        </stop>
      </gradientFill>
    </fill>
    <fill>
      <patternFill patternType="solid">
        <fgColor rgb="FF0A90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34998626667073579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rgb="FFFFC000"/>
      </left>
      <right style="thin">
        <color rgb="FFFFC000"/>
      </right>
      <top style="thin">
        <color rgb="FFFFC000"/>
      </top>
      <bottom style="thin">
        <color rgb="FFFFC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/>
      <right style="thin">
        <color rgb="FFFFC000"/>
      </right>
      <top/>
      <bottom/>
      <diagonal/>
    </border>
    <border>
      <left/>
      <right style="thin">
        <color theme="0"/>
      </right>
      <top/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medium">
        <color rgb="FF0070C0"/>
      </right>
      <top/>
      <bottom/>
      <diagonal/>
    </border>
    <border>
      <left style="medium">
        <color rgb="FF0070C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5">
    <xf numFmtId="0" fontId="0" fillId="0" borderId="0"/>
    <xf numFmtId="164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31" fillId="0" borderId="0" applyNumberFormat="0" applyFill="0" applyBorder="0" applyAlignment="0" applyProtection="0"/>
  </cellStyleXfs>
  <cellXfs count="99">
    <xf numFmtId="0" fontId="0" fillId="0" borderId="0" xfId="0"/>
    <xf numFmtId="0" fontId="4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0" fillId="0" borderId="0" xfId="0" applyAlignment="1">
      <alignment horizontal="center"/>
    </xf>
    <xf numFmtId="0" fontId="7" fillId="0" borderId="0" xfId="0" applyFont="1"/>
    <xf numFmtId="1" fontId="0" fillId="0" borderId="0" xfId="0" applyNumberFormat="1"/>
    <xf numFmtId="0" fontId="4" fillId="3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right"/>
    </xf>
    <xf numFmtId="42" fontId="7" fillId="5" borderId="2" xfId="0" applyNumberFormat="1" applyFont="1" applyFill="1" applyBorder="1"/>
    <xf numFmtId="9" fontId="7" fillId="5" borderId="2" xfId="2" applyFont="1" applyFill="1" applyBorder="1"/>
    <xf numFmtId="42" fontId="4" fillId="5" borderId="2" xfId="0" applyNumberFormat="1" applyFont="1" applyFill="1" applyBorder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0" fillId="2" borderId="1" xfId="0" applyFill="1" applyBorder="1" applyAlignment="1">
      <alignment horizontal="center"/>
    </xf>
    <xf numFmtId="0" fontId="15" fillId="0" borderId="0" xfId="0" applyFont="1"/>
    <xf numFmtId="0" fontId="7" fillId="5" borderId="2" xfId="0" applyFont="1" applyFill="1" applyBorder="1" applyAlignment="1">
      <alignment horizontal="left" indent="1"/>
    </xf>
    <xf numFmtId="165" fontId="0" fillId="0" borderId="0" xfId="1" applyNumberFormat="1" applyFont="1"/>
    <xf numFmtId="166" fontId="17" fillId="9" borderId="6" xfId="0" applyNumberFormat="1" applyFont="1" applyFill="1" applyBorder="1" applyAlignment="1">
      <alignment horizontal="left" vertical="center"/>
    </xf>
    <xf numFmtId="166" fontId="18" fillId="9" borderId="0" xfId="0" applyNumberFormat="1" applyFont="1" applyFill="1" applyAlignment="1">
      <alignment horizontal="left" vertical="center"/>
    </xf>
    <xf numFmtId="0" fontId="20" fillId="10" borderId="8" xfId="0" applyFont="1" applyFill="1" applyBorder="1" applyAlignment="1">
      <alignment vertical="top" wrapText="1"/>
    </xf>
    <xf numFmtId="0" fontId="20" fillId="10" borderId="9" xfId="0" applyFont="1" applyFill="1" applyBorder="1" applyAlignment="1">
      <alignment vertical="top" wrapText="1"/>
    </xf>
    <xf numFmtId="0" fontId="20" fillId="10" borderId="10" xfId="0" applyFont="1" applyFill="1" applyBorder="1" applyAlignment="1">
      <alignment vertical="top" wrapText="1"/>
    </xf>
    <xf numFmtId="0" fontId="0" fillId="10" borderId="0" xfId="0" applyFill="1"/>
    <xf numFmtId="0" fontId="20" fillId="10" borderId="0" xfId="0" applyFont="1" applyFill="1" applyAlignment="1">
      <alignment vertical="top" wrapText="1"/>
    </xf>
    <xf numFmtId="0" fontId="20" fillId="10" borderId="11" xfId="0" applyFont="1" applyFill="1" applyBorder="1" applyAlignment="1">
      <alignment vertical="top" wrapText="1"/>
    </xf>
    <xf numFmtId="0" fontId="21" fillId="10" borderId="0" xfId="0" applyFont="1" applyFill="1"/>
    <xf numFmtId="0" fontId="20" fillId="10" borderId="7" xfId="0" applyFont="1" applyFill="1" applyBorder="1" applyAlignment="1">
      <alignment vertical="top" wrapText="1"/>
    </xf>
    <xf numFmtId="0" fontId="20" fillId="10" borderId="12" xfId="0" applyFont="1" applyFill="1" applyBorder="1" applyAlignment="1">
      <alignment vertical="top" wrapText="1"/>
    </xf>
    <xf numFmtId="0" fontId="0" fillId="10" borderId="13" xfId="0" applyFill="1" applyBorder="1"/>
    <xf numFmtId="0" fontId="20" fillId="10" borderId="13" xfId="0" applyFont="1" applyFill="1" applyBorder="1" applyAlignment="1">
      <alignment vertical="top" wrapText="1"/>
    </xf>
    <xf numFmtId="0" fontId="20" fillId="10" borderId="14" xfId="0" applyFont="1" applyFill="1" applyBorder="1" applyAlignment="1">
      <alignment vertical="top" wrapText="1"/>
    </xf>
    <xf numFmtId="0" fontId="20" fillId="0" borderId="0" xfId="0" applyFont="1" applyAlignment="1">
      <alignment vertical="top" wrapText="1"/>
    </xf>
    <xf numFmtId="166" fontId="23" fillId="9" borderId="15" xfId="0" applyNumberFormat="1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0" fontId="9" fillId="12" borderId="1" xfId="0" applyFont="1" applyFill="1" applyBorder="1" applyAlignment="1">
      <alignment horizontal="left"/>
    </xf>
    <xf numFmtId="0" fontId="0" fillId="13" borderId="1" xfId="0" applyFill="1" applyBorder="1" applyAlignment="1">
      <alignment horizontal="center"/>
    </xf>
    <xf numFmtId="0" fontId="1" fillId="0" borderId="0" xfId="3"/>
    <xf numFmtId="0" fontId="1" fillId="0" borderId="2" xfId="3" applyBorder="1"/>
    <xf numFmtId="0" fontId="1" fillId="0" borderId="20" xfId="3" applyBorder="1"/>
    <xf numFmtId="0" fontId="1" fillId="0" borderId="21" xfId="3" applyBorder="1"/>
    <xf numFmtId="0" fontId="14" fillId="0" borderId="2" xfId="3" applyFont="1" applyBorder="1" applyAlignment="1">
      <alignment horizontal="left"/>
    </xf>
    <xf numFmtId="0" fontId="14" fillId="0" borderId="2" xfId="3" applyFont="1" applyBorder="1"/>
    <xf numFmtId="0" fontId="31" fillId="0" borderId="2" xfId="4" applyBorder="1" applyAlignment="1">
      <alignment vertical="top"/>
    </xf>
    <xf numFmtId="0" fontId="24" fillId="0" borderId="0" xfId="3" applyFont="1"/>
    <xf numFmtId="0" fontId="32" fillId="0" borderId="0" xfId="3" applyFont="1"/>
    <xf numFmtId="0" fontId="31" fillId="0" borderId="0" xfId="4"/>
    <xf numFmtId="0" fontId="32" fillId="0" borderId="0" xfId="3" quotePrefix="1" applyFont="1"/>
    <xf numFmtId="166" fontId="17" fillId="9" borderId="0" xfId="0" applyNumberFormat="1" applyFont="1" applyFill="1" applyAlignment="1">
      <alignment horizontal="center" vertical="center"/>
    </xf>
    <xf numFmtId="0" fontId="0" fillId="9" borderId="0" xfId="0" applyFill="1"/>
    <xf numFmtId="0" fontId="13" fillId="9" borderId="0" xfId="0" applyFont="1" applyFill="1"/>
    <xf numFmtId="0" fontId="34" fillId="9" borderId="0" xfId="0" applyFont="1" applyFill="1"/>
    <xf numFmtId="0" fontId="25" fillId="9" borderId="0" xfId="0" applyFont="1" applyFill="1"/>
    <xf numFmtId="0" fontId="7" fillId="4" borderId="22" xfId="0" applyFont="1" applyFill="1" applyBorder="1" applyAlignment="1">
      <alignment horizontal="center"/>
    </xf>
    <xf numFmtId="0" fontId="7" fillId="5" borderId="22" xfId="0" applyFont="1" applyFill="1" applyBorder="1" applyAlignment="1">
      <alignment horizontal="left" indent="1"/>
    </xf>
    <xf numFmtId="0" fontId="7" fillId="4" borderId="22" xfId="0" applyFont="1" applyFill="1" applyBorder="1" applyAlignment="1">
      <alignment horizontal="right"/>
    </xf>
    <xf numFmtId="42" fontId="7" fillId="5" borderId="22" xfId="0" applyNumberFormat="1" applyFont="1" applyFill="1" applyBorder="1"/>
    <xf numFmtId="9" fontId="7" fillId="5" borderId="22" xfId="2" applyFont="1" applyFill="1" applyBorder="1"/>
    <xf numFmtId="0" fontId="0" fillId="14" borderId="5" xfId="0" applyFill="1" applyBorder="1"/>
    <xf numFmtId="0" fontId="35" fillId="10" borderId="0" xfId="0" applyFont="1" applyFill="1" applyAlignment="1">
      <alignment vertical="top" wrapText="1"/>
    </xf>
    <xf numFmtId="0" fontId="36" fillId="10" borderId="0" xfId="0" applyFont="1" applyFill="1" applyAlignment="1">
      <alignment vertical="top"/>
    </xf>
    <xf numFmtId="0" fontId="28" fillId="0" borderId="20" xfId="0" applyFont="1" applyBorder="1" applyAlignment="1">
      <alignment horizontal="left" vertical="top" wrapText="1"/>
    </xf>
    <xf numFmtId="0" fontId="30" fillId="0" borderId="20" xfId="0" applyFont="1" applyBorder="1" applyAlignment="1">
      <alignment horizontal="left" vertical="top" wrapText="1"/>
    </xf>
    <xf numFmtId="0" fontId="37" fillId="9" borderId="0" xfId="4" applyFont="1" applyFill="1"/>
    <xf numFmtId="0" fontId="27" fillId="0" borderId="2" xfId="3" applyFont="1" applyBorder="1" applyAlignment="1">
      <alignment horizontal="left"/>
    </xf>
    <xf numFmtId="0" fontId="4" fillId="7" borderId="4" xfId="0" applyFont="1" applyFill="1" applyBorder="1" applyAlignment="1">
      <alignment horizontal="center"/>
    </xf>
    <xf numFmtId="0" fontId="4" fillId="7" borderId="5" xfId="0" applyFont="1" applyFill="1" applyBorder="1" applyAlignment="1">
      <alignment horizontal="center"/>
    </xf>
    <xf numFmtId="0" fontId="4" fillId="7" borderId="3" xfId="0" applyFont="1" applyFill="1" applyBorder="1" applyAlignment="1">
      <alignment horizontal="center"/>
    </xf>
    <xf numFmtId="0" fontId="4" fillId="3" borderId="0" xfId="0" applyFont="1" applyFill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/>
    </xf>
    <xf numFmtId="0" fontId="4" fillId="4" borderId="17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/>
    </xf>
    <xf numFmtId="0" fontId="7" fillId="4" borderId="3" xfId="0" applyFont="1" applyFill="1" applyBorder="1" applyAlignment="1">
      <alignment horizontal="center"/>
    </xf>
    <xf numFmtId="0" fontId="4" fillId="6" borderId="18" xfId="0" applyFont="1" applyFill="1" applyBorder="1" applyAlignment="1">
      <alignment horizontal="center"/>
    </xf>
    <xf numFmtId="0" fontId="4" fillId="6" borderId="19" xfId="0" applyFont="1" applyFill="1" applyBorder="1" applyAlignment="1">
      <alignment horizontal="center"/>
    </xf>
    <xf numFmtId="0" fontId="19" fillId="8" borderId="7" xfId="0" applyFont="1" applyFill="1" applyBorder="1" applyAlignment="1">
      <alignment horizontal="center" vertical="center"/>
    </xf>
    <xf numFmtId="0" fontId="19" fillId="8" borderId="0" xfId="0" applyFont="1" applyFill="1" applyAlignment="1">
      <alignment horizontal="center" vertical="center"/>
    </xf>
    <xf numFmtId="0" fontId="16" fillId="8" borderId="0" xfId="0" applyFont="1" applyFill="1" applyAlignment="1">
      <alignment horizontal="center" vertical="center"/>
    </xf>
    <xf numFmtId="0" fontId="16" fillId="8" borderId="16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4" fillId="6" borderId="0" xfId="0" applyFont="1" applyFill="1" applyAlignment="1">
      <alignment horizontal="center"/>
    </xf>
    <xf numFmtId="0" fontId="4" fillId="6" borderId="17" xfId="0" applyFont="1" applyFill="1" applyBorder="1" applyAlignment="1">
      <alignment horizontal="center"/>
    </xf>
    <xf numFmtId="0" fontId="33" fillId="8" borderId="7" xfId="0" applyFont="1" applyFill="1" applyBorder="1" applyAlignment="1">
      <alignment horizontal="center" vertical="center"/>
    </xf>
    <xf numFmtId="0" fontId="33" fillId="8" borderId="0" xfId="0" applyFont="1" applyFill="1" applyAlignment="1">
      <alignment horizontal="center" vertical="center"/>
    </xf>
    <xf numFmtId="0" fontId="28" fillId="0" borderId="0" xfId="0" applyFont="1" applyAlignment="1">
      <alignment horizontal="left" vertical="top" wrapText="1"/>
    </xf>
    <xf numFmtId="0" fontId="28" fillId="0" borderId="17" xfId="0" applyFont="1" applyBorder="1" applyAlignment="1">
      <alignment horizontal="left" vertical="top" wrapText="1"/>
    </xf>
    <xf numFmtId="0" fontId="29" fillId="0" borderId="0" xfId="0" applyFont="1" applyAlignment="1">
      <alignment horizontal="left" vertical="top" wrapText="1"/>
    </xf>
    <xf numFmtId="0" fontId="29" fillId="0" borderId="17" xfId="0" applyFont="1" applyBorder="1" applyAlignment="1">
      <alignment horizontal="left" vertical="top" wrapText="1"/>
    </xf>
    <xf numFmtId="0" fontId="26" fillId="0" borderId="2" xfId="3" applyFont="1" applyBorder="1" applyAlignment="1">
      <alignment horizontal="left"/>
    </xf>
    <xf numFmtId="0" fontId="27" fillId="0" borderId="2" xfId="3" applyFont="1" applyBorder="1" applyAlignment="1">
      <alignment horizontal="left"/>
    </xf>
    <xf numFmtId="2" fontId="4" fillId="5" borderId="2" xfId="0" applyNumberFormat="1" applyFont="1" applyFill="1" applyBorder="1"/>
    <xf numFmtId="1" fontId="4" fillId="5" borderId="2" xfId="0" applyNumberFormat="1" applyFont="1" applyFill="1" applyBorder="1"/>
    <xf numFmtId="0" fontId="11" fillId="0" borderId="0" xfId="0" applyFont="1" applyAlignment="1"/>
  </cellXfs>
  <cellStyles count="5">
    <cellStyle name="Hyperlink 2" xfId="4" xr:uid="{FD01CAAA-231D-4888-B41D-32F558BD0A3F}"/>
    <cellStyle name="Koma" xfId="1" builtinId="3"/>
    <cellStyle name="Normal" xfId="0" builtinId="0"/>
    <cellStyle name="Normal 2" xfId="3" xr:uid="{FB48BCE7-FA69-4C77-BEF0-C2DBD661B752}"/>
    <cellStyle name="Persen" xfId="2" builtinId="5"/>
  </cellStyles>
  <dxfs count="0"/>
  <tableStyles count="0" defaultTableStyle="TableStyleMedium2" defaultPivotStyle="PivotStyleLight16"/>
  <colors>
    <mruColors>
      <color rgb="FF0A908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belajarexcel.id/xl-test/jawaban" TargetMode="External"/><Relationship Id="rId1" Type="http://schemas.openxmlformats.org/officeDocument/2006/relationships/image" Target="../media/image1.png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3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10</xdr:col>
      <xdr:colOff>670561</xdr:colOff>
      <xdr:row>12</xdr:row>
      <xdr:rowOff>160020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86347F8-7FC4-4051-9D3B-0F6AFD7DB2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10149840" cy="2537460"/>
        </a:xfrm>
        <a:prstGeom prst="rect">
          <a:avLst/>
        </a:prstGeom>
      </xdr:spPr>
    </xdr:pic>
    <xdr:clientData/>
  </xdr:twoCellAnchor>
  <xdr:twoCellAnchor>
    <xdr:from>
      <xdr:col>3</xdr:col>
      <xdr:colOff>525780</xdr:colOff>
      <xdr:row>33</xdr:row>
      <xdr:rowOff>60960</xdr:rowOff>
    </xdr:from>
    <xdr:to>
      <xdr:col>4</xdr:col>
      <xdr:colOff>990600</xdr:colOff>
      <xdr:row>35</xdr:row>
      <xdr:rowOff>15240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8D665CF-719B-4B5E-999D-1E335BCA09D0}"/>
            </a:ext>
          </a:extLst>
        </xdr:cNvPr>
        <xdr:cNvSpPr/>
      </xdr:nvSpPr>
      <xdr:spPr>
        <a:xfrm>
          <a:off x="2110740" y="6499860"/>
          <a:ext cx="1623060" cy="350520"/>
        </a:xfrm>
        <a:prstGeom prst="round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D" sz="1100"/>
            <a:t>Cek hasil Jawaban</a:t>
          </a:r>
        </a:p>
      </xdr:txBody>
    </xdr:sp>
    <xdr:clientData/>
  </xdr:twoCellAnchor>
  <xdr:oneCellAnchor>
    <xdr:from>
      <xdr:col>11</xdr:col>
      <xdr:colOff>91440</xdr:colOff>
      <xdr:row>0</xdr:row>
      <xdr:rowOff>45720</xdr:rowOff>
    </xdr:from>
    <xdr:ext cx="1119730" cy="405432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63F6672-FE7C-49F5-9B1E-31CCA8AB3A28}"/>
            </a:ext>
          </a:extLst>
        </xdr:cNvPr>
        <xdr:cNvSpPr txBox="1"/>
      </xdr:nvSpPr>
      <xdr:spPr>
        <a:xfrm>
          <a:off x="10393680" y="45720"/>
          <a:ext cx="1119730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D" sz="2000" b="1">
              <a:solidFill>
                <a:schemeClr val="bg1"/>
              </a:solidFill>
            </a:rPr>
            <a:t>SBEE003</a:t>
          </a:r>
        </a:p>
      </xdr:txBody>
    </xdr:sp>
    <xdr:clientData/>
  </xdr:oneCellAnchor>
  <xdr:twoCellAnchor editAs="oneCell">
    <xdr:from>
      <xdr:col>7</xdr:col>
      <xdr:colOff>15240</xdr:colOff>
      <xdr:row>10</xdr:row>
      <xdr:rowOff>121920</xdr:rowOff>
    </xdr:from>
    <xdr:to>
      <xdr:col>8</xdr:col>
      <xdr:colOff>985520</xdr:colOff>
      <xdr:row>15</xdr:row>
      <xdr:rowOff>175260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273E92D-6BA9-4CF7-8EDF-26035A1FE6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5560" y="2103120"/>
          <a:ext cx="1511300" cy="647700"/>
        </a:xfrm>
        <a:prstGeom prst="rect">
          <a:avLst/>
        </a:prstGeom>
      </xdr:spPr>
    </xdr:pic>
    <xdr:clientData/>
  </xdr:twoCellAnchor>
  <xdr:twoCellAnchor editAs="oneCell">
    <xdr:from>
      <xdr:col>10</xdr:col>
      <xdr:colOff>571500</xdr:colOff>
      <xdr:row>0</xdr:row>
      <xdr:rowOff>0</xdr:rowOff>
    </xdr:from>
    <xdr:to>
      <xdr:col>12</xdr:col>
      <xdr:colOff>38100</xdr:colOff>
      <xdr:row>12</xdr:row>
      <xdr:rowOff>174788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4772E1A-59E6-4B01-8DD6-1097AED319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050780" y="0"/>
          <a:ext cx="1638300" cy="255222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1</xdr:row>
      <xdr:rowOff>53340</xdr:rowOff>
    </xdr:from>
    <xdr:ext cx="1554479" cy="586842"/>
    <xdr:pic>
      <xdr:nvPicPr>
        <xdr:cNvPr id="2" name="Picture 1">
          <a:extLst>
            <a:ext uri="{FF2B5EF4-FFF2-40B4-BE49-F238E27FC236}">
              <a16:creationId xmlns:a16="http://schemas.microsoft.com/office/drawing/2014/main" id="{10107228-04A8-4007-9122-26098CDA2B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07180" y="236220"/>
          <a:ext cx="1554479" cy="586842"/>
        </a:xfrm>
        <a:prstGeom prst="rect">
          <a:avLst/>
        </a:prstGeom>
      </xdr:spPr>
    </xdr:pic>
    <xdr:clientData/>
  </xdr:oneCellAnchor>
  <xdr:twoCellAnchor editAs="oneCell">
    <xdr:from>
      <xdr:col>1</xdr:col>
      <xdr:colOff>655320</xdr:colOff>
      <xdr:row>1</xdr:row>
      <xdr:rowOff>0</xdr:rowOff>
    </xdr:from>
    <xdr:to>
      <xdr:col>4</xdr:col>
      <xdr:colOff>335280</xdr:colOff>
      <xdr:row>14</xdr:row>
      <xdr:rowOff>91692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FB2886E-5423-4279-A2B1-043908483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1560" y="182880"/>
          <a:ext cx="1584960" cy="2469132"/>
        </a:xfrm>
        <a:prstGeom prst="rect">
          <a:avLst/>
        </a:prstGeom>
      </xdr:spPr>
    </xdr:pic>
    <xdr:clientData/>
  </xdr:twoCellAnchor>
  <xdr:oneCellAnchor>
    <xdr:from>
      <xdr:col>1</xdr:col>
      <xdr:colOff>76200</xdr:colOff>
      <xdr:row>25</xdr:row>
      <xdr:rowOff>53340</xdr:rowOff>
    </xdr:from>
    <xdr:ext cx="960120" cy="960120"/>
    <xdr:pic>
      <xdr:nvPicPr>
        <xdr:cNvPr id="5" name="Picture 4">
          <a:extLst>
            <a:ext uri="{FF2B5EF4-FFF2-40B4-BE49-F238E27FC236}">
              <a16:creationId xmlns:a16="http://schemas.microsoft.com/office/drawing/2014/main" id="{FA107362-3102-4E16-A069-5E462904BB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2440" y="5646420"/>
          <a:ext cx="960120" cy="96012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setiadi.me/" TargetMode="External"/><Relationship Id="rId2" Type="http://schemas.openxmlformats.org/officeDocument/2006/relationships/hyperlink" Target="https://www.threads.com/@andisetiadi" TargetMode="External"/><Relationship Id="rId1" Type="http://schemas.openxmlformats.org/officeDocument/2006/relationships/hyperlink" Target="https://belajarexcel.id/xl-test/" TargetMode="External"/><Relationship Id="rId5" Type="http://schemas.openxmlformats.org/officeDocument/2006/relationships/drawing" Target="../drawings/drawing2.xml"/><Relationship Id="rId4" Type="http://schemas.openxmlformats.org/officeDocument/2006/relationships/hyperlink" Target="https://lynk.id/setiadi/page/jawaban-xl-te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0ADAF-8E00-40FD-B9E9-F1F73396BA94}">
  <sheetPr codeName="Sheet1">
    <outlinePr summaryBelow="0" summaryRight="0"/>
  </sheetPr>
  <dimension ref="A14:AB73"/>
  <sheetViews>
    <sheetView showGridLines="0" tabSelected="1" topLeftCell="A16" zoomScaleNormal="100" workbookViewId="0">
      <selection activeCell="H17" sqref="H17"/>
    </sheetView>
  </sheetViews>
  <sheetFormatPr defaultColWidth="12.5703125" defaultRowHeight="15.75" customHeight="1"/>
  <cols>
    <col min="1" max="2" width="6.5703125" customWidth="1"/>
    <col min="3" max="3" width="10" bestFit="1" customWidth="1"/>
    <col min="4" max="4" width="16.85546875" customWidth="1"/>
    <col min="5" max="5" width="23.140625" customWidth="1"/>
    <col min="6" max="6" width="14.7109375" bestFit="1" customWidth="1"/>
    <col min="7" max="7" width="15.140625" customWidth="1"/>
    <col min="8" max="8" width="7.85546875" customWidth="1"/>
    <col min="9" max="9" width="15.85546875" customWidth="1"/>
    <col min="10" max="10" width="21.5703125" customWidth="1"/>
    <col min="11" max="11" width="12" customWidth="1"/>
    <col min="12" max="12" width="19.7109375" bestFit="1" customWidth="1"/>
    <col min="13" max="13" width="4.28515625" customWidth="1"/>
    <col min="14" max="14" width="16.85546875" customWidth="1"/>
    <col min="15" max="15" width="24.28515625" bestFit="1" customWidth="1"/>
    <col min="16" max="16" width="13.85546875" customWidth="1"/>
    <col min="17" max="17" width="12.7109375" customWidth="1"/>
    <col min="18" max="18" width="14.140625" customWidth="1"/>
  </cols>
  <sheetData>
    <row r="14" ht="15.75" hidden="1" customHeight="1"/>
    <row r="15" ht="15.75" hidden="1" customHeight="1"/>
    <row r="17" spans="1:12" ht="23.45">
      <c r="A17" s="83" t="s">
        <v>0</v>
      </c>
      <c r="B17" s="83"/>
      <c r="C17" s="83"/>
      <c r="D17" s="53" t="s">
        <v>1</v>
      </c>
      <c r="F17" s="83" t="s">
        <v>2</v>
      </c>
      <c r="G17" s="84"/>
      <c r="H17" s="22" t="str">
        <f ca="1">Kode_jawaban</f>
        <v>EC3|14-4701;F3-2321;CB-11031;DE-54291;15-A271;10-45941;F9-609C1;10-5F55E1</v>
      </c>
      <c r="I17" s="23"/>
      <c r="J17" s="23"/>
      <c r="K17" s="23"/>
      <c r="L17" s="23"/>
    </row>
    <row r="19" spans="1:12" ht="22.9">
      <c r="A19" s="81" t="s">
        <v>3</v>
      </c>
      <c r="B19" s="82"/>
      <c r="C19" s="82"/>
      <c r="D19" s="82"/>
      <c r="E19" s="82"/>
      <c r="F19" s="82"/>
      <c r="G19" s="82"/>
      <c r="H19" s="82"/>
      <c r="I19" s="82"/>
      <c r="J19" s="82"/>
      <c r="K19" s="82"/>
      <c r="L19" s="82"/>
    </row>
    <row r="20" spans="1:12" ht="15.75" customHeight="1">
      <c r="A20" s="24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6"/>
    </row>
    <row r="21" spans="1:12" ht="15.75" customHeight="1">
      <c r="A21" s="28"/>
      <c r="B21" s="64" t="s">
        <v>4</v>
      </c>
      <c r="C21" s="65" t="s">
        <v>5</v>
      </c>
      <c r="D21" s="28"/>
      <c r="E21" s="28"/>
      <c r="F21" s="28"/>
      <c r="G21" s="28"/>
      <c r="H21" s="28"/>
      <c r="I21" s="28"/>
      <c r="J21" s="28"/>
      <c r="K21" s="28"/>
      <c r="L21" s="29"/>
    </row>
    <row r="22" spans="1:12" ht="15.75" customHeight="1">
      <c r="A22" s="27"/>
      <c r="B22" s="19" t="s">
        <v>6</v>
      </c>
      <c r="E22" s="28"/>
      <c r="F22" s="27"/>
      <c r="G22" s="27"/>
      <c r="H22" s="28"/>
      <c r="I22" s="28"/>
      <c r="J22" s="28"/>
      <c r="K22" s="28"/>
      <c r="L22" s="29"/>
    </row>
    <row r="23" spans="1:12" ht="15.75" customHeight="1">
      <c r="A23" s="27"/>
      <c r="B23" s="16">
        <v>1</v>
      </c>
      <c r="C23" t="s">
        <v>7</v>
      </c>
      <c r="E23" s="28"/>
      <c r="F23" s="27"/>
      <c r="G23" s="27"/>
      <c r="H23" s="28"/>
      <c r="I23" s="28"/>
      <c r="J23" s="28"/>
      <c r="K23" s="28"/>
      <c r="L23" s="29"/>
    </row>
    <row r="24" spans="1:12" ht="15.75" customHeight="1">
      <c r="A24" s="27"/>
      <c r="B24" s="16">
        <v>2</v>
      </c>
      <c r="C24" t="s">
        <v>8</v>
      </c>
      <c r="E24" s="28"/>
      <c r="F24" s="27"/>
      <c r="G24" s="27"/>
      <c r="H24" s="28"/>
      <c r="I24" s="28"/>
      <c r="J24" s="28"/>
      <c r="K24" s="28"/>
      <c r="L24" s="29"/>
    </row>
    <row r="25" spans="1:12" ht="15.75" customHeight="1">
      <c r="A25" s="27"/>
      <c r="B25" s="16">
        <v>3</v>
      </c>
      <c r="C25" t="s">
        <v>9</v>
      </c>
      <c r="E25" s="28"/>
      <c r="F25" s="27"/>
      <c r="G25" s="27"/>
      <c r="H25" s="28"/>
      <c r="I25" s="28"/>
      <c r="J25" s="28"/>
      <c r="K25" s="28"/>
      <c r="L25" s="29"/>
    </row>
    <row r="26" spans="1:12" ht="15.75" customHeight="1">
      <c r="A26" s="27"/>
      <c r="B26" s="16">
        <v>4</v>
      </c>
      <c r="C26" t="s">
        <v>10</v>
      </c>
      <c r="E26" s="28"/>
      <c r="F26" s="27"/>
      <c r="G26" s="27"/>
      <c r="H26" s="28"/>
      <c r="I26" s="28"/>
      <c r="J26" s="28"/>
      <c r="K26" s="28"/>
      <c r="L26" s="29"/>
    </row>
    <row r="27" spans="1:12" ht="15.75" customHeight="1">
      <c r="A27" s="27"/>
      <c r="B27" s="16">
        <v>5</v>
      </c>
      <c r="C27" t="s">
        <v>11</v>
      </c>
      <c r="E27" s="28"/>
      <c r="F27" s="27"/>
      <c r="G27" s="27"/>
      <c r="H27" s="28"/>
      <c r="I27" s="28"/>
      <c r="J27" s="28"/>
      <c r="K27" s="28"/>
      <c r="L27" s="29"/>
    </row>
    <row r="28" spans="1:12" ht="15.75" customHeight="1">
      <c r="A28" s="27"/>
      <c r="C28" t="s">
        <v>12</v>
      </c>
      <c r="E28" s="28"/>
      <c r="F28" s="27"/>
      <c r="G28" s="27"/>
      <c r="H28" s="28"/>
      <c r="I28" s="28"/>
      <c r="J28" s="28"/>
      <c r="K28" s="28"/>
      <c r="L28" s="29"/>
    </row>
    <row r="29" spans="1:12" ht="15.75" customHeight="1">
      <c r="A29" s="27"/>
      <c r="B29" s="16">
        <v>6</v>
      </c>
      <c r="C29" t="s">
        <v>13</v>
      </c>
      <c r="E29" s="28"/>
      <c r="F29" s="27"/>
      <c r="G29" s="27"/>
      <c r="H29" s="28"/>
      <c r="I29" s="28"/>
      <c r="J29" s="28"/>
      <c r="K29" s="28"/>
      <c r="L29" s="29"/>
    </row>
    <row r="30" spans="1:12" ht="15.75" customHeight="1">
      <c r="A30" s="27"/>
      <c r="B30" s="16">
        <v>7</v>
      </c>
      <c r="C30" t="s">
        <v>14</v>
      </c>
      <c r="E30" s="28"/>
      <c r="F30" s="27"/>
      <c r="G30" s="27"/>
      <c r="H30" s="28"/>
      <c r="I30" s="28"/>
      <c r="J30" s="28"/>
      <c r="K30" s="28"/>
      <c r="L30" s="29"/>
    </row>
    <row r="31" spans="1:12" ht="15.75" customHeight="1">
      <c r="A31" s="27"/>
      <c r="B31" s="16">
        <v>8</v>
      </c>
      <c r="C31" t="s">
        <v>15</v>
      </c>
      <c r="E31" s="28"/>
      <c r="F31" s="27"/>
      <c r="G31" s="27"/>
      <c r="H31" s="28"/>
      <c r="I31" s="28"/>
      <c r="J31" s="28"/>
      <c r="K31" s="28"/>
      <c r="L31" s="29"/>
    </row>
    <row r="32" spans="1:12" ht="15.75" customHeight="1">
      <c r="A32" s="27"/>
      <c r="C32" s="27"/>
      <c r="D32" s="28"/>
      <c r="E32" s="28"/>
      <c r="F32" s="27"/>
      <c r="G32" s="27"/>
      <c r="H32" s="28"/>
      <c r="I32" s="28"/>
      <c r="J32" s="28"/>
      <c r="K32" s="28"/>
      <c r="L32" s="29"/>
    </row>
    <row r="33" spans="1:28" ht="15.75" customHeight="1">
      <c r="A33" s="27"/>
      <c r="B33" s="30" t="s">
        <v>16</v>
      </c>
      <c r="C33" s="27"/>
      <c r="D33" s="28"/>
      <c r="E33" s="28"/>
      <c r="F33" s="27"/>
      <c r="G33" s="27"/>
      <c r="H33" s="28"/>
      <c r="I33" s="28"/>
      <c r="J33" s="28"/>
      <c r="K33" s="28"/>
      <c r="L33" s="29"/>
    </row>
    <row r="34" spans="1:28" ht="15.75" customHeight="1">
      <c r="A34" s="31"/>
      <c r="B34" s="30" t="s">
        <v>17</v>
      </c>
      <c r="C34" s="28"/>
      <c r="D34" s="28"/>
      <c r="E34" s="28"/>
      <c r="F34" s="27"/>
      <c r="G34" s="27"/>
      <c r="H34" s="28"/>
      <c r="I34" s="28"/>
      <c r="J34" s="28"/>
      <c r="K34" s="28"/>
      <c r="L34" s="29"/>
    </row>
    <row r="35" spans="1:28" ht="15.75" customHeight="1">
      <c r="A35" s="31"/>
      <c r="B35" s="30"/>
      <c r="C35" s="28"/>
      <c r="D35" s="28"/>
      <c r="E35" s="28"/>
      <c r="F35" s="27"/>
      <c r="G35" s="27"/>
      <c r="H35" s="28"/>
      <c r="I35" s="28"/>
      <c r="J35" s="28"/>
      <c r="K35" s="28"/>
      <c r="L35" s="29"/>
    </row>
    <row r="36" spans="1:28" ht="15.75" customHeight="1">
      <c r="A36" s="32"/>
      <c r="B36" s="33"/>
      <c r="C36" s="34"/>
      <c r="D36" s="34"/>
      <c r="E36" s="34"/>
      <c r="F36" s="34"/>
      <c r="G36" s="34"/>
      <c r="H36" s="34"/>
      <c r="I36" s="34"/>
      <c r="J36" s="34"/>
      <c r="K36" s="34"/>
      <c r="L36" s="35"/>
    </row>
    <row r="37" spans="1:28" ht="22.9">
      <c r="A37" s="81"/>
      <c r="B37" s="82"/>
      <c r="C37" s="82"/>
      <c r="D37" s="82"/>
      <c r="E37" s="82"/>
      <c r="F37" s="82"/>
      <c r="G37" s="82"/>
      <c r="H37" s="82"/>
      <c r="I37" s="82"/>
      <c r="J37" s="82"/>
      <c r="K37" s="82"/>
      <c r="L37" s="82"/>
    </row>
    <row r="38" spans="1:28" ht="15.6">
      <c r="A38" s="36"/>
      <c r="C38" s="36"/>
      <c r="D38" s="36"/>
      <c r="E38" s="36"/>
      <c r="F38" s="36"/>
      <c r="G38" s="36"/>
      <c r="H38" s="36"/>
      <c r="I38" s="36"/>
      <c r="J38" s="36"/>
      <c r="K38" s="36"/>
      <c r="L38" s="36"/>
    </row>
    <row r="39" spans="1:28" ht="23.45">
      <c r="A39" s="36"/>
      <c r="B39" s="85" t="s">
        <v>18</v>
      </c>
      <c r="C39" s="98"/>
      <c r="D39" s="98"/>
      <c r="E39" s="98"/>
      <c r="F39" s="98"/>
      <c r="G39" s="98"/>
      <c r="H39" s="98"/>
      <c r="I39" s="98"/>
      <c r="J39" s="98"/>
      <c r="K39" s="98"/>
      <c r="L39" s="98"/>
    </row>
    <row r="40" spans="1:28" ht="23.45">
      <c r="A40" s="36"/>
      <c r="B40" s="85" t="s">
        <v>19</v>
      </c>
      <c r="C40" s="98"/>
      <c r="D40" s="98"/>
      <c r="E40" s="98"/>
      <c r="F40" s="98"/>
      <c r="G40" s="98"/>
      <c r="H40" s="98"/>
      <c r="I40" s="98"/>
      <c r="J40" s="98"/>
      <c r="K40" s="98"/>
      <c r="L40" s="98"/>
    </row>
    <row r="41" spans="1:28" ht="15.6">
      <c r="A41" s="36"/>
    </row>
    <row r="42" spans="1:28" ht="14.45" thickBot="1"/>
    <row r="43" spans="1:28" ht="15.75" customHeight="1" thickBot="1">
      <c r="E43" s="37">
        <v>1</v>
      </c>
      <c r="G43" s="37">
        <v>2</v>
      </c>
      <c r="I43" s="37">
        <v>3</v>
      </c>
      <c r="J43" s="37">
        <v>4</v>
      </c>
      <c r="K43" s="37">
        <v>5</v>
      </c>
      <c r="L43" s="37">
        <v>6</v>
      </c>
    </row>
    <row r="44" spans="1:28" ht="33" customHeight="1">
      <c r="A44" s="73" t="s">
        <v>20</v>
      </c>
      <c r="B44" s="74"/>
      <c r="C44" s="9" t="s">
        <v>21</v>
      </c>
      <c r="D44" s="9" t="s">
        <v>22</v>
      </c>
      <c r="E44" s="9" t="s">
        <v>23</v>
      </c>
      <c r="F44" s="9" t="s">
        <v>24</v>
      </c>
      <c r="G44" s="9" t="s">
        <v>25</v>
      </c>
      <c r="H44" s="9" t="s">
        <v>26</v>
      </c>
      <c r="I44" s="9" t="s">
        <v>27</v>
      </c>
      <c r="J44" s="9" t="s">
        <v>28</v>
      </c>
      <c r="K44" s="9" t="s">
        <v>29</v>
      </c>
      <c r="L44" s="9" t="s">
        <v>30</v>
      </c>
      <c r="M44" s="1"/>
      <c r="O44" s="3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19.899999999999999" customHeight="1">
      <c r="A45" s="75" t="s">
        <v>31</v>
      </c>
      <c r="B45" s="76"/>
      <c r="C45" s="58" t="s">
        <v>32</v>
      </c>
      <c r="D45" s="58" t="s">
        <v>33</v>
      </c>
      <c r="E45" s="59" t="s">
        <v>34</v>
      </c>
      <c r="F45" s="58" t="s">
        <v>35</v>
      </c>
      <c r="G45" s="59" t="s">
        <v>36</v>
      </c>
      <c r="H45" s="60">
        <v>350</v>
      </c>
      <c r="I45" s="61">
        <v>425000</v>
      </c>
      <c r="J45" s="61">
        <v>148750000</v>
      </c>
      <c r="K45" s="62">
        <v>0.1</v>
      </c>
      <c r="L45" s="61">
        <v>133875000</v>
      </c>
      <c r="M45" s="1"/>
      <c r="N45" s="2" t="s">
        <v>37</v>
      </c>
      <c r="O45" s="3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5.45" customHeight="1">
      <c r="A46" s="63"/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1"/>
      <c r="O46" s="3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18" customHeight="1">
      <c r="A47" s="77">
        <v>1</v>
      </c>
      <c r="B47" s="78"/>
      <c r="C47" s="10" t="s">
        <v>32</v>
      </c>
      <c r="D47" s="10" t="s">
        <v>38</v>
      </c>
      <c r="E47" s="20" t="str">
        <f>VLOOKUP(D47,$N$48:$O$50,2,FALSE)</f>
        <v>Toko Ahmad Budiman</v>
      </c>
      <c r="F47" s="10" t="s">
        <v>39</v>
      </c>
      <c r="G47" s="20" t="str">
        <f>HLOOKUP(F47,$N$53:$R$55,2,FALSE)</f>
        <v>Besi 5 Meter</v>
      </c>
      <c r="H47" s="11">
        <v>240</v>
      </c>
      <c r="I47" s="12">
        <f>HLOOKUP(F47,$N$53:$R$55,3,FALSE)</f>
        <v>250000</v>
      </c>
      <c r="J47" s="12">
        <f>H47*I47</f>
        <v>60000000</v>
      </c>
      <c r="K47" s="13">
        <f>IF(H47&gt;500,20%,IF(H47&gt;200,10%,0))</f>
        <v>0.1</v>
      </c>
      <c r="L47" s="12">
        <f>J47-(J47*K47)</f>
        <v>54000000</v>
      </c>
      <c r="N47" s="38" t="s">
        <v>40</v>
      </c>
      <c r="O47" s="38" t="s">
        <v>23</v>
      </c>
    </row>
    <row r="48" spans="1:28" ht="18" customHeight="1">
      <c r="A48" s="77">
        <v>2</v>
      </c>
      <c r="B48" s="78"/>
      <c r="C48" s="10" t="s">
        <v>32</v>
      </c>
      <c r="D48" s="10" t="s">
        <v>33</v>
      </c>
      <c r="E48" s="20" t="str">
        <f t="shared" ref="E48:E61" si="0">VLOOKUP(D48,$N$48:$O$50,2,FALSE)</f>
        <v>Toko Beni Kusuma</v>
      </c>
      <c r="F48" s="10" t="s">
        <v>35</v>
      </c>
      <c r="G48" s="20" t="str">
        <f t="shared" ref="G48:G61" si="1">HLOOKUP(F48,$N$53:$R$55,2,FALSE)</f>
        <v>Besi 10 Meter</v>
      </c>
      <c r="H48" s="11">
        <v>350</v>
      </c>
      <c r="I48" s="12">
        <f t="shared" ref="I48:I61" si="2">HLOOKUP(F48,$N$53:$R$55,3,FALSE)</f>
        <v>425000</v>
      </c>
      <c r="J48" s="12">
        <f t="shared" ref="J48:J61" si="3">H48*I48</f>
        <v>148750000</v>
      </c>
      <c r="K48" s="13">
        <f t="shared" ref="K48:K61" si="4">IF(H48&gt;500,20%,IF(H48&gt;200,10%,0))</f>
        <v>0.1</v>
      </c>
      <c r="L48" s="12">
        <f t="shared" ref="L48:L61" si="5">J48-(J48*K48)</f>
        <v>133875000</v>
      </c>
      <c r="N48" s="39" t="s">
        <v>38</v>
      </c>
      <c r="O48" s="39" t="s">
        <v>41</v>
      </c>
    </row>
    <row r="49" spans="1:18" ht="18" customHeight="1">
      <c r="A49" s="77">
        <v>3</v>
      </c>
      <c r="B49" s="78"/>
      <c r="C49" s="10" t="s">
        <v>32</v>
      </c>
      <c r="D49" s="10" t="s">
        <v>42</v>
      </c>
      <c r="E49" s="20" t="str">
        <f t="shared" si="0"/>
        <v>Toko Chris John</v>
      </c>
      <c r="F49" s="10" t="s">
        <v>43</v>
      </c>
      <c r="G49" s="20" t="str">
        <f t="shared" si="1"/>
        <v>Pipa 5 Meter</v>
      </c>
      <c r="H49" s="11">
        <v>130</v>
      </c>
      <c r="I49" s="12">
        <f t="shared" si="2"/>
        <v>78000</v>
      </c>
      <c r="J49" s="12">
        <f t="shared" si="3"/>
        <v>10140000</v>
      </c>
      <c r="K49" s="13">
        <f t="shared" si="4"/>
        <v>0</v>
      </c>
      <c r="L49" s="12">
        <f t="shared" si="5"/>
        <v>10140000</v>
      </c>
      <c r="N49" s="39" t="s">
        <v>33</v>
      </c>
      <c r="O49" s="39" t="s">
        <v>34</v>
      </c>
    </row>
    <row r="50" spans="1:18" ht="18" customHeight="1">
      <c r="A50" s="77">
        <v>4</v>
      </c>
      <c r="B50" s="78"/>
      <c r="C50" s="10" t="s">
        <v>44</v>
      </c>
      <c r="D50" s="10" t="s">
        <v>42</v>
      </c>
      <c r="E50" s="20" t="str">
        <f t="shared" si="0"/>
        <v>Toko Chris John</v>
      </c>
      <c r="F50" s="10" t="s">
        <v>45</v>
      </c>
      <c r="G50" s="20" t="str">
        <f t="shared" si="1"/>
        <v>Pipa 10 Meter</v>
      </c>
      <c r="H50" s="11">
        <v>560</v>
      </c>
      <c r="I50" s="12">
        <f t="shared" si="2"/>
        <v>140000</v>
      </c>
      <c r="J50" s="12">
        <f t="shared" si="3"/>
        <v>78400000</v>
      </c>
      <c r="K50" s="13">
        <f t="shared" si="4"/>
        <v>0.2</v>
      </c>
      <c r="L50" s="12">
        <f t="shared" si="5"/>
        <v>62720000</v>
      </c>
      <c r="N50" s="39" t="s">
        <v>42</v>
      </c>
      <c r="O50" s="39" t="s">
        <v>46</v>
      </c>
    </row>
    <row r="51" spans="1:18" ht="18" customHeight="1">
      <c r="A51" s="77">
        <v>5</v>
      </c>
      <c r="B51" s="78"/>
      <c r="C51" s="10" t="s">
        <v>44</v>
      </c>
      <c r="D51" s="10" t="s">
        <v>33</v>
      </c>
      <c r="E51" s="20" t="str">
        <f t="shared" si="0"/>
        <v>Toko Beni Kusuma</v>
      </c>
      <c r="F51" s="10" t="s">
        <v>39</v>
      </c>
      <c r="G51" s="20" t="str">
        <f t="shared" si="1"/>
        <v>Besi 5 Meter</v>
      </c>
      <c r="H51" s="11">
        <v>780</v>
      </c>
      <c r="I51" s="12">
        <f t="shared" si="2"/>
        <v>250000</v>
      </c>
      <c r="J51" s="12">
        <f t="shared" si="3"/>
        <v>195000000</v>
      </c>
      <c r="K51" s="13">
        <f t="shared" si="4"/>
        <v>0.2</v>
      </c>
      <c r="L51" s="12">
        <f t="shared" si="5"/>
        <v>156000000</v>
      </c>
      <c r="N51" s="4"/>
      <c r="O51" s="4"/>
    </row>
    <row r="52" spans="1:18" ht="18" customHeight="1">
      <c r="A52" s="77">
        <v>6</v>
      </c>
      <c r="B52" s="78"/>
      <c r="C52" s="10" t="s">
        <v>44</v>
      </c>
      <c r="D52" s="10" t="s">
        <v>38</v>
      </c>
      <c r="E52" s="20" t="str">
        <f t="shared" si="0"/>
        <v>Toko Ahmad Budiman</v>
      </c>
      <c r="F52" s="10" t="s">
        <v>35</v>
      </c>
      <c r="G52" s="20" t="str">
        <f t="shared" si="1"/>
        <v>Besi 10 Meter</v>
      </c>
      <c r="H52" s="11">
        <v>890</v>
      </c>
      <c r="I52" s="12">
        <f t="shared" si="2"/>
        <v>425000</v>
      </c>
      <c r="J52" s="12">
        <f t="shared" si="3"/>
        <v>378250000</v>
      </c>
      <c r="K52" s="13">
        <f t="shared" si="4"/>
        <v>0.2</v>
      </c>
      <c r="L52" s="12">
        <f t="shared" si="5"/>
        <v>302600000</v>
      </c>
      <c r="N52" s="5" t="s">
        <v>47</v>
      </c>
      <c r="O52" s="6"/>
      <c r="P52" s="6"/>
      <c r="Q52" s="6"/>
      <c r="R52" s="6"/>
    </row>
    <row r="53" spans="1:18" ht="18" customHeight="1">
      <c r="A53" s="77">
        <v>7</v>
      </c>
      <c r="B53" s="78"/>
      <c r="C53" s="10" t="s">
        <v>44</v>
      </c>
      <c r="D53" s="10" t="s">
        <v>33</v>
      </c>
      <c r="E53" s="20" t="str">
        <f t="shared" si="0"/>
        <v>Toko Beni Kusuma</v>
      </c>
      <c r="F53" s="10" t="s">
        <v>43</v>
      </c>
      <c r="G53" s="20" t="str">
        <f t="shared" si="1"/>
        <v>Pipa 5 Meter</v>
      </c>
      <c r="H53" s="11">
        <v>420</v>
      </c>
      <c r="I53" s="12">
        <f t="shared" si="2"/>
        <v>78000</v>
      </c>
      <c r="J53" s="12">
        <f t="shared" si="3"/>
        <v>32760000</v>
      </c>
      <c r="K53" s="13">
        <f t="shared" si="4"/>
        <v>0.1</v>
      </c>
      <c r="L53" s="12">
        <f t="shared" si="5"/>
        <v>29484000</v>
      </c>
      <c r="N53" s="40" t="s">
        <v>40</v>
      </c>
      <c r="O53" s="41" t="s">
        <v>39</v>
      </c>
      <c r="P53" s="41" t="s">
        <v>35</v>
      </c>
      <c r="Q53" s="41" t="s">
        <v>43</v>
      </c>
      <c r="R53" s="41" t="s">
        <v>45</v>
      </c>
    </row>
    <row r="54" spans="1:18" ht="18" customHeight="1">
      <c r="A54" s="77">
        <v>8</v>
      </c>
      <c r="B54" s="78"/>
      <c r="C54" s="10" t="s">
        <v>44</v>
      </c>
      <c r="D54" s="10" t="s">
        <v>38</v>
      </c>
      <c r="E54" s="20" t="str">
        <f t="shared" si="0"/>
        <v>Toko Ahmad Budiman</v>
      </c>
      <c r="F54" s="10" t="s">
        <v>45</v>
      </c>
      <c r="G54" s="20" t="str">
        <f t="shared" si="1"/>
        <v>Pipa 10 Meter</v>
      </c>
      <c r="H54" s="11">
        <v>110</v>
      </c>
      <c r="I54" s="12">
        <f t="shared" si="2"/>
        <v>140000</v>
      </c>
      <c r="J54" s="12">
        <f t="shared" si="3"/>
        <v>15400000</v>
      </c>
      <c r="K54" s="13">
        <f t="shared" si="4"/>
        <v>0</v>
      </c>
      <c r="L54" s="12">
        <f t="shared" si="5"/>
        <v>15400000</v>
      </c>
      <c r="N54" s="40" t="s">
        <v>48</v>
      </c>
      <c r="O54" s="18" t="s">
        <v>49</v>
      </c>
      <c r="P54" s="18" t="s">
        <v>36</v>
      </c>
      <c r="Q54" s="18" t="s">
        <v>50</v>
      </c>
      <c r="R54" s="18" t="s">
        <v>51</v>
      </c>
    </row>
    <row r="55" spans="1:18" ht="18" customHeight="1">
      <c r="A55" s="77">
        <v>9</v>
      </c>
      <c r="B55" s="78"/>
      <c r="C55" s="10" t="s">
        <v>44</v>
      </c>
      <c r="D55" s="10" t="s">
        <v>42</v>
      </c>
      <c r="E55" s="20" t="str">
        <f t="shared" si="0"/>
        <v>Toko Chris John</v>
      </c>
      <c r="F55" s="10" t="s">
        <v>39</v>
      </c>
      <c r="G55" s="20" t="str">
        <f t="shared" si="1"/>
        <v>Besi 5 Meter</v>
      </c>
      <c r="H55" s="11">
        <v>720</v>
      </c>
      <c r="I55" s="12">
        <f t="shared" si="2"/>
        <v>250000</v>
      </c>
      <c r="J55" s="12">
        <f t="shared" si="3"/>
        <v>180000000</v>
      </c>
      <c r="K55" s="13">
        <f t="shared" si="4"/>
        <v>0.2</v>
      </c>
      <c r="L55" s="12">
        <f t="shared" si="5"/>
        <v>144000000</v>
      </c>
      <c r="N55" s="40" t="s">
        <v>27</v>
      </c>
      <c r="O55" s="18">
        <v>250000</v>
      </c>
      <c r="P55" s="18">
        <v>425000</v>
      </c>
      <c r="Q55" s="18">
        <v>78000</v>
      </c>
      <c r="R55" s="18">
        <v>140000</v>
      </c>
    </row>
    <row r="56" spans="1:18" ht="18" customHeight="1">
      <c r="A56" s="77">
        <v>10</v>
      </c>
      <c r="B56" s="78"/>
      <c r="C56" s="10" t="s">
        <v>44</v>
      </c>
      <c r="D56" s="10" t="s">
        <v>33</v>
      </c>
      <c r="E56" s="20" t="str">
        <f t="shared" si="0"/>
        <v>Toko Beni Kusuma</v>
      </c>
      <c r="F56" s="10" t="s">
        <v>35</v>
      </c>
      <c r="G56" s="20" t="str">
        <f t="shared" si="1"/>
        <v>Besi 10 Meter</v>
      </c>
      <c r="H56" s="11">
        <v>120</v>
      </c>
      <c r="I56" s="12">
        <f t="shared" si="2"/>
        <v>425000</v>
      </c>
      <c r="J56" s="12">
        <f t="shared" si="3"/>
        <v>51000000</v>
      </c>
      <c r="K56" s="13">
        <f t="shared" si="4"/>
        <v>0</v>
      </c>
      <c r="L56" s="12">
        <f t="shared" si="5"/>
        <v>51000000</v>
      </c>
      <c r="N56" s="7"/>
      <c r="O56" s="7"/>
      <c r="P56" s="7"/>
    </row>
    <row r="57" spans="1:18" ht="18" customHeight="1">
      <c r="A57" s="77">
        <v>11</v>
      </c>
      <c r="B57" s="78"/>
      <c r="C57" s="10" t="s">
        <v>44</v>
      </c>
      <c r="D57" s="10" t="s">
        <v>38</v>
      </c>
      <c r="E57" s="20" t="str">
        <f t="shared" si="0"/>
        <v>Toko Ahmad Budiman</v>
      </c>
      <c r="F57" s="10" t="s">
        <v>43</v>
      </c>
      <c r="G57" s="20" t="str">
        <f t="shared" si="1"/>
        <v>Pipa 5 Meter</v>
      </c>
      <c r="H57" s="11">
        <v>120</v>
      </c>
      <c r="I57" s="12">
        <f t="shared" si="2"/>
        <v>78000</v>
      </c>
      <c r="J57" s="12">
        <f t="shared" si="3"/>
        <v>9360000</v>
      </c>
      <c r="K57" s="13">
        <f t="shared" si="4"/>
        <v>0</v>
      </c>
      <c r="L57" s="12">
        <f t="shared" si="5"/>
        <v>9360000</v>
      </c>
    </row>
    <row r="58" spans="1:18" ht="18" customHeight="1">
      <c r="A58" s="77">
        <v>12</v>
      </c>
      <c r="B58" s="78"/>
      <c r="C58" s="10" t="s">
        <v>44</v>
      </c>
      <c r="D58" s="10" t="s">
        <v>38</v>
      </c>
      <c r="E58" s="20" t="str">
        <f t="shared" si="0"/>
        <v>Toko Ahmad Budiman</v>
      </c>
      <c r="F58" s="10" t="s">
        <v>45</v>
      </c>
      <c r="G58" s="20" t="str">
        <f t="shared" si="1"/>
        <v>Pipa 10 Meter</v>
      </c>
      <c r="H58" s="11">
        <v>550</v>
      </c>
      <c r="I58" s="12">
        <f t="shared" si="2"/>
        <v>140000</v>
      </c>
      <c r="J58" s="12">
        <f t="shared" si="3"/>
        <v>77000000</v>
      </c>
      <c r="K58" s="13">
        <f t="shared" si="4"/>
        <v>0.2</v>
      </c>
      <c r="L58" s="12">
        <f t="shared" si="5"/>
        <v>61600000</v>
      </c>
    </row>
    <row r="59" spans="1:18" ht="18" customHeight="1">
      <c r="A59" s="77">
        <v>13</v>
      </c>
      <c r="B59" s="78"/>
      <c r="C59" s="10" t="s">
        <v>44</v>
      </c>
      <c r="D59" s="10" t="s">
        <v>33</v>
      </c>
      <c r="E59" s="20" t="str">
        <f t="shared" si="0"/>
        <v>Toko Beni Kusuma</v>
      </c>
      <c r="F59" s="10" t="s">
        <v>43</v>
      </c>
      <c r="G59" s="20" t="str">
        <f t="shared" si="1"/>
        <v>Pipa 5 Meter</v>
      </c>
      <c r="H59" s="11">
        <v>580</v>
      </c>
      <c r="I59" s="12">
        <f t="shared" si="2"/>
        <v>78000</v>
      </c>
      <c r="J59" s="12">
        <f t="shared" si="3"/>
        <v>45240000</v>
      </c>
      <c r="K59" s="13">
        <f t="shared" si="4"/>
        <v>0.2</v>
      </c>
      <c r="L59" s="12">
        <f t="shared" si="5"/>
        <v>36192000</v>
      </c>
    </row>
    <row r="60" spans="1:18" ht="18" customHeight="1">
      <c r="A60" s="77">
        <v>14</v>
      </c>
      <c r="B60" s="78"/>
      <c r="C60" s="10" t="s">
        <v>52</v>
      </c>
      <c r="D60" s="10" t="s">
        <v>38</v>
      </c>
      <c r="E60" s="20" t="str">
        <f t="shared" si="0"/>
        <v>Toko Ahmad Budiman</v>
      </c>
      <c r="F60" s="10" t="s">
        <v>45</v>
      </c>
      <c r="G60" s="20" t="str">
        <f t="shared" si="1"/>
        <v>Pipa 10 Meter</v>
      </c>
      <c r="H60" s="11">
        <v>620</v>
      </c>
      <c r="I60" s="12">
        <f t="shared" si="2"/>
        <v>140000</v>
      </c>
      <c r="J60" s="12">
        <f t="shared" si="3"/>
        <v>86800000</v>
      </c>
      <c r="K60" s="13">
        <f t="shared" si="4"/>
        <v>0.2</v>
      </c>
      <c r="L60" s="12">
        <f t="shared" si="5"/>
        <v>69440000</v>
      </c>
    </row>
    <row r="61" spans="1:18" ht="18" customHeight="1" thickBot="1">
      <c r="A61" s="77">
        <v>15</v>
      </c>
      <c r="B61" s="78"/>
      <c r="C61" s="10" t="s">
        <v>52</v>
      </c>
      <c r="D61" s="10" t="s">
        <v>42</v>
      </c>
      <c r="E61" s="20" t="str">
        <f t="shared" si="0"/>
        <v>Toko Chris John</v>
      </c>
      <c r="F61" s="10" t="s">
        <v>45</v>
      </c>
      <c r="G61" s="20" t="str">
        <f t="shared" si="1"/>
        <v>Pipa 10 Meter</v>
      </c>
      <c r="H61" s="11">
        <v>900</v>
      </c>
      <c r="I61" s="12">
        <f t="shared" si="2"/>
        <v>140000</v>
      </c>
      <c r="J61" s="12">
        <f t="shared" si="3"/>
        <v>126000000</v>
      </c>
      <c r="K61" s="13">
        <f t="shared" si="4"/>
        <v>0.2</v>
      </c>
      <c r="L61" s="12">
        <f t="shared" si="5"/>
        <v>100800000</v>
      </c>
      <c r="O61" s="17"/>
    </row>
    <row r="62" spans="1:18" ht="18" customHeight="1" thickBot="1">
      <c r="A62" s="79" t="s">
        <v>53</v>
      </c>
      <c r="B62" s="79"/>
      <c r="C62" s="79"/>
      <c r="D62" s="79"/>
      <c r="E62" s="79"/>
      <c r="F62" s="79"/>
      <c r="G62" s="80"/>
      <c r="H62" s="97">
        <f>SUM(H47:H61)</f>
        <v>7090</v>
      </c>
      <c r="I62" s="70" t="s">
        <v>54</v>
      </c>
      <c r="J62" s="71"/>
      <c r="K62" s="72"/>
      <c r="L62" s="14">
        <f>SUM(L47:L61)</f>
        <v>1236611000</v>
      </c>
      <c r="M62" s="37">
        <v>7</v>
      </c>
    </row>
    <row r="63" spans="1:18" ht="18" customHeight="1" thickBot="1">
      <c r="A63" s="86" t="s">
        <v>55</v>
      </c>
      <c r="B63" s="86"/>
      <c r="C63" s="86"/>
      <c r="D63" s="86"/>
      <c r="E63" s="86"/>
      <c r="F63" s="86"/>
      <c r="G63" s="87"/>
      <c r="H63" s="96">
        <f>AVERAGE(H47:H61)</f>
        <v>472.66666666666669</v>
      </c>
      <c r="I63" s="70" t="s">
        <v>56</v>
      </c>
      <c r="J63" s="71"/>
      <c r="K63" s="72"/>
      <c r="L63" s="14">
        <f>AVERAGE(L47:L61)</f>
        <v>82440733.333333328</v>
      </c>
      <c r="M63" s="37">
        <v>8</v>
      </c>
    </row>
    <row r="65" spans="2:2" ht="13.9">
      <c r="B65" s="15"/>
    </row>
    <row r="66" spans="2:2" ht="13.9">
      <c r="B66" s="16"/>
    </row>
    <row r="67" spans="2:2" ht="13.9">
      <c r="B67" s="16"/>
    </row>
    <row r="68" spans="2:2" ht="13.9">
      <c r="B68" s="16"/>
    </row>
    <row r="69" spans="2:2" ht="13.9">
      <c r="B69" s="16"/>
    </row>
    <row r="70" spans="2:2" ht="13.9">
      <c r="B70" s="16"/>
    </row>
    <row r="71" spans="2:2" ht="13.9">
      <c r="B71" s="16"/>
    </row>
    <row r="72" spans="2:2" ht="13.9">
      <c r="B72" s="16"/>
    </row>
    <row r="73" spans="2:2" ht="13.9"/>
  </sheetData>
  <mergeCells count="27">
    <mergeCell ref="A55:B55"/>
    <mergeCell ref="A56:B56"/>
    <mergeCell ref="A57:B57"/>
    <mergeCell ref="A58:B58"/>
    <mergeCell ref="A59:B59"/>
    <mergeCell ref="A19:L19"/>
    <mergeCell ref="A37:L37"/>
    <mergeCell ref="F17:G17"/>
    <mergeCell ref="A17:C17"/>
    <mergeCell ref="B40:L40"/>
    <mergeCell ref="B39:L39"/>
    <mergeCell ref="I62:K62"/>
    <mergeCell ref="I63:K63"/>
    <mergeCell ref="A44:B44"/>
    <mergeCell ref="A45:B45"/>
    <mergeCell ref="A47:B47"/>
    <mergeCell ref="A48:B48"/>
    <mergeCell ref="A49:B49"/>
    <mergeCell ref="A50:B50"/>
    <mergeCell ref="A51:B51"/>
    <mergeCell ref="A52:B52"/>
    <mergeCell ref="A53:B53"/>
    <mergeCell ref="A54:B54"/>
    <mergeCell ref="A60:B60"/>
    <mergeCell ref="A61:B61"/>
    <mergeCell ref="A62:G62"/>
    <mergeCell ref="A63:G63"/>
  </mergeCells>
  <dataValidations count="12">
    <dataValidation allowBlank="1" showInputMessage="1" showErrorMessage="1" prompt="Isi nama pelanggan berdasarkan kode pelanggan" sqref="E47:E61" xr:uid="{9561959A-C9EC-4531-AF22-B7FC92CB2EFD}"/>
    <dataValidation allowBlank="1" showInputMessage="1" showErrorMessage="1" prompt="Isi nama produk berdasarkan kode produk" sqref="G47:G61" xr:uid="{4116653F-6442-4E0B-AD1D-0A4B85BCD967}"/>
    <dataValidation allowBlank="1" showInputMessage="1" showErrorMessage="1" prompt="Isi harga satuan berdasarkan kode produk" sqref="I47:I61" xr:uid="{CA46CF6A-1A90-4C24-A9CE-C8D46E7D11B4}"/>
    <dataValidation allowBlank="1" showInputMessage="1" showErrorMessage="1" prompt="Total Penjualan = Qty x Harga Satuan" sqref="J47:J61" xr:uid="{1B447A81-9568-42B9-AF89-8B6C045771C8}"/>
    <dataValidation allowBlank="1" showInputMessage="1" showErrorMessage="1" prompt="Isi diskon menggunakan fungsi IF:_x000a_1. Jika Qty &gt;500, maka diskon 20%_x000a_2. Jika Qty &gt; 200, maka diskon 10%_x000a_3. selain itu tidak memperoleh diskon" sqref="K47:K61" xr:uid="{3202FF24-75B9-4622-BBC4-D806CAC2E95E}"/>
    <dataValidation allowBlank="1" showInputMessage="1" showErrorMessage="1" prompt="Penjualan Bersih = Total Penjualan - % Diskon Total Penjualan" sqref="L47:L61" xr:uid="{5499A276-5FC6-4D42-9088-18FC71680B6A}"/>
    <dataValidation allowBlank="1" showErrorMessage="1" prompt="Isi nama pelanggan berdasarkan kode pelanggan" sqref="E45" xr:uid="{5F177E33-7867-40A6-9EBB-F26980FD89B9}"/>
    <dataValidation allowBlank="1" showErrorMessage="1" prompt="Isi nama produk berdasarkan kode produk" sqref="G45" xr:uid="{EF0CEF75-FB7A-4089-BC7B-4103CA1DF8EB}"/>
    <dataValidation allowBlank="1" showErrorMessage="1" prompt="Isi harga satuan berdasarkan kode produk" sqref="I45" xr:uid="{1ED40300-6729-4523-A863-5E68DCF65C81}"/>
    <dataValidation allowBlank="1" showErrorMessage="1" prompt="Total Penjualan = Qty x Harga Satuan" sqref="J45" xr:uid="{605C0970-1D07-4D63-A0E4-12F153D30EB8}"/>
    <dataValidation allowBlank="1" showErrorMessage="1" prompt="Isi diskon menggunakan fungsi IF:_x000a_1. Jika Qty &gt;500, maka diskon 20%_x000a_2. Jika Qty &gt; 200, maka diskon 10%_x000a_3. selain itu tidak memperoleh diskon" sqref="K45" xr:uid="{DC8D9F4F-3E79-42D5-89E8-6BA7A9457979}"/>
    <dataValidation allowBlank="1" showErrorMessage="1" prompt="Penjualan Bersih = Total Penjualan - % Diskon Total Penjualan" sqref="L45" xr:uid="{20BED477-866C-4224-9B2D-0C2083E6A185}"/>
  </dataValidations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2B1DE-9F6B-45A3-80D5-20F209E1FD68}">
  <sheetPr codeName="Sheet2"/>
  <dimension ref="B1:P32"/>
  <sheetViews>
    <sheetView showGridLines="0" workbookViewId="0">
      <selection activeCell="N18" sqref="N18"/>
    </sheetView>
  </sheetViews>
  <sheetFormatPr defaultColWidth="8.85546875" defaultRowHeight="14.45"/>
  <cols>
    <col min="1" max="1" width="5.7109375" style="42" customWidth="1"/>
    <col min="2" max="2" width="10" style="42" customWidth="1"/>
    <col min="3" max="6" width="8.85546875" style="42"/>
    <col min="7" max="8" width="4.28515625" style="42" customWidth="1"/>
    <col min="9" max="9" width="8.85546875" style="42"/>
    <col min="10" max="10" width="10.42578125" style="42" customWidth="1"/>
    <col min="11" max="11" width="9.28515625" style="42" customWidth="1"/>
    <col min="12" max="13" width="8.85546875" style="42"/>
    <col min="14" max="14" width="26.42578125" style="42" customWidth="1"/>
    <col min="15" max="16384" width="8.85546875" style="42"/>
  </cols>
  <sheetData>
    <row r="1" spans="7:16">
      <c r="H1" s="43"/>
      <c r="I1" s="43"/>
      <c r="J1" s="43"/>
      <c r="K1" s="43"/>
      <c r="L1" s="43"/>
      <c r="M1" s="43"/>
      <c r="N1" s="43"/>
      <c r="O1" s="43"/>
      <c r="P1" s="43"/>
    </row>
    <row r="2" spans="7:16">
      <c r="H2" s="43"/>
      <c r="I2" s="43"/>
      <c r="J2" s="43"/>
      <c r="K2" s="43"/>
      <c r="L2" s="43"/>
      <c r="M2" s="43"/>
      <c r="N2" s="43"/>
      <c r="O2" s="43"/>
      <c r="P2" s="43"/>
    </row>
    <row r="3" spans="7:16">
      <c r="G3" s="44"/>
      <c r="H3" s="45"/>
      <c r="I3" s="43"/>
      <c r="J3" s="43"/>
      <c r="K3" s="43"/>
      <c r="L3" s="43"/>
      <c r="M3" s="43"/>
      <c r="N3" s="43"/>
      <c r="O3" s="43"/>
      <c r="P3" s="43"/>
    </row>
    <row r="4" spans="7:16">
      <c r="G4" s="44"/>
      <c r="H4" s="45"/>
      <c r="I4" s="43"/>
      <c r="J4" s="43"/>
      <c r="K4" s="43"/>
      <c r="L4" s="43"/>
      <c r="M4" s="43"/>
      <c r="N4" s="43"/>
      <c r="O4" s="43"/>
      <c r="P4" s="43"/>
    </row>
    <row r="5" spans="7:16">
      <c r="G5" s="44"/>
      <c r="H5" s="45"/>
      <c r="I5" s="43"/>
      <c r="J5" s="43"/>
      <c r="K5" s="43"/>
      <c r="L5" s="43"/>
      <c r="M5" s="43"/>
      <c r="N5" s="43"/>
      <c r="O5" s="43"/>
      <c r="P5" s="43"/>
    </row>
    <row r="6" spans="7:16">
      <c r="G6" s="44"/>
      <c r="H6" s="45"/>
      <c r="I6" s="43" t="s">
        <v>57</v>
      </c>
      <c r="J6" s="43"/>
      <c r="K6" s="43"/>
      <c r="L6" s="43"/>
      <c r="M6" s="43"/>
      <c r="N6" s="43"/>
      <c r="O6" s="43"/>
      <c r="P6" s="43"/>
    </row>
    <row r="7" spans="7:16">
      <c r="G7" s="44"/>
      <c r="H7" s="45"/>
      <c r="I7" s="43" t="s">
        <v>58</v>
      </c>
      <c r="J7" s="43"/>
      <c r="K7" s="43"/>
      <c r="L7" s="43"/>
      <c r="M7" s="43"/>
      <c r="N7" s="43"/>
      <c r="O7" s="43"/>
      <c r="P7" s="43"/>
    </row>
    <row r="8" spans="7:16">
      <c r="G8" s="44"/>
      <c r="H8" s="45"/>
      <c r="I8" s="43"/>
      <c r="J8" s="43"/>
      <c r="K8" s="43"/>
      <c r="L8" s="43"/>
      <c r="M8" s="43"/>
      <c r="N8" s="43"/>
      <c r="O8" s="43"/>
      <c r="P8" s="43"/>
    </row>
    <row r="9" spans="7:16">
      <c r="G9" s="44"/>
      <c r="H9" s="45"/>
      <c r="I9" s="43"/>
      <c r="J9" s="43"/>
      <c r="K9" s="43"/>
      <c r="L9" s="43"/>
      <c r="M9" s="43"/>
      <c r="N9" s="43"/>
      <c r="O9" s="43"/>
      <c r="P9" s="43"/>
    </row>
    <row r="10" spans="7:16">
      <c r="G10" s="44"/>
      <c r="H10" s="45"/>
      <c r="I10" s="43" t="s">
        <v>59</v>
      </c>
      <c r="J10" s="43"/>
      <c r="K10" s="43"/>
      <c r="L10" s="43"/>
      <c r="M10" s="43"/>
      <c r="N10" s="43"/>
      <c r="O10" s="43"/>
      <c r="P10" s="43"/>
    </row>
    <row r="11" spans="7:16">
      <c r="G11" s="44"/>
      <c r="H11" s="45"/>
      <c r="I11" s="43"/>
      <c r="J11" s="43"/>
      <c r="K11" s="43"/>
      <c r="L11" s="43"/>
      <c r="M11" s="43"/>
      <c r="N11" s="43"/>
      <c r="O11" s="43"/>
      <c r="P11" s="43"/>
    </row>
    <row r="12" spans="7:16">
      <c r="G12" s="44"/>
      <c r="H12" s="45"/>
      <c r="I12" s="43"/>
      <c r="J12" s="94" t="s">
        <v>60</v>
      </c>
      <c r="K12" s="94"/>
      <c r="L12" s="95" t="s">
        <v>61</v>
      </c>
      <c r="M12" s="95"/>
      <c r="N12" s="43"/>
      <c r="O12" s="43"/>
      <c r="P12" s="43"/>
    </row>
    <row r="13" spans="7:16">
      <c r="G13" s="44"/>
      <c r="H13" s="45"/>
      <c r="I13" s="43"/>
      <c r="J13" s="94" t="s">
        <v>62</v>
      </c>
      <c r="K13" s="94"/>
      <c r="L13" s="69" t="s">
        <v>63</v>
      </c>
      <c r="M13" s="46"/>
      <c r="N13" s="43"/>
      <c r="O13" s="43"/>
      <c r="P13" s="43"/>
    </row>
    <row r="14" spans="7:16">
      <c r="G14" s="44"/>
      <c r="H14" s="45"/>
      <c r="I14" s="43"/>
      <c r="J14" s="94" t="s">
        <v>64</v>
      </c>
      <c r="K14" s="94"/>
      <c r="L14" s="69" t="s">
        <v>65</v>
      </c>
      <c r="M14" s="47"/>
      <c r="N14" s="43"/>
      <c r="O14" s="43"/>
      <c r="P14" s="43"/>
    </row>
    <row r="15" spans="7:16">
      <c r="G15" s="44"/>
      <c r="H15" s="45"/>
      <c r="I15" s="43"/>
      <c r="J15" s="94" t="s">
        <v>66</v>
      </c>
      <c r="K15" s="94"/>
      <c r="L15" s="69" t="s">
        <v>67</v>
      </c>
      <c r="M15" s="47"/>
      <c r="N15" s="43"/>
      <c r="O15" s="43"/>
      <c r="P15" s="43"/>
    </row>
    <row r="16" spans="7:16">
      <c r="G16" s="44"/>
      <c r="H16" s="45"/>
      <c r="I16" s="43"/>
      <c r="J16" s="94" t="s">
        <v>68</v>
      </c>
      <c r="K16" s="94"/>
      <c r="L16" s="69" t="s">
        <v>69</v>
      </c>
      <c r="M16" s="47"/>
      <c r="N16" s="43"/>
      <c r="O16" s="43"/>
      <c r="P16" s="43"/>
    </row>
    <row r="17" spans="2:16" ht="54.6" customHeight="1">
      <c r="B17" s="90" t="s">
        <v>70</v>
      </c>
      <c r="C17" s="90"/>
      <c r="D17" s="90"/>
      <c r="E17" s="90"/>
      <c r="F17" s="91"/>
      <c r="G17" s="66"/>
      <c r="H17" s="45"/>
      <c r="I17" s="43" t="s">
        <v>71</v>
      </c>
      <c r="J17" s="43"/>
      <c r="K17" s="43"/>
      <c r="L17" s="43"/>
      <c r="M17" s="43"/>
      <c r="N17" s="43"/>
      <c r="O17" s="43"/>
      <c r="P17" s="43"/>
    </row>
    <row r="18" spans="2:16" ht="54.6" customHeight="1">
      <c r="B18" s="92" t="s">
        <v>72</v>
      </c>
      <c r="C18" s="92"/>
      <c r="D18" s="92"/>
      <c r="E18" s="92"/>
      <c r="F18" s="93"/>
      <c r="G18" s="67"/>
      <c r="H18" s="45"/>
      <c r="I18" s="48" t="s">
        <v>73</v>
      </c>
      <c r="J18" s="43"/>
      <c r="K18" s="43"/>
      <c r="L18" s="43"/>
      <c r="M18" s="43"/>
      <c r="N18" s="43"/>
      <c r="O18" s="43"/>
      <c r="P18" s="43"/>
    </row>
    <row r="19" spans="2:16">
      <c r="B19" s="49" t="s">
        <v>74</v>
      </c>
      <c r="H19" s="43"/>
      <c r="J19" s="43"/>
      <c r="K19" s="43"/>
      <c r="L19" s="43"/>
      <c r="M19" s="43"/>
      <c r="N19" s="43"/>
      <c r="O19" s="43"/>
      <c r="P19" s="43"/>
    </row>
    <row r="20" spans="2:16">
      <c r="B20" s="50" t="s">
        <v>75</v>
      </c>
      <c r="C20" s="51" t="s">
        <v>76</v>
      </c>
      <c r="H20" s="43"/>
      <c r="J20" s="43"/>
      <c r="K20" s="43"/>
      <c r="L20" s="43"/>
      <c r="M20" s="43"/>
      <c r="N20" s="43"/>
      <c r="O20" s="43"/>
      <c r="P20" s="43"/>
    </row>
    <row r="21" spans="2:16">
      <c r="B21" s="52" t="s">
        <v>77</v>
      </c>
      <c r="C21" s="51" t="s">
        <v>78</v>
      </c>
      <c r="H21" s="43"/>
      <c r="I21" s="43"/>
      <c r="J21" s="43"/>
      <c r="K21" s="43"/>
      <c r="L21" s="43"/>
      <c r="M21" s="43"/>
      <c r="N21" s="43"/>
      <c r="O21" s="43"/>
      <c r="P21" s="43"/>
    </row>
    <row r="22" spans="2:16">
      <c r="H22" s="43"/>
      <c r="I22" s="43"/>
      <c r="J22" s="43"/>
      <c r="K22" s="43"/>
      <c r="L22" s="43"/>
      <c r="M22" s="43"/>
      <c r="N22" s="43"/>
      <c r="O22" s="43"/>
      <c r="P22" s="43"/>
    </row>
    <row r="23" spans="2:16">
      <c r="N23" s="43"/>
      <c r="O23" s="43"/>
      <c r="P23" s="43"/>
    </row>
    <row r="24" spans="2:16">
      <c r="N24" s="43"/>
      <c r="O24" s="43"/>
      <c r="P24" s="43"/>
    </row>
    <row r="25" spans="2:16">
      <c r="B25" s="88"/>
      <c r="C25" s="89"/>
      <c r="D25" s="89"/>
      <c r="E25" s="89"/>
      <c r="F25" s="89"/>
      <c r="G25" s="89"/>
      <c r="H25" s="89"/>
      <c r="I25" s="89"/>
      <c r="N25" s="43"/>
      <c r="O25" s="43"/>
      <c r="P25" s="43"/>
    </row>
    <row r="26" spans="2:16">
      <c r="B26" s="54"/>
      <c r="C26" s="55"/>
      <c r="D26" s="54"/>
      <c r="E26" s="54"/>
      <c r="F26" s="54"/>
      <c r="G26" s="54"/>
      <c r="H26" s="54"/>
      <c r="I26" s="54"/>
    </row>
    <row r="27" spans="2:16">
      <c r="B27" s="54"/>
      <c r="C27" s="54"/>
      <c r="D27" s="57" t="s">
        <v>79</v>
      </c>
      <c r="E27" s="54"/>
      <c r="F27" s="54"/>
      <c r="G27" s="54"/>
      <c r="H27" s="54"/>
      <c r="I27" s="54"/>
    </row>
    <row r="28" spans="2:16">
      <c r="B28" s="54"/>
      <c r="C28" s="54"/>
      <c r="D28" s="56" t="s">
        <v>80</v>
      </c>
      <c r="E28" s="54"/>
      <c r="F28" s="54"/>
      <c r="G28" s="54"/>
      <c r="H28" s="54"/>
      <c r="I28" s="54"/>
    </row>
    <row r="29" spans="2:16">
      <c r="B29" s="54"/>
      <c r="C29" s="54"/>
      <c r="D29" s="68" t="s">
        <v>81</v>
      </c>
      <c r="E29" s="54"/>
      <c r="F29" s="54"/>
      <c r="G29" s="54"/>
      <c r="H29" s="54"/>
      <c r="I29" s="54"/>
    </row>
    <row r="30" spans="2:16">
      <c r="B30" s="54"/>
      <c r="C30" s="54"/>
      <c r="D30" s="54"/>
      <c r="E30" s="54"/>
      <c r="F30" s="54"/>
      <c r="G30" s="54"/>
      <c r="H30" s="54"/>
      <c r="I30" s="54"/>
    </row>
    <row r="31" spans="2:16">
      <c r="B31" s="54"/>
      <c r="C31" s="54"/>
      <c r="D31" s="54"/>
      <c r="E31" s="54"/>
      <c r="F31" s="54"/>
      <c r="G31" s="54"/>
      <c r="H31" s="54"/>
      <c r="I31" s="54"/>
    </row>
    <row r="32" spans="2:16">
      <c r="B32" s="88"/>
      <c r="C32" s="89"/>
      <c r="D32" s="89"/>
      <c r="E32" s="89"/>
      <c r="F32" s="89"/>
      <c r="G32" s="89"/>
      <c r="H32" s="89"/>
      <c r="I32" s="89"/>
    </row>
  </sheetData>
  <mergeCells count="10">
    <mergeCell ref="L12:M12"/>
    <mergeCell ref="J13:K13"/>
    <mergeCell ref="J14:K14"/>
    <mergeCell ref="J15:K15"/>
    <mergeCell ref="J16:K16"/>
    <mergeCell ref="B25:I25"/>
    <mergeCell ref="B32:I32"/>
    <mergeCell ref="B17:F17"/>
    <mergeCell ref="B18:F18"/>
    <mergeCell ref="J12:K12"/>
  </mergeCells>
  <hyperlinks>
    <hyperlink ref="I18" r:id="rId1" xr:uid="{2FFD3162-B30F-436D-B558-BCA6D0557D8E}"/>
    <hyperlink ref="C21" r:id="rId2" xr:uid="{7439B7F3-4365-4C3E-9E6A-833F1F51ABBE}"/>
    <hyperlink ref="C20" r:id="rId3" xr:uid="{40DA99C9-3100-464F-A9CC-CE14DE692B34}"/>
    <hyperlink ref="D29" r:id="rId4" xr:uid="{13EE3EA0-037B-4663-8FA2-AEB1D2562E52}"/>
  </hyperlinks>
  <pageMargins left="0.7" right="0.7" top="0.75" bottom="0.75" header="0.3" footer="0.3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0854D-93A1-4410-9A89-85D01F056BE4}">
  <sheetPr codeName="Sheet3"/>
  <dimension ref="A1:M28"/>
  <sheetViews>
    <sheetView workbookViewId="0">
      <selection activeCell="A2" sqref="A2"/>
    </sheetView>
  </sheetViews>
  <sheetFormatPr defaultRowHeight="13.9"/>
  <cols>
    <col min="2" max="2" width="11.140625" customWidth="1"/>
    <col min="3" max="3" width="17.7109375" customWidth="1"/>
    <col min="4" max="4" width="11.28515625" bestFit="1" customWidth="1"/>
    <col min="5" max="5" width="12.42578125" bestFit="1" customWidth="1"/>
    <col min="6" max="6" width="14" customWidth="1"/>
    <col min="7" max="7" width="7.28515625" customWidth="1"/>
    <col min="8" max="9" width="13.5703125" bestFit="1" customWidth="1"/>
    <col min="10" max="10" width="15.28515625" customWidth="1"/>
    <col min="11" max="11" width="27.42578125" customWidth="1"/>
  </cols>
  <sheetData>
    <row r="1" spans="1:13">
      <c r="A1" t="s">
        <v>82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</row>
    <row r="2" spans="1:13">
      <c r="A2" t="s">
        <v>83</v>
      </c>
      <c r="C2" t="str">
        <f>'XL-Test '!E47</f>
        <v>Toko Ahmad Budiman</v>
      </c>
      <c r="D2" t="str">
        <f>'XL-Test '!G47</f>
        <v>Besi 5 Meter</v>
      </c>
      <c r="E2">
        <f>'XL-Test '!I47</f>
        <v>250000</v>
      </c>
      <c r="F2">
        <f>'XL-Test '!J47</f>
        <v>60000000</v>
      </c>
      <c r="G2">
        <f>'XL-Test '!K47</f>
        <v>0.1</v>
      </c>
      <c r="H2">
        <f>'XL-Test '!L47</f>
        <v>54000000</v>
      </c>
      <c r="I2">
        <f>'XL-Test '!L62</f>
        <v>1236611000</v>
      </c>
      <c r="J2" s="8">
        <f>'XL-Test '!H63</f>
        <v>472.66666666666669</v>
      </c>
      <c r="L2">
        <v>1</v>
      </c>
      <c r="M2" t="str">
        <f ca="1">_xlfn.FORMULATEXT('XL-Test '!E47)</f>
        <v>=VLOOKUP(D47;$N$48:$O$50;2;FALSE)</v>
      </c>
    </row>
    <row r="3" spans="1:13">
      <c r="C3" t="str">
        <f>'XL-Test '!E52</f>
        <v>Toko Ahmad Budiman</v>
      </c>
      <c r="D3" t="str">
        <f>'XL-Test '!G52</f>
        <v>Besi 10 Meter</v>
      </c>
      <c r="E3">
        <f>'XL-Test '!I52</f>
        <v>425000</v>
      </c>
      <c r="F3">
        <f>'XL-Test '!J52</f>
        <v>378250000</v>
      </c>
      <c r="G3">
        <f>'XL-Test '!K52</f>
        <v>0.2</v>
      </c>
      <c r="H3">
        <f>'XL-Test '!L52</f>
        <v>302600000</v>
      </c>
      <c r="I3" s="8">
        <f>'XL-Test '!H63</f>
        <v>472.66666666666669</v>
      </c>
      <c r="J3">
        <f>'XL-Test '!L63</f>
        <v>82440733.333333328</v>
      </c>
      <c r="L3">
        <v>2</v>
      </c>
      <c r="M3" t="str">
        <f ca="1">_xlfn.FORMULATEXT('XL-Test '!G47)</f>
        <v>=HLOOKUP(F47;$N$53:$R$55;2;FALSE)</v>
      </c>
    </row>
    <row r="4" spans="1:13">
      <c r="C4" t="str">
        <f>'XL-Test '!E56</f>
        <v>Toko Beni Kusuma</v>
      </c>
      <c r="D4" t="str">
        <f>'XL-Test '!G56</f>
        <v>Besi 10 Meter</v>
      </c>
      <c r="E4">
        <f>'XL-Test '!I56</f>
        <v>425000</v>
      </c>
      <c r="F4">
        <f>'XL-Test '!J56</f>
        <v>51000000</v>
      </c>
      <c r="G4">
        <f>'XL-Test '!K56</f>
        <v>0</v>
      </c>
      <c r="H4">
        <f>'XL-Test '!L56</f>
        <v>51000000</v>
      </c>
      <c r="L4">
        <v>3</v>
      </c>
      <c r="M4" t="str">
        <f ca="1">_xlfn.FORMULATEXT('XL-Test '!I47)</f>
        <v>=HLOOKUP(F47;$N$53:$R$55;3;FALSE)</v>
      </c>
    </row>
    <row r="5" spans="1:13">
      <c r="C5" t="str">
        <f>'XL-Test '!E59</f>
        <v>Toko Beni Kusuma</v>
      </c>
      <c r="D5" t="str">
        <f>'XL-Test '!G59</f>
        <v>Pipa 5 Meter</v>
      </c>
      <c r="E5">
        <f>'XL-Test '!I59</f>
        <v>78000</v>
      </c>
      <c r="F5">
        <f>'XL-Test '!J59</f>
        <v>45240000</v>
      </c>
      <c r="G5">
        <f>'XL-Test '!K59</f>
        <v>0.2</v>
      </c>
      <c r="H5">
        <f>'XL-Test '!L59</f>
        <v>36192000</v>
      </c>
      <c r="L5">
        <v>4</v>
      </c>
      <c r="M5" t="str">
        <f ca="1">_xlfn.FORMULATEXT('XL-Test '!J47)</f>
        <v>=H47*I47</v>
      </c>
    </row>
    <row r="6" spans="1:13">
      <c r="C6" t="str">
        <f>'XL-Test '!E61</f>
        <v>Toko Chris John</v>
      </c>
      <c r="D6" t="str">
        <f>'XL-Test '!G61</f>
        <v>Pipa 10 Meter</v>
      </c>
      <c r="E6">
        <f>'XL-Test '!I61</f>
        <v>140000</v>
      </c>
      <c r="F6">
        <f>'XL-Test '!J61</f>
        <v>126000000</v>
      </c>
      <c r="G6">
        <f>'XL-Test '!K61</f>
        <v>0.2</v>
      </c>
      <c r="H6">
        <f>'XL-Test '!L61</f>
        <v>100800000</v>
      </c>
      <c r="L6">
        <v>5</v>
      </c>
      <c r="M6" t="str">
        <f ca="1">_xlfn.FORMULATEXT('XL-Test '!K47)</f>
        <v>=IF(H47&gt;500;20%;IF(H47&gt;200;10%;0))</v>
      </c>
    </row>
    <row r="7" spans="1:13">
      <c r="E7" s="21">
        <f>SUM('XL-Test '!I47:I61)</f>
        <v>3037000</v>
      </c>
      <c r="F7" s="21">
        <f>SUM('XL-Test '!J47:J61)</f>
        <v>1494100000</v>
      </c>
      <c r="G7" s="21">
        <f>SUM('XL-Test '!K47:K61)</f>
        <v>1.9</v>
      </c>
      <c r="H7" s="21">
        <f>SUM('XL-Test '!L47:L61)</f>
        <v>1236611000</v>
      </c>
      <c r="I7" s="21">
        <f>'XL-Test '!L62+'XL-Test '!H62</f>
        <v>1236618090</v>
      </c>
      <c r="J7" s="21">
        <f>'XL-Test '!L63*'XL-Test '!H63</f>
        <v>38966986622.222221</v>
      </c>
      <c r="L7">
        <v>6</v>
      </c>
      <c r="M7" t="str">
        <f ca="1">_xlfn.FORMULATEXT('XL-Test '!L47)</f>
        <v>=J47-(J47*K47)</v>
      </c>
    </row>
    <row r="8" spans="1:13">
      <c r="E8">
        <f>SUM(E2:E7)</f>
        <v>4355000</v>
      </c>
      <c r="F8">
        <f t="shared" ref="F8:J8" si="0">SUM(F2:F7)</f>
        <v>2154590000</v>
      </c>
      <c r="G8">
        <f t="shared" si="0"/>
        <v>2.5999999999999996</v>
      </c>
      <c r="H8">
        <f t="shared" si="0"/>
        <v>1781203000</v>
      </c>
      <c r="I8">
        <f t="shared" si="0"/>
        <v>2473229562.666667</v>
      </c>
      <c r="J8">
        <f t="shared" si="0"/>
        <v>39049427828.222221</v>
      </c>
      <c r="L8">
        <v>7</v>
      </c>
      <c r="M8" t="str">
        <f ca="1">_xlfn.FORMULATEXT('XL-Test '!L62)</f>
        <v>=SUM(L47:L61)</v>
      </c>
    </row>
    <row r="9" spans="1:13">
      <c r="L9">
        <v>8</v>
      </c>
      <c r="M9" t="str">
        <f ca="1">_xlfn.FORMULATEXT('XL-Test '!L63)</f>
        <v>=AVERAGE(L47:L61)</v>
      </c>
    </row>
    <row r="11" spans="1:13">
      <c r="B11" t="s">
        <v>84</v>
      </c>
      <c r="C11">
        <v>939</v>
      </c>
      <c r="D11">
        <v>346</v>
      </c>
      <c r="E11">
        <v>691</v>
      </c>
      <c r="F11">
        <v>688</v>
      </c>
      <c r="G11">
        <v>647</v>
      </c>
      <c r="H11">
        <v>798</v>
      </c>
      <c r="I11">
        <v>213</v>
      </c>
      <c r="J11">
        <v>340</v>
      </c>
    </row>
    <row r="12" spans="1:13">
      <c r="B12" t="s">
        <v>85</v>
      </c>
      <c r="C12" t="s">
        <v>86</v>
      </c>
      <c r="D12" t="s">
        <v>87</v>
      </c>
      <c r="E12" t="s">
        <v>88</v>
      </c>
      <c r="F12" t="s">
        <v>89</v>
      </c>
      <c r="G12" t="s">
        <v>90</v>
      </c>
      <c r="H12" t="s">
        <v>91</v>
      </c>
      <c r="I12" t="s">
        <v>92</v>
      </c>
      <c r="J12" t="s">
        <v>93</v>
      </c>
    </row>
    <row r="13" spans="1:13">
      <c r="B13" t="s">
        <v>94</v>
      </c>
      <c r="C13" t="b">
        <f t="shared" ref="C13:J13" si="1">IF(OR(C2="",C2=0),TRUE,FALSE)</f>
        <v>0</v>
      </c>
      <c r="D13" t="b">
        <f t="shared" si="1"/>
        <v>0</v>
      </c>
      <c r="E13" t="b">
        <f t="shared" si="1"/>
        <v>0</v>
      </c>
      <c r="F13" t="b">
        <f t="shared" si="1"/>
        <v>0</v>
      </c>
      <c r="G13" t="b">
        <f t="shared" si="1"/>
        <v>0</v>
      </c>
      <c r="H13" t="b">
        <f t="shared" si="1"/>
        <v>0</v>
      </c>
      <c r="I13" t="b">
        <f t="shared" si="1"/>
        <v>0</v>
      </c>
      <c r="J13" t="b">
        <f t="shared" si="1"/>
        <v>0</v>
      </c>
    </row>
    <row r="14" spans="1:13">
      <c r="B14" t="s">
        <v>95</v>
      </c>
      <c r="C14">
        <f>CODE(MID(C2,6,1))+CODE(MID(C2,8,1))+CODE(MID(C2,13,1))+CODE(MID(C3,6,1))+CODE(MID(C3,8,1))+CODE(MID(C3,13,1))+CODE(MID(C4,6,1))+CODE(MID(C5,8,1))+CODE(MID(C6,12,1))+CODE(LEFT(C4))+CODE(RIGHT(C3))+CODE(RIGHT(C6))</f>
        <v>1136</v>
      </c>
      <c r="D14">
        <f>CODE(LEFT(D2))+CODE(LEFT(D3))+CODE(LEFT(D4))+CODE(LEFT(D5))+CODE(LEFT(D6))+CODE(MID(D2,6,1))++CODE(MID(D3,6,1))+CODE(MID(D4,6,1))+CODE(MID(D5,6,1))</f>
        <v>562</v>
      </c>
      <c r="E14">
        <f>E8/1000</f>
        <v>4355</v>
      </c>
      <c r="F14">
        <f>INT(F8/100000)</f>
        <v>21545</v>
      </c>
      <c r="G14">
        <f>G8*1000</f>
        <v>2599.9999999999995</v>
      </c>
      <c r="H14">
        <f>INT(H8/100000)</f>
        <v>17812</v>
      </c>
      <c r="I14">
        <f>INT(I8/100000)</f>
        <v>24732</v>
      </c>
      <c r="J14">
        <f>INT(J8/100000)</f>
        <v>390494</v>
      </c>
    </row>
    <row r="15" spans="1:13">
      <c r="B15" t="s">
        <v>96</v>
      </c>
      <c r="C15" t="str">
        <f ca="1">DEC2HEX(IF(C13,C11,C14))&amp;(C17+0)</f>
        <v>4701</v>
      </c>
      <c r="D15" t="str">
        <f t="shared" ref="D15:J15" ca="1" si="2">DEC2HEX(IF(D13,D11,D14))&amp;(D17+0)</f>
        <v>2321</v>
      </c>
      <c r="E15" t="str">
        <f t="shared" ca="1" si="2"/>
        <v>11031</v>
      </c>
      <c r="F15" t="str">
        <f t="shared" ca="1" si="2"/>
        <v>54291</v>
      </c>
      <c r="G15" t="str">
        <f t="shared" ca="1" si="2"/>
        <v>A271</v>
      </c>
      <c r="H15" t="str">
        <f t="shared" ca="1" si="2"/>
        <v>45941</v>
      </c>
      <c r="I15" t="str">
        <f t="shared" ca="1" si="2"/>
        <v>609C1</v>
      </c>
      <c r="J15" t="str">
        <f t="shared" ca="1" si="2"/>
        <v>5F55E1</v>
      </c>
    </row>
    <row r="17" spans="2:10">
      <c r="B17" t="s">
        <v>97</v>
      </c>
      <c r="C17" t="b">
        <f ca="1">AND(ISNUMBER(FIND("=",M2)),ISNUMBER(FIND("(",M2)))</f>
        <v>1</v>
      </c>
      <c r="D17" t="b">
        <f ca="1">AND(ISNUMBER(FIND("=",M3)),ISNUMBER(FIND("(",M3)))</f>
        <v>1</v>
      </c>
      <c r="E17" t="b">
        <f ca="1">AND(ISNUMBER(FIND("=",M4)),ISNUMBER(FIND("(",M4)))</f>
        <v>1</v>
      </c>
      <c r="F17" t="b">
        <f ca="1">AND(ISNUMBER(FIND("=",M5)),ISNUMBER(FIND("=",M5)))</f>
        <v>1</v>
      </c>
      <c r="G17" t="b">
        <f ca="1">AND(ISNUMBER(FIND("=",M6)),ISNUMBER(FIND("(",M6)))</f>
        <v>1</v>
      </c>
      <c r="H17" t="b">
        <f ca="1">AND(ISNUMBER(FIND("=",M7)))</f>
        <v>1</v>
      </c>
      <c r="I17" t="b">
        <f ca="1">AND(ISNUMBER(FIND("=",M8)),ISNUMBER(FIND("(",M8)))</f>
        <v>1</v>
      </c>
      <c r="J17" t="b">
        <f ca="1">AND(ISNUMBER(FIND("=",M9)),ISNUMBER(FIND("(",M9)))</f>
        <v>1</v>
      </c>
    </row>
    <row r="19" spans="2:10">
      <c r="B19" t="s">
        <v>98</v>
      </c>
      <c r="C19" t="b">
        <f ca="1">ISNUMBER(FIND("VLO",M2))</f>
        <v>1</v>
      </c>
      <c r="D19" t="b">
        <f ca="1">ISNUMBER(FIND("HLO",M3))</f>
        <v>1</v>
      </c>
      <c r="E19" t="b">
        <f ca="1">ISNUMBER(FIND("HLO",M4))</f>
        <v>1</v>
      </c>
      <c r="F19" t="b">
        <f ca="1">OR(ISNUMBER(FIND("*",M5)),ISNUMBER(FIND("PROD",M5)))</f>
        <v>1</v>
      </c>
      <c r="G19" t="b">
        <f ca="1">ISNUMBER(FIND("IF",M6))</f>
        <v>1</v>
      </c>
      <c r="H19" t="b">
        <f ca="1">ISNUMBER(FIND("*",M7))</f>
        <v>1</v>
      </c>
      <c r="I19" t="b">
        <f ca="1">ISNUMBER(FIND("SUM",M8))</f>
        <v>1</v>
      </c>
      <c r="J19" t="b">
        <f ca="1">ISNUMBER(FIND("ERA",M9))</f>
        <v>1</v>
      </c>
    </row>
    <row r="21" spans="2:10">
      <c r="B21" t="b">
        <v>1</v>
      </c>
      <c r="C21" t="str">
        <f>LEFT(C12,2)</f>
        <v>14</v>
      </c>
      <c r="D21" t="str">
        <f t="shared" ref="D21:J21" si="3">LEFT(D12,2)</f>
        <v>F3</v>
      </c>
      <c r="E21" t="str">
        <f t="shared" si="3"/>
        <v>CB</v>
      </c>
      <c r="F21" t="str">
        <f t="shared" si="3"/>
        <v>DE</v>
      </c>
      <c r="G21" t="str">
        <f t="shared" si="3"/>
        <v>15</v>
      </c>
      <c r="H21" t="str">
        <f t="shared" si="3"/>
        <v>10</v>
      </c>
      <c r="I21" t="str">
        <f t="shared" si="3"/>
        <v>F9</v>
      </c>
      <c r="J21" t="str">
        <f t="shared" si="3"/>
        <v>10</v>
      </c>
    </row>
    <row r="22" spans="2:10">
      <c r="B22" t="b">
        <v>0</v>
      </c>
      <c r="C22" t="str">
        <f>RIGHT(C12,2)</f>
        <v>45</v>
      </c>
      <c r="D22" t="str">
        <f t="shared" ref="D22:J22" si="4">RIGHT(D12,2)</f>
        <v>6C</v>
      </c>
      <c r="E22" t="str">
        <f t="shared" si="4"/>
        <v>4D</v>
      </c>
      <c r="F22" t="str">
        <f t="shared" si="4"/>
        <v>3A</v>
      </c>
      <c r="G22" t="str">
        <f t="shared" si="4"/>
        <v>09</v>
      </c>
      <c r="H22" t="str">
        <f t="shared" si="4"/>
        <v>48</v>
      </c>
      <c r="I22" t="str">
        <f t="shared" si="4"/>
        <v>7B</v>
      </c>
      <c r="J22" t="str">
        <f t="shared" si="4"/>
        <v>45</v>
      </c>
    </row>
    <row r="24" spans="2:10">
      <c r="B24" t="s">
        <v>99</v>
      </c>
      <c r="C24" t="str">
        <f ca="1">IF(C19,C21,C22)</f>
        <v>14</v>
      </c>
      <c r="D24" t="str">
        <f t="shared" ref="D24:J24" ca="1" si="5">IF(D19,D21,D22)</f>
        <v>F3</v>
      </c>
      <c r="E24" t="str">
        <f t="shared" ca="1" si="5"/>
        <v>CB</v>
      </c>
      <c r="F24" t="str">
        <f t="shared" ca="1" si="5"/>
        <v>DE</v>
      </c>
      <c r="G24" t="str">
        <f t="shared" ca="1" si="5"/>
        <v>15</v>
      </c>
      <c r="H24" t="str">
        <f t="shared" ca="1" si="5"/>
        <v>10</v>
      </c>
      <c r="I24" t="str">
        <f t="shared" ca="1" si="5"/>
        <v>F9</v>
      </c>
      <c r="J24" t="str">
        <f t="shared" ca="1" si="5"/>
        <v>10</v>
      </c>
    </row>
    <row r="26" spans="2:10">
      <c r="B26" t="s">
        <v>99</v>
      </c>
      <c r="C26" t="str">
        <f ca="1">C24&amp;"-"&amp;C15&amp;";"</f>
        <v>14-4701;</v>
      </c>
      <c r="D26" t="str">
        <f t="shared" ref="D26:I26" ca="1" si="6">D24&amp;"-"&amp;D15&amp;";"</f>
        <v>F3-2321;</v>
      </c>
      <c r="E26" t="str">
        <f t="shared" ca="1" si="6"/>
        <v>CB-11031;</v>
      </c>
      <c r="F26" t="str">
        <f t="shared" ca="1" si="6"/>
        <v>DE-54291;</v>
      </c>
      <c r="G26" t="str">
        <f t="shared" ca="1" si="6"/>
        <v>15-A271;</v>
      </c>
      <c r="H26" t="str">
        <f t="shared" ca="1" si="6"/>
        <v>10-45941;</v>
      </c>
      <c r="I26" t="str">
        <f t="shared" ca="1" si="6"/>
        <v>F9-609C1;</v>
      </c>
      <c r="J26" t="str">
        <f ca="1">J24&amp;"-"&amp;J15</f>
        <v>10-5F55E1</v>
      </c>
    </row>
    <row r="28" spans="2:10">
      <c r="C28" t="str">
        <f ca="1">A2&amp;"|"&amp;C26&amp;D26&amp;E26&amp;F26&amp;G26&amp;H26&amp;I26&amp;J26</f>
        <v>EC3|14-4701;F3-2321;CB-11031;DE-54291;15-A271;10-45941;F9-609C1;10-5F55E1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andi setiadi</dc:creator>
  <cp:keywords/>
  <dc:description/>
  <cp:lastModifiedBy>Siti Rukoyah Al Munazalah</cp:lastModifiedBy>
  <cp:revision/>
  <dcterms:created xsi:type="dcterms:W3CDTF">2025-05-15T11:48:17Z</dcterms:created>
  <dcterms:modified xsi:type="dcterms:W3CDTF">2026-06-04T11:04:24Z</dcterms:modified>
  <cp:category/>
  <cp:contentStatus/>
</cp:coreProperties>
</file>