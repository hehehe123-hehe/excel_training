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sql\Excel\"/>
    </mc:Choice>
  </mc:AlternateContent>
  <xr:revisionPtr revIDLastSave="0" documentId="13_ncr:1_{BD5B8070-7838-4944-9B01-4F6A497D26ED}" xr6:coauthVersionLast="47" xr6:coauthVersionMax="47" xr10:uidLastSave="{00000000-0000-0000-0000-000000000000}"/>
  <workbookProtection workbookAlgorithmName="SHA-512" workbookHashValue="V5S0o4+xR23ySc5+H2+/kWuKStY/Ff0zTRNDPlxkHiw+Yh3oDV/iSgtLI/CB0sjKVEthK2P41+IujPlCJQ/Hwg==" workbookSaltValue="KeIQ08kg97IuS6ubnNko0w==" workbookSpinCount="100000" lockStructure="1"/>
  <bookViews>
    <workbookView xWindow="-120" yWindow="-120" windowWidth="20730" windowHeight="11760" xr2:uid="{98CB58E0-7F6F-4109-8C7A-0DF62B43DE16}"/>
  </bookViews>
  <sheets>
    <sheet name="XL-TEST" sheetId="1" r:id="rId1"/>
    <sheet name="DF" sheetId="2" state="veryHidden" r:id="rId2"/>
    <sheet name="About" sheetId="3" r:id="rId3"/>
  </sheets>
  <definedNames>
    <definedName name="Kode_jawaban">DF!$D$39</definedName>
    <definedName name="TABEL_KELAS">'XL-TEST'!$C$17:$E$18</definedName>
    <definedName name="TABEL_TIKET">'XL-TEST'!$B$22:$F$24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6" i="1"/>
  <c r="H7" i="1"/>
  <c r="H8" i="1"/>
  <c r="H9" i="1"/>
  <c r="H10" i="1"/>
  <c r="H11" i="1"/>
  <c r="H12" i="1"/>
  <c r="H6" i="1"/>
  <c r="G7" i="1"/>
  <c r="G8" i="1"/>
  <c r="G9" i="1"/>
  <c r="G10" i="1"/>
  <c r="G11" i="1"/>
  <c r="G12" i="1"/>
  <c r="G6" i="1"/>
  <c r="F7" i="1"/>
  <c r="F8" i="1"/>
  <c r="F9" i="1"/>
  <c r="F10" i="1"/>
  <c r="F11" i="1"/>
  <c r="F12" i="1"/>
  <c r="F6" i="1"/>
  <c r="E7" i="1"/>
  <c r="E8" i="1"/>
  <c r="E9" i="1"/>
  <c r="D5" i="2" s="1"/>
  <c r="E10" i="1"/>
  <c r="E11" i="1"/>
  <c r="E12" i="1"/>
  <c r="E6" i="1"/>
  <c r="D2" i="2" s="1"/>
  <c r="A3" i="2"/>
  <c r="D3" i="2"/>
  <c r="D4" i="2"/>
  <c r="D6" i="2"/>
  <c r="D7" i="2"/>
  <c r="D8" i="2"/>
  <c r="E14" i="2"/>
  <c r="F14" i="2"/>
  <c r="G14" i="2"/>
  <c r="H14" i="2"/>
  <c r="E15" i="2"/>
  <c r="F15" i="2"/>
  <c r="G15" i="2"/>
  <c r="H15" i="2"/>
  <c r="D15" i="2"/>
  <c r="D14" i="2"/>
  <c r="E27" i="2"/>
  <c r="F27" i="2"/>
  <c r="F28" i="2"/>
  <c r="F29" i="2"/>
  <c r="F30" i="2"/>
  <c r="D29" i="2"/>
  <c r="S2" i="2"/>
  <c r="R3" i="2"/>
  <c r="R2" i="2"/>
  <c r="G27" i="2"/>
  <c r="G28" i="2"/>
  <c r="G29" i="2"/>
  <c r="G30" i="2"/>
  <c r="D30" i="2"/>
  <c r="T2" i="2"/>
  <c r="R4" i="2"/>
  <c r="H27" i="2"/>
  <c r="H28" i="2"/>
  <c r="H29" i="2"/>
  <c r="H30" i="2"/>
  <c r="D27" i="2"/>
  <c r="U2" i="2"/>
  <c r="R5" i="2"/>
  <c r="E28" i="2"/>
  <c r="E29" i="2"/>
  <c r="E30" i="2"/>
  <c r="D28" i="2"/>
  <c r="V2" i="2"/>
  <c r="R6" i="2"/>
  <c r="H23" i="2" l="1"/>
  <c r="H24" i="2" s="1"/>
  <c r="G23" i="2"/>
  <c r="D33" i="2"/>
  <c r="D34" i="2" s="1"/>
  <c r="H33" i="2"/>
  <c r="H34" i="2" s="1"/>
  <c r="F23" i="2"/>
  <c r="G33" i="2"/>
  <c r="G34" i="2" s="1"/>
  <c r="E23" i="2"/>
  <c r="F33" i="2"/>
  <c r="F34" i="2" s="1"/>
  <c r="E33" i="2"/>
  <c r="E34" i="2" s="1"/>
  <c r="E3" i="2"/>
  <c r="E4" i="2"/>
  <c r="E5" i="2"/>
  <c r="E6" i="2"/>
  <c r="E7" i="2"/>
  <c r="E8" i="2"/>
  <c r="E2" i="2"/>
  <c r="D10" i="2"/>
  <c r="E19" i="2"/>
  <c r="E21" i="2" s="1"/>
  <c r="F19" i="2"/>
  <c r="F21" i="2" s="1"/>
  <c r="F24" i="2" s="1"/>
  <c r="G19" i="2"/>
  <c r="G21" i="2" s="1"/>
  <c r="G24" i="2" s="1"/>
  <c r="H19" i="2"/>
  <c r="D19" i="2"/>
  <c r="D21" i="2" s="1"/>
  <c r="D23" i="2"/>
  <c r="D24" i="2" s="1"/>
  <c r="E17" i="2"/>
  <c r="E36" i="2" s="1"/>
  <c r="F17" i="2"/>
  <c r="G17" i="2"/>
  <c r="G36" i="2" s="1"/>
  <c r="H17" i="2"/>
  <c r="D17" i="2"/>
  <c r="D36" i="2" s="1"/>
  <c r="E24" i="2" l="1"/>
  <c r="H36" i="2"/>
  <c r="F36" i="2"/>
  <c r="F3" i="2"/>
  <c r="F4" i="2"/>
  <c r="F5" i="2"/>
  <c r="F6" i="2"/>
  <c r="G7" i="2"/>
  <c r="H7" i="2"/>
  <c r="F7" i="2"/>
  <c r="G8" i="2"/>
  <c r="H8" i="2"/>
  <c r="F8" i="2"/>
  <c r="F2" i="2"/>
  <c r="E11" i="2"/>
  <c r="E38" i="2" s="1"/>
  <c r="D11" i="2"/>
  <c r="D38" i="2" s="1"/>
  <c r="E10" i="2"/>
  <c r="F10" i="2" l="1"/>
  <c r="F11" i="2" s="1"/>
  <c r="F38" i="2" s="1"/>
  <c r="G3" i="2"/>
  <c r="H3" i="2"/>
  <c r="G4" i="2"/>
  <c r="H4" i="2"/>
  <c r="G5" i="2"/>
  <c r="H5" i="2"/>
  <c r="G6" i="2"/>
  <c r="H6" i="2"/>
  <c r="G2" i="2"/>
  <c r="H2" i="2"/>
  <c r="G10" i="2" l="1"/>
  <c r="G11" i="2"/>
  <c r="G38" i="2" s="1"/>
  <c r="H10" i="2"/>
  <c r="H11" i="2" s="1"/>
  <c r="H38" i="2" s="1"/>
  <c r="D39" i="2" l="1"/>
  <c r="F2" i="1" s="1"/>
</calcChain>
</file>

<file path=xl/sharedStrings.xml><?xml version="1.0" encoding="utf-8"?>
<sst xmlns="http://schemas.openxmlformats.org/spreadsheetml/2006/main" count="82" uniqueCount="75">
  <si>
    <t>Tgl. Berangkat</t>
  </si>
  <si>
    <t>Nama Penumpang</t>
  </si>
  <si>
    <t>Kode Tiket</t>
  </si>
  <si>
    <t>Kelas</t>
  </si>
  <si>
    <t>Jenis Tiket</t>
  </si>
  <si>
    <t>EKOD</t>
  </si>
  <si>
    <t>EXCA</t>
  </si>
  <si>
    <t>BISA</t>
  </si>
  <si>
    <t>EXCD</t>
  </si>
  <si>
    <t>EKOL</t>
  </si>
  <si>
    <t>BISD</t>
  </si>
  <si>
    <t>EXCL</t>
  </si>
  <si>
    <t>Kode Kelas</t>
  </si>
  <si>
    <t>EKO</t>
  </si>
  <si>
    <t>BIS</t>
  </si>
  <si>
    <t>EXC</t>
  </si>
  <si>
    <t>Instruksi:</t>
  </si>
  <si>
    <t>Ekonomi</t>
  </si>
  <si>
    <t>Bisnis</t>
  </si>
  <si>
    <t>Executive</t>
  </si>
  <si>
    <t>1. Kelas mengacu pada 3 huruf awal di Kode Tiket, dan mengambil data dari tabel KELAS</t>
  </si>
  <si>
    <t>3. Harga mengacu pada jenis tiket dan kelas yang dipilih</t>
  </si>
  <si>
    <t>4. Diskon 10% dari Harga Tiket untuk keberangkatan sebelum tanggal 1 September 2023</t>
  </si>
  <si>
    <t>A</t>
  </si>
  <si>
    <t>Anak</t>
  </si>
  <si>
    <t>5. Harga Bersih adalah Harga Tiket dikurangi Diskon</t>
  </si>
  <si>
    <t>D</t>
  </si>
  <si>
    <t>Dewasa</t>
  </si>
  <si>
    <t>L</t>
  </si>
  <si>
    <t>Lansia</t>
  </si>
  <si>
    <t>2. Jenis Tiket mengacu pada huruf ke-4 di kode tiket, dan mengambil data dari tabel JENIS TIKET</t>
  </si>
  <si>
    <t xml:space="preserve">Kode Soal </t>
  </si>
  <si>
    <t>SBEE005</t>
  </si>
  <si>
    <t>Kode Jawaban</t>
  </si>
  <si>
    <t>Anisa Yunia</t>
  </si>
  <si>
    <t>Budi Susanto</t>
  </si>
  <si>
    <t>Rizki Soleh</t>
  </si>
  <si>
    <t>Abdul Hadi</t>
  </si>
  <si>
    <t>Dewi Sandra</t>
  </si>
  <si>
    <t>Nina Adriana</t>
  </si>
  <si>
    <t>Ali Akbar</t>
  </si>
  <si>
    <t>Table Kelas</t>
  </si>
  <si>
    <t>Table Jenis Tiket</t>
  </si>
  <si>
    <t>https://belajarexcel.id/xl-test/</t>
  </si>
  <si>
    <r>
      <t xml:space="preserve">Cek hasil pengerjakan dengan mengirimkan </t>
    </r>
    <r>
      <rPr>
        <b/>
        <i/>
        <sz val="11"/>
        <color rgb="FF0070C0"/>
        <rFont val="Calibri"/>
        <family val="2"/>
        <scheme val="minor"/>
      </rPr>
      <t>Kode Soal</t>
    </r>
    <r>
      <rPr>
        <i/>
        <sz val="11"/>
        <color rgb="FF0070C0"/>
        <rFont val="Calibri"/>
        <family val="2"/>
        <scheme val="minor"/>
      </rPr>
      <t xml:space="preserve"> dan </t>
    </r>
    <r>
      <rPr>
        <b/>
        <i/>
        <sz val="11"/>
        <color rgb="FF0070C0"/>
        <rFont val="Calibri"/>
        <family val="2"/>
        <scheme val="minor"/>
      </rPr>
      <t>Kode Jawaban</t>
    </r>
    <r>
      <rPr>
        <i/>
        <sz val="11"/>
        <color rgb="FF0070C0"/>
        <rFont val="Calibri"/>
        <family val="2"/>
        <scheme val="minor"/>
      </rPr>
      <t xml:space="preserve"> diatas ke alamat :  </t>
    </r>
    <r>
      <rPr>
        <b/>
        <i/>
        <u/>
        <sz val="11"/>
        <color rgb="FF0070C0"/>
        <rFont val="Calibri"/>
        <family val="2"/>
        <scheme val="minor"/>
      </rPr>
      <t>https://belajarexcel.id/xl-test/jawaban</t>
    </r>
    <r>
      <rPr>
        <i/>
        <sz val="11"/>
        <color rgb="FF0070C0"/>
        <rFont val="Calibri"/>
        <family val="2"/>
        <scheme val="minor"/>
      </rPr>
      <t xml:space="preserve">  untuk mengecek hasil benar/salah</t>
    </r>
  </si>
  <si>
    <r>
      <t xml:space="preserve">Easy Level  </t>
    </r>
    <r>
      <rPr>
        <sz val="9"/>
        <color rgb="FFFFC000"/>
        <rFont val="Calibri"/>
        <family val="2"/>
        <scheme val="minor"/>
      </rPr>
      <t>(⭐)</t>
    </r>
  </si>
  <si>
    <t>Def</t>
  </si>
  <si>
    <t>EE1</t>
  </si>
  <si>
    <r>
      <t xml:space="preserve">Kelas </t>
    </r>
    <r>
      <rPr>
        <b/>
        <vertAlign val="superscript"/>
        <sz val="11"/>
        <color theme="5" tint="-0.249977111117893"/>
        <rFont val="Calibri"/>
        <family val="2"/>
        <scheme val="minor"/>
      </rPr>
      <t>1</t>
    </r>
  </si>
  <si>
    <r>
      <t xml:space="preserve">Jenis Tiket </t>
    </r>
    <r>
      <rPr>
        <b/>
        <vertAlign val="superscript"/>
        <sz val="11"/>
        <color theme="5" tint="-0.249977111117893"/>
        <rFont val="Calibri"/>
        <family val="2"/>
        <scheme val="minor"/>
      </rPr>
      <t>2</t>
    </r>
  </si>
  <si>
    <r>
      <t xml:space="preserve">Harga Tiket </t>
    </r>
    <r>
      <rPr>
        <b/>
        <vertAlign val="superscript"/>
        <sz val="11"/>
        <color theme="5" tint="-0.249977111117893"/>
        <rFont val="Calibri"/>
        <family val="2"/>
        <scheme val="minor"/>
      </rPr>
      <t>3</t>
    </r>
  </si>
  <si>
    <r>
      <t xml:space="preserve">Diskon </t>
    </r>
    <r>
      <rPr>
        <b/>
        <vertAlign val="superscript"/>
        <sz val="11"/>
        <color theme="5" tint="-0.249977111117893"/>
        <rFont val="Calibri"/>
        <family val="2"/>
        <scheme val="minor"/>
      </rPr>
      <t>4</t>
    </r>
  </si>
  <si>
    <r>
      <t xml:space="preserve">Harga Bersih </t>
    </r>
    <r>
      <rPr>
        <b/>
        <vertAlign val="superscript"/>
        <sz val="11"/>
        <color theme="5" tint="-0.249977111117893"/>
        <rFont val="Calibri"/>
        <family val="2"/>
        <scheme val="minor"/>
      </rPr>
      <t>5</t>
    </r>
  </si>
  <si>
    <t>Value</t>
  </si>
  <si>
    <t>Random</t>
  </si>
  <si>
    <t>Cek Manual</t>
  </si>
  <si>
    <t>Cek Formula</t>
  </si>
  <si>
    <t>Cek Jml Fungsi</t>
  </si>
  <si>
    <t>**</t>
  </si>
  <si>
    <t>Cek Man Bol</t>
  </si>
  <si>
    <t>XX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</si>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</sst>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mm/dd/yyyy"/>
    <numFmt numFmtId="166" formatCode="_-[$Rp-3809]* #,##0.00_-;\-[$Rp-3809]* #,##0.00_-;_-[$Rp-3809]* &quot;-&quot;??_-;_-@_-"/>
  </numFmts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u/>
      <sz val="11"/>
      <color rgb="FF0070C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C000"/>
      <name val="Calibri"/>
      <family val="2"/>
      <scheme val="minor"/>
    </font>
    <font>
      <b/>
      <vertAlign val="superscript"/>
      <sz val="11"/>
      <color theme="5" tint="-0.249977111117893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u/>
      <sz val="11"/>
      <color rgb="FF00B050"/>
      <name val="Calibri"/>
      <family val="2"/>
      <scheme val="minor"/>
    </font>
    <font>
      <sz val="10"/>
      <color theme="6" tint="-0.249977111117893"/>
      <name val="Calibri"/>
      <family val="2"/>
      <scheme val="minor"/>
    </font>
    <font>
      <sz val="9"/>
      <color theme="6" tint="-0.249977111117893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6" tint="-0.2499465926084170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5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left" indent="1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64" fontId="0" fillId="6" borderId="1" xfId="1" applyNumberFormat="1" applyFont="1" applyFill="1" applyBorder="1"/>
    <xf numFmtId="0" fontId="7" fillId="0" borderId="0" xfId="0" applyFont="1"/>
    <xf numFmtId="0" fontId="0" fillId="4" borderId="2" xfId="0" applyFill="1" applyBorder="1" applyAlignment="1">
      <alignment horizontal="left" indent="1"/>
    </xf>
    <xf numFmtId="166" fontId="0" fillId="4" borderId="2" xfId="1" applyNumberFormat="1" applyFont="1" applyFill="1" applyBorder="1"/>
    <xf numFmtId="166" fontId="4" fillId="4" borderId="2" xfId="1" applyNumberFormat="1" applyFont="1" applyFill="1" applyBorder="1"/>
    <xf numFmtId="0" fontId="10" fillId="0" borderId="0" xfId="2" applyFont="1"/>
    <xf numFmtId="0" fontId="9" fillId="0" borderId="0" xfId="0" applyFont="1" applyAlignment="1">
      <alignment vertical="top"/>
    </xf>
    <xf numFmtId="0" fontId="11" fillId="0" borderId="0" xfId="0" applyFont="1"/>
    <xf numFmtId="0" fontId="14" fillId="7" borderId="0" xfId="0" applyFont="1" applyFill="1"/>
    <xf numFmtId="0" fontId="0" fillId="9" borderId="0" xfId="0" applyFill="1"/>
    <xf numFmtId="0" fontId="1" fillId="2" borderId="2" xfId="0" applyFont="1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left" indent="1"/>
    </xf>
    <xf numFmtId="0" fontId="17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vertical="center"/>
    </xf>
    <xf numFmtId="0" fontId="18" fillId="9" borderId="0" xfId="0" applyFont="1" applyFill="1"/>
    <xf numFmtId="0" fontId="6" fillId="0" borderId="0" xfId="0" applyFont="1"/>
    <xf numFmtId="0" fontId="5" fillId="0" borderId="0" xfId="0" applyFont="1"/>
    <xf numFmtId="0" fontId="19" fillId="0" borderId="0" xfId="0" applyFont="1"/>
    <xf numFmtId="0" fontId="1" fillId="0" borderId="2" xfId="3" applyBorder="1"/>
    <xf numFmtId="0" fontId="1" fillId="0" borderId="0" xfId="3"/>
    <xf numFmtId="0" fontId="21" fillId="0" borderId="2" xfId="3" applyFont="1" applyBorder="1" applyAlignment="1">
      <alignment horizontal="left"/>
    </xf>
    <xf numFmtId="0" fontId="22" fillId="0" borderId="2" xfId="3" applyFont="1" applyBorder="1" applyAlignment="1">
      <alignment horizontal="left"/>
    </xf>
    <xf numFmtId="0" fontId="22" fillId="0" borderId="2" xfId="3" applyFont="1" applyBorder="1"/>
    <xf numFmtId="0" fontId="10" fillId="0" borderId="2" xfId="4" applyBorder="1"/>
    <xf numFmtId="0" fontId="20" fillId="0" borderId="2" xfId="3" applyFont="1" applyBorder="1" applyAlignment="1">
      <alignment horizontal="left"/>
    </xf>
    <xf numFmtId="0" fontId="21" fillId="0" borderId="2" xfId="3" applyFont="1" applyBorder="1" applyAlignment="1">
      <alignment horizontal="left"/>
    </xf>
  </cellXfs>
  <cellStyles count="5">
    <cellStyle name="Comma" xfId="1" builtinId="3"/>
    <cellStyle name="Hyperlink" xfId="2" builtinId="8"/>
    <cellStyle name="Hyperlink 2" xfId="4" xr:uid="{22E8EDB9-A394-4E3C-8151-F52CA5BC159C}"/>
    <cellStyle name="Normal" xfId="0" builtinId="0"/>
    <cellStyle name="Normal 2" xfId="3" xr:uid="{A1C5E9AB-DF55-4080-BBAF-935630139D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elajarexcel.id/xl-test/jawaban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30482</xdr:colOff>
      <xdr:row>14</xdr:row>
      <xdr:rowOff>74214</xdr:rowOff>
    </xdr:from>
    <xdr:to>
      <xdr:col>8</xdr:col>
      <xdr:colOff>351184</xdr:colOff>
      <xdr:row>15</xdr:row>
      <xdr:rowOff>150414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FEC70E-248C-4DA5-91D3-C7DA1EC34C6C}"/>
            </a:ext>
          </a:extLst>
        </xdr:cNvPr>
        <xdr:cNvSpPr/>
      </xdr:nvSpPr>
      <xdr:spPr>
        <a:xfrm>
          <a:off x="6921612" y="2896927"/>
          <a:ext cx="1387502" cy="26173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6</xdr:col>
      <xdr:colOff>1237753</xdr:colOff>
      <xdr:row>18</xdr:row>
      <xdr:rowOff>99392</xdr:rowOff>
    </xdr:from>
    <xdr:to>
      <xdr:col>8</xdr:col>
      <xdr:colOff>365026</xdr:colOff>
      <xdr:row>21</xdr:row>
      <xdr:rowOff>81502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035DDA-4633-4B11-8CD6-65D927B4C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6918" y="3664227"/>
          <a:ext cx="1506039" cy="5387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502920</xdr:colOff>
      <xdr:row>1</xdr:row>
      <xdr:rowOff>53340</xdr:rowOff>
    </xdr:from>
    <xdr:to>
      <xdr:col>4</xdr:col>
      <xdr:colOff>121919</xdr:colOff>
      <xdr:row>4</xdr:row>
      <xdr:rowOff>91542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24DF4E-0162-441A-B264-996FCE18F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236220"/>
          <a:ext cx="1562099" cy="586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elajarexcel.id/xl-test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84F1-0ADB-4429-A998-D97DEABE5344}">
  <sheetPr codeName="Sheet1"/>
  <dimension ref="B1:O36"/>
  <sheetViews>
    <sheetView tabSelected="1" zoomScaleNormal="100" workbookViewId="0">
      <selection activeCell="F2" sqref="F2"/>
    </sheetView>
  </sheetViews>
  <sheetFormatPr defaultRowHeight="15" x14ac:dyDescent="0.25"/>
  <cols>
    <col min="2" max="2" width="14.5703125" customWidth="1"/>
    <col min="3" max="3" width="16.85546875" customWidth="1"/>
    <col min="4" max="4" width="12.7109375" customWidth="1"/>
    <col min="5" max="5" width="20.28515625" customWidth="1"/>
    <col min="6" max="6" width="13.85546875" customWidth="1"/>
    <col min="7" max="7" width="19.140625" customWidth="1"/>
    <col min="8" max="8" width="15.5703125" customWidth="1"/>
    <col min="9" max="9" width="17.5703125" customWidth="1"/>
  </cols>
  <sheetData>
    <row r="1" spans="2:11" x14ac:dyDescent="0.25">
      <c r="B1" s="17" t="s">
        <v>45</v>
      </c>
    </row>
    <row r="2" spans="2:11" ht="21" x14ac:dyDescent="0.35">
      <c r="B2" s="23" t="s">
        <v>31</v>
      </c>
      <c r="C2" s="24" t="s">
        <v>32</v>
      </c>
      <c r="E2" s="22" t="s">
        <v>33</v>
      </c>
      <c r="F2" s="24" t="str">
        <f ca="1">Kode_jawaban</f>
        <v>EE1|E91-2C41;4E1-2D51;1D1-A4CB81;201-7EF41;1F1-9CDC41</v>
      </c>
      <c r="G2" s="18"/>
      <c r="H2" s="18"/>
      <c r="I2" s="18"/>
      <c r="J2" s="18"/>
      <c r="K2" s="18"/>
    </row>
    <row r="5" spans="2:11" s="1" customFormat="1" ht="33" customHeight="1" x14ac:dyDescent="0.25">
      <c r="B5" s="2" t="s">
        <v>0</v>
      </c>
      <c r="C5" s="2" t="s">
        <v>1</v>
      </c>
      <c r="D5" s="2" t="s">
        <v>2</v>
      </c>
      <c r="E5" s="19" t="s">
        <v>48</v>
      </c>
      <c r="F5" s="19" t="s">
        <v>49</v>
      </c>
      <c r="G5" s="19" t="s">
        <v>50</v>
      </c>
      <c r="H5" s="19" t="s">
        <v>51</v>
      </c>
      <c r="I5" s="19" t="s">
        <v>52</v>
      </c>
    </row>
    <row r="6" spans="2:11" ht="19.899999999999999" customHeight="1" x14ac:dyDescent="0.25">
      <c r="B6" s="3">
        <v>45155</v>
      </c>
      <c r="C6" s="4" t="s">
        <v>34</v>
      </c>
      <c r="D6" s="4" t="s">
        <v>5</v>
      </c>
      <c r="E6" s="11" t="str">
        <f>HLOOKUP(LEFT(D6,3),TABEL_KELAS,2,0)</f>
        <v>Ekonomi</v>
      </c>
      <c r="F6" s="11" t="str">
        <f>VLOOKUP(MID(D6,4,1),TABEL_TIKET,2,0)</f>
        <v>Dewasa</v>
      </c>
      <c r="G6" s="12">
        <f>VLOOKUP(MID(D6,4,1),$B$22:$F$24,MATCH(E6,$B$21:$F$21,0),0)</f>
        <v>75000</v>
      </c>
      <c r="H6" s="12">
        <f>IF(B6&lt;DATE(2023,9,1),G6*10%,0)</f>
        <v>7500</v>
      </c>
      <c r="I6" s="13">
        <f>G6-H6</f>
        <v>67500</v>
      </c>
    </row>
    <row r="7" spans="2:11" ht="19.899999999999999" customHeight="1" x14ac:dyDescent="0.25">
      <c r="B7" s="3">
        <v>45170</v>
      </c>
      <c r="C7" s="4" t="s">
        <v>35</v>
      </c>
      <c r="D7" s="4" t="s">
        <v>6</v>
      </c>
      <c r="E7" s="11" t="str">
        <f>HLOOKUP(LEFT(D7,3),TABEL_KELAS,2,0)</f>
        <v>Executive</v>
      </c>
      <c r="F7" s="11" t="str">
        <f>VLOOKUP(MID(D7,4,1),TABEL_TIKET,2,0)</f>
        <v>Anak</v>
      </c>
      <c r="G7" s="12">
        <f t="shared" ref="G7:G12" si="0">VLOOKUP(MID(D7,4,1),$B$22:$F$24,MATCH(E7,$B$21:$F$21,0),0)</f>
        <v>100000</v>
      </c>
      <c r="H7" s="12">
        <f t="shared" ref="H7:H12" si="1">IF(B7&lt;DATE(2023,9,1),G7*10%,0)</f>
        <v>0</v>
      </c>
      <c r="I7" s="13">
        <f t="shared" ref="I7:I12" si="2">G7-H7</f>
        <v>100000</v>
      </c>
    </row>
    <row r="8" spans="2:11" ht="19.899999999999999" customHeight="1" x14ac:dyDescent="0.25">
      <c r="B8" s="3">
        <v>45169</v>
      </c>
      <c r="C8" s="4" t="s">
        <v>36</v>
      </c>
      <c r="D8" s="4" t="s">
        <v>7</v>
      </c>
      <c r="E8" s="11" t="str">
        <f>HLOOKUP(LEFT(D8,3),TABEL_KELAS,2,0)</f>
        <v>Bisnis</v>
      </c>
      <c r="F8" s="11" t="str">
        <f>VLOOKUP(MID(D8,4,1),TABEL_TIKET,2,0)</f>
        <v>Anak</v>
      </c>
      <c r="G8" s="12">
        <f t="shared" si="0"/>
        <v>70000</v>
      </c>
      <c r="H8" s="12">
        <f t="shared" si="1"/>
        <v>7000</v>
      </c>
      <c r="I8" s="13">
        <f t="shared" si="2"/>
        <v>63000</v>
      </c>
    </row>
    <row r="9" spans="2:11" ht="19.899999999999999" customHeight="1" x14ac:dyDescent="0.25">
      <c r="B9" s="3">
        <v>45174</v>
      </c>
      <c r="C9" s="4" t="s">
        <v>37</v>
      </c>
      <c r="D9" s="4" t="s">
        <v>8</v>
      </c>
      <c r="E9" s="11" t="str">
        <f>HLOOKUP(LEFT(D9,3),TABEL_KELAS,2,0)</f>
        <v>Executive</v>
      </c>
      <c r="F9" s="11" t="str">
        <f>VLOOKUP(MID(D9,4,1),TABEL_TIKET,2,0)</f>
        <v>Dewasa</v>
      </c>
      <c r="G9" s="12">
        <f t="shared" si="0"/>
        <v>150000</v>
      </c>
      <c r="H9" s="12">
        <f t="shared" si="1"/>
        <v>0</v>
      </c>
      <c r="I9" s="13">
        <f t="shared" si="2"/>
        <v>150000</v>
      </c>
    </row>
    <row r="10" spans="2:11" ht="19.899999999999999" customHeight="1" x14ac:dyDescent="0.25">
      <c r="B10" s="3">
        <v>45163</v>
      </c>
      <c r="C10" s="4" t="s">
        <v>38</v>
      </c>
      <c r="D10" s="4" t="s">
        <v>9</v>
      </c>
      <c r="E10" s="11" t="str">
        <f>HLOOKUP(LEFT(D10,3),TABEL_KELAS,2,0)</f>
        <v>Ekonomi</v>
      </c>
      <c r="F10" s="11" t="str">
        <f>VLOOKUP(MID(D10,4,1),TABEL_TIKET,2,0)</f>
        <v>Lansia</v>
      </c>
      <c r="G10" s="12">
        <f t="shared" si="0"/>
        <v>60000</v>
      </c>
      <c r="H10" s="12">
        <f t="shared" si="1"/>
        <v>6000</v>
      </c>
      <c r="I10" s="13">
        <f t="shared" si="2"/>
        <v>54000</v>
      </c>
    </row>
    <row r="11" spans="2:11" ht="19.899999999999999" customHeight="1" x14ac:dyDescent="0.25">
      <c r="B11" s="3">
        <v>45179</v>
      </c>
      <c r="C11" s="4" t="s">
        <v>39</v>
      </c>
      <c r="D11" s="4" t="s">
        <v>10</v>
      </c>
      <c r="E11" s="11" t="str">
        <f>HLOOKUP(LEFT(D11,3),TABEL_KELAS,2,0)</f>
        <v>Bisnis</v>
      </c>
      <c r="F11" s="11" t="str">
        <f>VLOOKUP(MID(D11,4,1),TABEL_TIKET,2,0)</f>
        <v>Dewasa</v>
      </c>
      <c r="G11" s="12">
        <f t="shared" si="0"/>
        <v>100000</v>
      </c>
      <c r="H11" s="12">
        <f t="shared" si="1"/>
        <v>0</v>
      </c>
      <c r="I11" s="13">
        <f t="shared" si="2"/>
        <v>100000</v>
      </c>
    </row>
    <row r="12" spans="2:11" ht="19.899999999999999" customHeight="1" thickBot="1" x14ac:dyDescent="0.3">
      <c r="B12" s="20">
        <v>45169</v>
      </c>
      <c r="C12" s="21" t="s">
        <v>40</v>
      </c>
      <c r="D12" s="21" t="s">
        <v>11</v>
      </c>
      <c r="E12" s="11" t="str">
        <f>HLOOKUP(LEFT(D12,3),TABEL_KELAS,2,0)</f>
        <v>Executive</v>
      </c>
      <c r="F12" s="11" t="str">
        <f>VLOOKUP(MID(D12,4,1),TABEL_TIKET,2,0)</f>
        <v>Lansia</v>
      </c>
      <c r="G12" s="12">
        <f t="shared" si="0"/>
        <v>120000</v>
      </c>
      <c r="H12" s="12">
        <f t="shared" si="1"/>
        <v>12000</v>
      </c>
      <c r="I12" s="13">
        <f t="shared" si="2"/>
        <v>108000</v>
      </c>
    </row>
    <row r="13" spans="2:11" ht="15.75" thickTop="1" x14ac:dyDescent="0.25"/>
    <row r="14" spans="2:11" x14ac:dyDescent="0.25">
      <c r="B14" s="16" t="s">
        <v>44</v>
      </c>
    </row>
    <row r="16" spans="2:11" x14ac:dyDescent="0.25">
      <c r="B16" s="10" t="s">
        <v>41</v>
      </c>
    </row>
    <row r="17" spans="2:8" x14ac:dyDescent="0.25">
      <c r="B17" s="5" t="s">
        <v>12</v>
      </c>
      <c r="C17" s="8" t="s">
        <v>13</v>
      </c>
      <c r="D17" s="8" t="s">
        <v>14</v>
      </c>
      <c r="E17" s="8" t="s">
        <v>15</v>
      </c>
    </row>
    <row r="18" spans="2:8" x14ac:dyDescent="0.25">
      <c r="B18" s="5" t="s">
        <v>3</v>
      </c>
      <c r="C18" s="8" t="s">
        <v>17</v>
      </c>
      <c r="D18" s="8" t="s">
        <v>18</v>
      </c>
      <c r="E18" s="8" t="s">
        <v>19</v>
      </c>
    </row>
    <row r="20" spans="2:8" x14ac:dyDescent="0.25">
      <c r="B20" s="10" t="s">
        <v>42</v>
      </c>
    </row>
    <row r="21" spans="2:8" x14ac:dyDescent="0.25">
      <c r="B21" s="6" t="s">
        <v>2</v>
      </c>
      <c r="C21" s="6" t="s">
        <v>4</v>
      </c>
      <c r="D21" s="6" t="s">
        <v>17</v>
      </c>
      <c r="E21" s="6" t="s">
        <v>18</v>
      </c>
      <c r="F21" s="6" t="s">
        <v>19</v>
      </c>
    </row>
    <row r="22" spans="2:8" x14ac:dyDescent="0.25">
      <c r="B22" s="7" t="s">
        <v>23</v>
      </c>
      <c r="C22" s="8" t="s">
        <v>24</v>
      </c>
      <c r="D22" s="9">
        <v>50000</v>
      </c>
      <c r="E22" s="9">
        <v>70000</v>
      </c>
      <c r="F22" s="9">
        <v>100000</v>
      </c>
      <c r="H22" s="14" t="s">
        <v>43</v>
      </c>
    </row>
    <row r="23" spans="2:8" x14ac:dyDescent="0.25">
      <c r="B23" s="7" t="s">
        <v>26</v>
      </c>
      <c r="C23" s="8" t="s">
        <v>27</v>
      </c>
      <c r="D23" s="9">
        <v>75000</v>
      </c>
      <c r="E23" s="9">
        <v>100000</v>
      </c>
      <c r="F23" s="9">
        <v>150000</v>
      </c>
    </row>
    <row r="24" spans="2:8" x14ac:dyDescent="0.25">
      <c r="B24" s="7" t="s">
        <v>28</v>
      </c>
      <c r="C24" s="8" t="s">
        <v>29</v>
      </c>
      <c r="D24" s="9">
        <v>60000</v>
      </c>
      <c r="E24" s="9">
        <v>85000</v>
      </c>
      <c r="F24" s="9">
        <v>120000</v>
      </c>
    </row>
    <row r="26" spans="2:8" x14ac:dyDescent="0.25">
      <c r="B26" s="27" t="s">
        <v>16</v>
      </c>
      <c r="C26" s="26"/>
      <c r="D26" s="26"/>
      <c r="E26" s="26"/>
      <c r="F26" s="26"/>
      <c r="G26" s="26"/>
    </row>
    <row r="27" spans="2:8" x14ac:dyDescent="0.25">
      <c r="B27" s="25" t="s">
        <v>20</v>
      </c>
      <c r="C27" s="25"/>
      <c r="D27" s="25"/>
      <c r="E27" s="25"/>
      <c r="F27" s="25"/>
      <c r="G27" s="25"/>
    </row>
    <row r="28" spans="2:8" x14ac:dyDescent="0.25">
      <c r="B28" s="25" t="s">
        <v>30</v>
      </c>
      <c r="C28" s="25"/>
      <c r="D28" s="25"/>
      <c r="E28" s="25"/>
      <c r="F28" s="25"/>
      <c r="G28" s="25"/>
    </row>
    <row r="29" spans="2:8" x14ac:dyDescent="0.25">
      <c r="B29" s="25" t="s">
        <v>21</v>
      </c>
      <c r="C29" s="25"/>
      <c r="D29" s="25"/>
      <c r="E29" s="25"/>
      <c r="F29" s="25"/>
      <c r="G29" s="25"/>
    </row>
    <row r="30" spans="2:8" x14ac:dyDescent="0.25">
      <c r="B30" s="25" t="s">
        <v>22</v>
      </c>
      <c r="C30" s="25"/>
      <c r="D30" s="25"/>
      <c r="E30" s="25"/>
      <c r="F30" s="25"/>
      <c r="G30" s="25"/>
    </row>
    <row r="31" spans="2:8" x14ac:dyDescent="0.25">
      <c r="B31" s="25" t="s">
        <v>25</v>
      </c>
      <c r="C31" s="25"/>
      <c r="D31" s="25"/>
      <c r="E31" s="25"/>
      <c r="F31" s="25"/>
      <c r="G31" s="25"/>
    </row>
    <row r="35" spans="14:15" ht="14.45" customHeight="1" x14ac:dyDescent="0.25">
      <c r="N35" s="15"/>
      <c r="O35" s="15"/>
    </row>
    <row r="36" spans="14:15" ht="14.45" customHeight="1" x14ac:dyDescent="0.25">
      <c r="N36" s="15"/>
      <c r="O36" s="15"/>
    </row>
  </sheetData>
  <hyperlinks>
    <hyperlink ref="H22" r:id="rId1" xr:uid="{EB466D8E-F15E-4288-9893-083BE94D511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056B-893A-4A5F-907B-C40CB315A8BA}">
  <sheetPr codeName="Sheet2"/>
  <dimension ref="A1:V39"/>
  <sheetViews>
    <sheetView topLeftCell="A4" workbookViewId="0">
      <selection activeCell="L21" sqref="L21:L22"/>
    </sheetView>
  </sheetViews>
  <sheetFormatPr defaultRowHeight="15" x14ac:dyDescent="0.25"/>
  <cols>
    <col min="3" max="3" width="14.28515625" customWidth="1"/>
    <col min="4" max="4" width="10.140625" customWidth="1"/>
    <col min="7" max="7" width="17.42578125" customWidth="1"/>
    <col min="18" max="18" width="59.7109375" customWidth="1"/>
    <col min="19" max="19" width="11.7109375" customWidth="1"/>
    <col min="20" max="20" width="10.42578125" customWidth="1"/>
    <col min="21" max="21" width="10.5703125" customWidth="1"/>
    <col min="22" max="22" width="11.85546875" customWidth="1"/>
  </cols>
  <sheetData>
    <row r="1" spans="1:22" x14ac:dyDescent="0.25">
      <c r="A1" t="s">
        <v>46</v>
      </c>
      <c r="D1">
        <v>1</v>
      </c>
      <c r="E1">
        <v>2</v>
      </c>
      <c r="F1">
        <v>3</v>
      </c>
      <c r="G1">
        <v>4</v>
      </c>
      <c r="H1">
        <v>5</v>
      </c>
      <c r="R1">
        <v>1</v>
      </c>
      <c r="S1">
        <v>2</v>
      </c>
      <c r="T1">
        <v>3</v>
      </c>
      <c r="U1">
        <v>4</v>
      </c>
      <c r="V1">
        <v>5</v>
      </c>
    </row>
    <row r="2" spans="1:22" x14ac:dyDescent="0.25">
      <c r="A2" t="s">
        <v>47</v>
      </c>
      <c r="C2">
        <v>1</v>
      </c>
      <c r="D2" t="str">
        <f>UPPER('XL-TEST'!E6)</f>
        <v>EKONOMI</v>
      </c>
      <c r="E2" t="str">
        <f>UPPER('XL-TEST'!F6)</f>
        <v>DEWASA</v>
      </c>
      <c r="F2">
        <f>'XL-TEST'!G6</f>
        <v>75000</v>
      </c>
      <c r="G2">
        <f>'XL-TEST'!H6</f>
        <v>7500</v>
      </c>
      <c r="H2">
        <f>'XL-TEST'!I6</f>
        <v>67500</v>
      </c>
      <c r="Q2">
        <v>1</v>
      </c>
      <c r="R2" t="str">
        <f ca="1">_xlfn.FORMULATEXT('XL-TEST'!E6)</f>
        <v>=HLOOKUP(LEFT(D6;3);TABEL_KELAS;2;0)</v>
      </c>
      <c r="S2" t="str">
        <f ca="1">_xlfn.FORMULATEXT('XL-TEST'!F6)</f>
        <v>=VLOOKUP(MID(D6;4;1);TABEL_TIKET;2;0)</v>
      </c>
      <c r="T2" t="str">
        <f ca="1">_xlfn.FORMULATEXT('XL-TEST'!G6)</f>
        <v>=VLOOKUP(MID(D6;4;1);$B$22:$F$24;MATCH(E6;$B$21:$F$21;0);0)</v>
      </c>
      <c r="U2" t="str">
        <f ca="1">_xlfn.FORMULATEXT('XL-TEST'!H6)</f>
        <v>=IF(B6&lt;DATE(2023;9;1);G6*10%;0)</v>
      </c>
      <c r="V2" t="str">
        <f ca="1">_xlfn.FORMULATEXT('XL-TEST'!I6)</f>
        <v>=G6-H6</v>
      </c>
    </row>
    <row r="3" spans="1:22" x14ac:dyDescent="0.25">
      <c r="A3" t="str">
        <f>A2&amp;"|"</f>
        <v>EE1|</v>
      </c>
      <c r="C3">
        <v>2</v>
      </c>
      <c r="D3" t="str">
        <f>UPPER('XL-TEST'!E7)</f>
        <v>EXECUTIVE</v>
      </c>
      <c r="E3" t="str">
        <f>UPPER('XL-TEST'!F7)</f>
        <v>ANAK</v>
      </c>
      <c r="F3">
        <f>'XL-TEST'!G7</f>
        <v>100000</v>
      </c>
      <c r="G3">
        <f>'XL-TEST'!H7</f>
        <v>0</v>
      </c>
      <c r="H3">
        <f>'XL-TEST'!I7</f>
        <v>100000</v>
      </c>
      <c r="Q3">
        <v>2</v>
      </c>
      <c r="R3" t="str">
        <f ca="1">_xlfn.FORMULATEXT('XL-TEST'!F6)</f>
        <v>=VLOOKUP(MID(D6;4;1);TABEL_TIKET;2;0)</v>
      </c>
    </row>
    <row r="4" spans="1:22" x14ac:dyDescent="0.25">
      <c r="C4">
        <v>3</v>
      </c>
      <c r="D4" t="str">
        <f>UPPER('XL-TEST'!E8)</f>
        <v>BISNIS</v>
      </c>
      <c r="E4" t="str">
        <f>UPPER('XL-TEST'!F8)</f>
        <v>ANAK</v>
      </c>
      <c r="F4">
        <f>'XL-TEST'!G8</f>
        <v>70000</v>
      </c>
      <c r="G4">
        <f>'XL-TEST'!H8</f>
        <v>7000</v>
      </c>
      <c r="H4">
        <f>'XL-TEST'!I8</f>
        <v>63000</v>
      </c>
      <c r="Q4">
        <v>3</v>
      </c>
      <c r="R4" t="str">
        <f ca="1">_xlfn.FORMULATEXT('XL-TEST'!G6)</f>
        <v>=VLOOKUP(MID(D6;4;1);$B$22:$F$24;MATCH(E6;$B$21:$F$21;0);0)</v>
      </c>
    </row>
    <row r="5" spans="1:22" x14ac:dyDescent="0.25">
      <c r="C5">
        <v>4</v>
      </c>
      <c r="D5" t="str">
        <f>UPPER('XL-TEST'!E9)</f>
        <v>EXECUTIVE</v>
      </c>
      <c r="E5" t="str">
        <f>UPPER('XL-TEST'!F9)</f>
        <v>DEWASA</v>
      </c>
      <c r="F5">
        <f>'XL-TEST'!G9</f>
        <v>150000</v>
      </c>
      <c r="G5">
        <f>'XL-TEST'!H9</f>
        <v>0</v>
      </c>
      <c r="H5">
        <f>'XL-TEST'!I9</f>
        <v>150000</v>
      </c>
      <c r="Q5">
        <v>4</v>
      </c>
      <c r="R5" t="str">
        <f ca="1">_xlfn.FORMULATEXT('XL-TEST'!H6)</f>
        <v>=IF(B6&lt;DATE(2023;9;1);G6*10%;0)</v>
      </c>
    </row>
    <row r="6" spans="1:22" x14ac:dyDescent="0.25">
      <c r="C6">
        <v>5</v>
      </c>
      <c r="D6" t="str">
        <f>UPPER('XL-TEST'!E10)</f>
        <v>EKONOMI</v>
      </c>
      <c r="E6" t="str">
        <f>UPPER('XL-TEST'!F10)</f>
        <v>LANSIA</v>
      </c>
      <c r="F6">
        <f>'XL-TEST'!G10</f>
        <v>60000</v>
      </c>
      <c r="G6">
        <f>'XL-TEST'!H10</f>
        <v>6000</v>
      </c>
      <c r="H6">
        <f>'XL-TEST'!I10</f>
        <v>54000</v>
      </c>
      <c r="Q6">
        <v>5</v>
      </c>
      <c r="R6" t="str">
        <f ca="1">_xlfn.FORMULATEXT('XL-TEST'!I6)</f>
        <v>=G6-H6</v>
      </c>
    </row>
    <row r="7" spans="1:22" x14ac:dyDescent="0.25">
      <c r="C7">
        <v>6</v>
      </c>
      <c r="D7" t="str">
        <f>UPPER('XL-TEST'!E11)</f>
        <v>BISNIS</v>
      </c>
      <c r="E7" t="str">
        <f>UPPER('XL-TEST'!F11)</f>
        <v>DEWASA</v>
      </c>
      <c r="F7">
        <f>'XL-TEST'!G11</f>
        <v>100000</v>
      </c>
      <c r="G7">
        <f>'XL-TEST'!H11</f>
        <v>0</v>
      </c>
      <c r="H7">
        <f>'XL-TEST'!I11</f>
        <v>100000</v>
      </c>
    </row>
    <row r="8" spans="1:22" x14ac:dyDescent="0.25">
      <c r="C8">
        <v>7</v>
      </c>
      <c r="D8" t="str">
        <f>UPPER('XL-TEST'!E12)</f>
        <v>EXECUTIVE</v>
      </c>
      <c r="E8" t="str">
        <f>UPPER('XL-TEST'!F12)</f>
        <v>LANSIA</v>
      </c>
      <c r="F8">
        <f>'XL-TEST'!G12</f>
        <v>120000</v>
      </c>
      <c r="G8">
        <f>'XL-TEST'!H12</f>
        <v>12000</v>
      </c>
      <c r="H8">
        <f>'XL-TEST'!I12</f>
        <v>108000</v>
      </c>
    </row>
    <row r="10" spans="1:22" x14ac:dyDescent="0.25">
      <c r="C10" t="s">
        <v>53</v>
      </c>
      <c r="D10">
        <f>CODE(LEFT(D2))+CODE(LEFT(D3))+CODE(LEFT(D4))+CODE(LEFT(D5))+CODE(LEFT(D6))+CODE(LEFT(D7))+CODE(LEFT(D8))+CODE(MID(D4,3,1))+CODE(MID(D5,3,1))+CODE(MID(D2,3,1))</f>
        <v>708</v>
      </c>
      <c r="E10">
        <f>CODE(LEFT(E2))+CODE(LEFT(E3))+CODE(LEFT(E4))+CODE(LEFT(E5))+CODE(LEFT(E6))+CODE(LEFT(E7))+CODE(LEFT(E8))+CODE(MID(E4,3,1))+CODE(MID(E5,3,1))+CODE(MID(E2,3,1))</f>
        <v>725</v>
      </c>
      <c r="F10">
        <f>SUM(F2:F8)</f>
        <v>675000</v>
      </c>
      <c r="G10">
        <f>SUM(G2:G8)</f>
        <v>32500</v>
      </c>
      <c r="H10">
        <f>SUM(H2:H8)</f>
        <v>642500</v>
      </c>
    </row>
    <row r="11" spans="1:22" x14ac:dyDescent="0.25">
      <c r="B11" t="s">
        <v>60</v>
      </c>
      <c r="D11" t="str">
        <f ca="1">IFERROR(DEC2HEX(IF(OR(D2=0,D2=""),D12,D10)),"EEEE")&amp;D36</f>
        <v>2C41</v>
      </c>
      <c r="E11" t="str">
        <f t="shared" ref="E11:H11" ca="1" si="0">IFERROR(DEC2HEX(IF(OR(E2=0,E2=""),E12,E10)),"EEEE")&amp;E36</f>
        <v>2D51</v>
      </c>
      <c r="F11" t="str">
        <f t="shared" ca="1" si="0"/>
        <v>A4CB81</v>
      </c>
      <c r="G11" t="str">
        <f t="shared" ca="1" si="0"/>
        <v>7EF41</v>
      </c>
      <c r="H11" t="str">
        <f t="shared" ca="1" si="0"/>
        <v>9CDC41</v>
      </c>
    </row>
    <row r="12" spans="1:22" x14ac:dyDescent="0.25">
      <c r="C12" t="s">
        <v>54</v>
      </c>
      <c r="D12">
        <v>3741</v>
      </c>
      <c r="E12">
        <v>1252</v>
      </c>
      <c r="F12">
        <v>7551</v>
      </c>
      <c r="G12">
        <v>8331</v>
      </c>
      <c r="H12">
        <v>8145</v>
      </c>
    </row>
    <row r="14" spans="1:22" x14ac:dyDescent="0.25">
      <c r="C14" t="b">
        <v>1</v>
      </c>
      <c r="D14" t="str">
        <f>LEFT(DEC2HEX(D12),2)</f>
        <v>E9</v>
      </c>
      <c r="E14" t="str">
        <f t="shared" ref="E14:H14" si="1">LEFT(DEC2HEX(E12),2)</f>
        <v>4E</v>
      </c>
      <c r="F14" t="str">
        <f t="shared" si="1"/>
        <v>1D</v>
      </c>
      <c r="G14" t="str">
        <f t="shared" si="1"/>
        <v>20</v>
      </c>
      <c r="H14" t="str">
        <f t="shared" si="1"/>
        <v>1F</v>
      </c>
    </row>
    <row r="15" spans="1:22" x14ac:dyDescent="0.25">
      <c r="C15" t="b">
        <v>0</v>
      </c>
      <c r="D15" t="str">
        <f>RIGHT(DEC2HEX(D12),2)</f>
        <v>9D</v>
      </c>
      <c r="E15" t="str">
        <f t="shared" ref="E15:H15" si="2">RIGHT(DEC2HEX(E12),2)</f>
        <v>E4</v>
      </c>
      <c r="F15" t="str">
        <f t="shared" si="2"/>
        <v>7F</v>
      </c>
      <c r="G15" t="str">
        <f t="shared" si="2"/>
        <v>8B</v>
      </c>
      <c r="H15" t="str">
        <f t="shared" si="2"/>
        <v>D1</v>
      </c>
    </row>
    <row r="17" spans="2:8" x14ac:dyDescent="0.25">
      <c r="C17" t="s">
        <v>55</v>
      </c>
      <c r="D17" t="b">
        <f ca="1">AND(ISNUMBER(FIND("=",R2)),ISNUMBER(FIND("(",R2)))</f>
        <v>1</v>
      </c>
      <c r="E17" t="b">
        <f t="shared" ref="E17:G17" ca="1" si="3">AND(ISNUMBER(FIND("=",S2)),ISNUMBER(FIND("(",S2)))</f>
        <v>1</v>
      </c>
      <c r="F17" t="b">
        <f t="shared" ca="1" si="3"/>
        <v>1</v>
      </c>
      <c r="G17" t="b">
        <f t="shared" ca="1" si="3"/>
        <v>1</v>
      </c>
      <c r="H17" t="b">
        <f ca="1">AND(ISNUMBER(FIND("=",V2)))</f>
        <v>1</v>
      </c>
    </row>
    <row r="19" spans="2:8" x14ac:dyDescent="0.25">
      <c r="C19" t="s">
        <v>57</v>
      </c>
      <c r="D19">
        <f ca="1">IFERROR(LEN(R2)-LEN(SUBSTITUTE(R2,"(","")),99)</f>
        <v>2</v>
      </c>
      <c r="E19">
        <f t="shared" ref="E19:H19" ca="1" si="4">IFERROR(LEN(S2)-LEN(SUBSTITUTE(S2,"(","")),99)</f>
        <v>2</v>
      </c>
      <c r="F19">
        <f t="shared" ca="1" si="4"/>
        <v>3</v>
      </c>
      <c r="G19">
        <f t="shared" ca="1" si="4"/>
        <v>2</v>
      </c>
      <c r="H19">
        <f t="shared" ca="1" si="4"/>
        <v>0</v>
      </c>
    </row>
    <row r="20" spans="2:8" x14ac:dyDescent="0.25">
      <c r="D20">
        <v>2</v>
      </c>
      <c r="E20">
        <v>2</v>
      </c>
      <c r="F20">
        <v>3</v>
      </c>
      <c r="G20">
        <v>2</v>
      </c>
      <c r="H20">
        <v>0</v>
      </c>
    </row>
    <row r="21" spans="2:8" x14ac:dyDescent="0.25">
      <c r="B21" t="s">
        <v>58</v>
      </c>
      <c r="D21">
        <f ca="1">(D19&lt;=D20)+0</f>
        <v>1</v>
      </c>
      <c r="E21">
        <f t="shared" ref="E21:G21" ca="1" si="5">(E19&lt;=E20)+0</f>
        <v>1</v>
      </c>
      <c r="F21">
        <f t="shared" ca="1" si="5"/>
        <v>1</v>
      </c>
      <c r="G21">
        <f t="shared" ca="1" si="5"/>
        <v>1</v>
      </c>
      <c r="H21">
        <v>1</v>
      </c>
    </row>
    <row r="23" spans="2:8" x14ac:dyDescent="0.25">
      <c r="C23" t="s">
        <v>56</v>
      </c>
      <c r="D23" t="b">
        <f ca="1">OR(ISNUMBER(FIND("HLO",R2)),ISNUMBER(FIND("XLO",R2)))</f>
        <v>1</v>
      </c>
      <c r="E23" t="b">
        <f ca="1">OR(ISNUMBER(FIND("VLO",S2)),ISNUMBER(FIND("XLO",S2)))</f>
        <v>1</v>
      </c>
      <c r="F23" t="b">
        <f ca="1">OR(AND(OR(ISNUMBER(FIND("VLO",T2)),ISNUMBER(FIND("HLO",T2))),OR(ISNUMBER(FIND("IF",T2)),ISNUMBER(FIND("MATCH",T2)))),ISNUMBER(FIND("XLO",T2)))</f>
        <v>1</v>
      </c>
      <c r="G23" t="b">
        <f ca="1">AND(ISNUMBER(FIND("IF",U2)),ISNUMBER(FIND("*",U2)))</f>
        <v>1</v>
      </c>
      <c r="H23" t="b">
        <f ca="1">ISNUMBER(FIND("-",V2))</f>
        <v>1</v>
      </c>
    </row>
    <row r="24" spans="2:8" x14ac:dyDescent="0.25">
      <c r="B24" t="s">
        <v>60</v>
      </c>
      <c r="D24" t="str">
        <f ca="1">IF(D23,D14,D15)&amp;D21</f>
        <v>E91</v>
      </c>
      <c r="E24" t="str">
        <f t="shared" ref="E24:H24" ca="1" si="6">IF(E23,E14,E15)&amp;E21</f>
        <v>4E1</v>
      </c>
      <c r="F24" t="str">
        <f t="shared" ca="1" si="6"/>
        <v>1D1</v>
      </c>
      <c r="G24" t="str">
        <f t="shared" ca="1" si="6"/>
        <v>201</v>
      </c>
      <c r="H24" t="str">
        <f t="shared" ca="1" si="6"/>
        <v>1F1</v>
      </c>
    </row>
    <row r="27" spans="2:8" x14ac:dyDescent="0.25">
      <c r="C27">
        <v>1</v>
      </c>
      <c r="D27">
        <f ca="1">LEN(_xlfn.FORMULATEXT('XL-TEST'!E6))</f>
        <v>36</v>
      </c>
      <c r="E27">
        <f ca="1">LEN(_xlfn.FORMULATEXT('XL-TEST'!F6))</f>
        <v>37</v>
      </c>
      <c r="F27">
        <f ca="1">LEN(_xlfn.FORMULATEXT('XL-TEST'!G6))</f>
        <v>59</v>
      </c>
      <c r="G27">
        <f ca="1">LEN(_xlfn.FORMULATEXT('XL-TEST'!H6))</f>
        <v>31</v>
      </c>
      <c r="H27">
        <f ca="1">LEN(_xlfn.FORMULATEXT('XL-TEST'!I6))</f>
        <v>6</v>
      </c>
    </row>
    <row r="28" spans="2:8" x14ac:dyDescent="0.25">
      <c r="C28">
        <v>2</v>
      </c>
      <c r="D28">
        <f ca="1">LEN(_xlfn.FORMULATEXT('XL-TEST'!E7))</f>
        <v>36</v>
      </c>
      <c r="E28">
        <f ca="1">LEN(_xlfn.FORMULATEXT('XL-TEST'!F7))</f>
        <v>37</v>
      </c>
      <c r="F28">
        <f ca="1">LEN(_xlfn.FORMULATEXT('XL-TEST'!G7))</f>
        <v>59</v>
      </c>
      <c r="G28">
        <f ca="1">LEN(_xlfn.FORMULATEXT('XL-TEST'!H7))</f>
        <v>31</v>
      </c>
      <c r="H28">
        <f ca="1">LEN(_xlfn.FORMULATEXT('XL-TEST'!I7))</f>
        <v>6</v>
      </c>
    </row>
    <row r="29" spans="2:8" x14ac:dyDescent="0.25">
      <c r="C29">
        <v>3</v>
      </c>
      <c r="D29">
        <f ca="1">LEN(_xlfn.FORMULATEXT('XL-TEST'!E8))</f>
        <v>36</v>
      </c>
      <c r="E29">
        <f ca="1">LEN(_xlfn.FORMULATEXT('XL-TEST'!F8))</f>
        <v>37</v>
      </c>
      <c r="F29">
        <f ca="1">LEN(_xlfn.FORMULATEXT('XL-TEST'!G8))</f>
        <v>59</v>
      </c>
      <c r="G29">
        <f ca="1">LEN(_xlfn.FORMULATEXT('XL-TEST'!H8))</f>
        <v>31</v>
      </c>
      <c r="H29">
        <f ca="1">LEN(_xlfn.FORMULATEXT('XL-TEST'!I8))</f>
        <v>6</v>
      </c>
    </row>
    <row r="30" spans="2:8" x14ac:dyDescent="0.25">
      <c r="C30">
        <v>4</v>
      </c>
      <c r="D30">
        <f ca="1">LEN(_xlfn.FORMULATEXT('XL-TEST'!E9))</f>
        <v>36</v>
      </c>
      <c r="E30">
        <f ca="1">LEN(_xlfn.FORMULATEXT('XL-TEST'!F9))</f>
        <v>37</v>
      </c>
      <c r="F30">
        <f ca="1">LEN(_xlfn.FORMULATEXT('XL-TEST'!G9))</f>
        <v>59</v>
      </c>
      <c r="G30">
        <f ca="1">LEN(_xlfn.FORMULATEXT('XL-TEST'!H9))</f>
        <v>31</v>
      </c>
      <c r="H30">
        <f ca="1">LEN(_xlfn.FORMULATEXT('XL-TEST'!I9))</f>
        <v>6</v>
      </c>
    </row>
    <row r="33" spans="2:8" x14ac:dyDescent="0.25">
      <c r="D33">
        <f ca="1">AVERAGE(D27:D30)</f>
        <v>36</v>
      </c>
      <c r="E33">
        <f t="shared" ref="E33:H33" ca="1" si="7">AVERAGE(E27:E30)</f>
        <v>37</v>
      </c>
      <c r="F33">
        <f t="shared" ca="1" si="7"/>
        <v>59</v>
      </c>
      <c r="G33">
        <f t="shared" ca="1" si="7"/>
        <v>31</v>
      </c>
      <c r="H33">
        <f t="shared" ca="1" si="7"/>
        <v>6</v>
      </c>
    </row>
    <row r="34" spans="2:8" x14ac:dyDescent="0.25">
      <c r="D34" t="b">
        <f ca="1">IFERROR(D33=D27,FALSE)</f>
        <v>1</v>
      </c>
      <c r="E34" t="b">
        <f t="shared" ref="E34:H34" ca="1" si="8">IFERROR(E33=E27,FALSE)</f>
        <v>1</v>
      </c>
      <c r="F34" t="b">
        <f t="shared" ca="1" si="8"/>
        <v>1</v>
      </c>
      <c r="G34" t="b">
        <f t="shared" ca="1" si="8"/>
        <v>1</v>
      </c>
      <c r="H34" t="b">
        <f t="shared" ca="1" si="8"/>
        <v>1</v>
      </c>
    </row>
    <row r="36" spans="2:8" x14ac:dyDescent="0.25">
      <c r="B36" t="s">
        <v>58</v>
      </c>
      <c r="C36" t="s">
        <v>59</v>
      </c>
      <c r="D36">
        <f ca="1">AND(D34,D17)+0</f>
        <v>1</v>
      </c>
      <c r="E36">
        <f t="shared" ref="E36:H36" ca="1" si="9">AND(E34,E17)+0</f>
        <v>1</v>
      </c>
      <c r="F36">
        <f t="shared" ca="1" si="9"/>
        <v>1</v>
      </c>
      <c r="G36">
        <f t="shared" ca="1" si="9"/>
        <v>1</v>
      </c>
      <c r="H36">
        <f t="shared" ca="1" si="9"/>
        <v>1</v>
      </c>
    </row>
    <row r="38" spans="2:8" x14ac:dyDescent="0.25">
      <c r="D38" t="str">
        <f ca="1">D24&amp;"-"&amp;D11&amp;";"</f>
        <v>E91-2C41;</v>
      </c>
      <c r="E38" t="str">
        <f t="shared" ref="E38:G38" ca="1" si="10">E24&amp;"-"&amp;E11&amp;";"</f>
        <v>4E1-2D51;</v>
      </c>
      <c r="F38" t="str">
        <f t="shared" ca="1" si="10"/>
        <v>1D1-A4CB81;</v>
      </c>
      <c r="G38" t="str">
        <f t="shared" ca="1" si="10"/>
        <v>201-7EF41;</v>
      </c>
      <c r="H38" t="str">
        <f ca="1">H24&amp;"-"&amp;H11</f>
        <v>1F1-9CDC41</v>
      </c>
    </row>
    <row r="39" spans="2:8" x14ac:dyDescent="0.25">
      <c r="D39" t="str">
        <f ca="1">A3&amp;D38&amp;E38&amp;F38&amp;G38&amp;H38</f>
        <v>EE1|E91-2C41;4E1-2D51;1D1-A4CB81;201-7EF41;1F1-9CDC41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2720-1C3A-434A-8D84-3CB9C844F891}">
  <sheetPr codeName="Sheet3"/>
  <dimension ref="A1:J25"/>
  <sheetViews>
    <sheetView showGridLines="0" workbookViewId="0">
      <selection activeCell="N23" sqref="N23"/>
    </sheetView>
  </sheetViews>
  <sheetFormatPr defaultColWidth="8.85546875" defaultRowHeight="15" x14ac:dyDescent="0.25"/>
  <cols>
    <col min="1" max="3" width="8.85546875" style="29"/>
    <col min="4" max="4" width="10.5703125" style="29" customWidth="1"/>
    <col min="5" max="5" width="9.28515625" style="29" customWidth="1"/>
    <col min="6" max="7" width="8.85546875" style="29"/>
    <col min="8" max="8" width="26.42578125" style="29" customWidth="1"/>
    <col min="9" max="16384" width="8.85546875" style="29"/>
  </cols>
  <sheetData>
    <row r="1" spans="1:10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</row>
    <row r="3" spans="1:10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0" x14ac:dyDescent="0.25">
      <c r="A6" s="28"/>
      <c r="B6" s="28"/>
      <c r="C6" s="28" t="s">
        <v>61</v>
      </c>
      <c r="D6" s="28"/>
      <c r="E6" s="28"/>
      <c r="F6" s="28"/>
      <c r="G6" s="28"/>
      <c r="H6" s="28"/>
      <c r="I6" s="28"/>
      <c r="J6" s="28"/>
    </row>
    <row r="7" spans="1:10" x14ac:dyDescent="0.25">
      <c r="A7" s="28"/>
      <c r="B7" s="28"/>
      <c r="C7" s="28" t="s">
        <v>62</v>
      </c>
      <c r="D7" s="28"/>
      <c r="E7" s="28"/>
      <c r="F7" s="28"/>
      <c r="G7" s="28"/>
      <c r="H7" s="28"/>
      <c r="I7" s="28"/>
      <c r="J7" s="28"/>
    </row>
    <row r="8" spans="1:10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</row>
    <row r="9" spans="1:10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</row>
    <row r="10" spans="1:10" x14ac:dyDescent="0.25">
      <c r="A10" s="28"/>
      <c r="B10" s="28"/>
      <c r="C10" s="28" t="s">
        <v>63</v>
      </c>
      <c r="D10" s="28"/>
      <c r="E10" s="28"/>
      <c r="F10" s="28"/>
      <c r="G10" s="28"/>
      <c r="H10" s="28"/>
      <c r="I10" s="28"/>
      <c r="J10" s="28"/>
    </row>
    <row r="11" spans="1:10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</row>
    <row r="12" spans="1:10" x14ac:dyDescent="0.25">
      <c r="A12" s="28"/>
      <c r="B12" s="28"/>
      <c r="C12" s="28"/>
      <c r="D12" s="34" t="s">
        <v>64</v>
      </c>
      <c r="E12" s="34"/>
      <c r="F12" s="35" t="s">
        <v>65</v>
      </c>
      <c r="G12" s="35"/>
      <c r="H12" s="28"/>
      <c r="I12" s="28"/>
      <c r="J12" s="28"/>
    </row>
    <row r="13" spans="1:10" x14ac:dyDescent="0.25">
      <c r="A13" s="28"/>
      <c r="B13" s="28"/>
      <c r="C13" s="28"/>
      <c r="D13" s="34" t="s">
        <v>66</v>
      </c>
      <c r="E13" s="34"/>
      <c r="F13" s="30" t="s">
        <v>67</v>
      </c>
      <c r="G13" s="31"/>
      <c r="H13" s="28"/>
      <c r="I13" s="28"/>
      <c r="J13" s="28"/>
    </row>
    <row r="14" spans="1:10" x14ac:dyDescent="0.25">
      <c r="A14" s="28"/>
      <c r="B14" s="28"/>
      <c r="C14" s="28"/>
      <c r="D14" s="34" t="s">
        <v>68</v>
      </c>
      <c r="E14" s="34"/>
      <c r="F14" s="30" t="s">
        <v>69</v>
      </c>
      <c r="G14" s="32"/>
      <c r="H14" s="28"/>
      <c r="I14" s="28"/>
      <c r="J14" s="28"/>
    </row>
    <row r="15" spans="1:10" x14ac:dyDescent="0.25">
      <c r="A15" s="28"/>
      <c r="B15" s="28"/>
      <c r="C15" s="28"/>
      <c r="D15" s="34" t="s">
        <v>70</v>
      </c>
      <c r="E15" s="34"/>
      <c r="F15" s="30" t="s">
        <v>71</v>
      </c>
      <c r="G15" s="32"/>
      <c r="H15" s="28"/>
      <c r="I15" s="28"/>
      <c r="J15" s="28"/>
    </row>
    <row r="16" spans="1:10" x14ac:dyDescent="0.25">
      <c r="A16" s="28"/>
      <c r="B16" s="28"/>
      <c r="C16" s="28"/>
      <c r="D16" s="34" t="s">
        <v>72</v>
      </c>
      <c r="E16" s="34"/>
      <c r="F16" s="30" t="s">
        <v>73</v>
      </c>
      <c r="G16" s="32"/>
      <c r="H16" s="28"/>
      <c r="I16" s="28"/>
      <c r="J16" s="28"/>
    </row>
    <row r="17" spans="1:10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</row>
    <row r="18" spans="1:10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x14ac:dyDescent="0.25">
      <c r="A19" s="28"/>
      <c r="B19" s="28"/>
      <c r="C19" s="28" t="s">
        <v>74</v>
      </c>
      <c r="D19" s="28"/>
      <c r="E19" s="28"/>
      <c r="F19" s="28"/>
      <c r="G19" s="28"/>
      <c r="H19" s="28"/>
      <c r="I19" s="28"/>
      <c r="J19" s="28"/>
    </row>
    <row r="20" spans="1:10" x14ac:dyDescent="0.25">
      <c r="A20" s="28"/>
      <c r="B20" s="28"/>
      <c r="C20" s="33" t="s">
        <v>43</v>
      </c>
      <c r="D20" s="28"/>
      <c r="E20" s="28"/>
      <c r="F20" s="28"/>
      <c r="G20" s="28"/>
      <c r="H20" s="28"/>
      <c r="I20" s="28"/>
      <c r="J20" s="28"/>
    </row>
    <row r="21" spans="1:10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</row>
    <row r="22" spans="1:10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</row>
    <row r="23" spans="1:10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</row>
    <row r="24" spans="1:10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</row>
    <row r="25" spans="1:10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</sheetData>
  <mergeCells count="6">
    <mergeCell ref="D16:E16"/>
    <mergeCell ref="D12:E12"/>
    <mergeCell ref="F12:G12"/>
    <mergeCell ref="D13:E13"/>
    <mergeCell ref="D14:E14"/>
    <mergeCell ref="D15:E15"/>
  </mergeCells>
  <hyperlinks>
    <hyperlink ref="C20" r:id="rId1" xr:uid="{D3FBBE58-98DB-4181-A7F9-0E5B5A33260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XL-TEST</vt:lpstr>
      <vt:lpstr>About</vt:lpstr>
      <vt:lpstr>Kode_jawaban</vt:lpstr>
      <vt:lpstr>TABEL_KELAS</vt:lpstr>
      <vt:lpstr>TABEL_TIKET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azzaury</dc:creator>
  <cp:lastModifiedBy>Siti Rukoyah Al Munazalah</cp:lastModifiedBy>
  <dcterms:created xsi:type="dcterms:W3CDTF">2023-08-07T09:44:56Z</dcterms:created>
  <dcterms:modified xsi:type="dcterms:W3CDTF">2026-02-21T06:02:06Z</dcterms:modified>
</cp:coreProperties>
</file>