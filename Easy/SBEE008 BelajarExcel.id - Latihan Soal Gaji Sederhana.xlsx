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B3065B01-4A24-42FE-93B5-E85FFBF05097}" xr6:coauthVersionLast="47" xr6:coauthVersionMax="47" xr10:uidLastSave="{00000000-0000-0000-0000-000000000000}"/>
  <workbookProtection workbookAlgorithmName="SHA-512" workbookHashValue="lukFfy39ZYlg3Vjo/3tL1sjpFIdTmEQVhzJbxzibvPVsdv10eMldY88TeAXhFJFaLDkBOya2bRGws6moLaRRVg==" workbookSaltValue="KQzclfYU9P+cRp9cr3aEUA==" workbookSpinCount="100000" lockStructure="1"/>
  <bookViews>
    <workbookView xWindow="-120" yWindow="-120" windowWidth="20730" windowHeight="11760" xr2:uid="{B93AEAA0-3A96-4813-B124-F48226EF0628}"/>
  </bookViews>
  <sheets>
    <sheet name="Xl-Test" sheetId="1" r:id="rId1"/>
    <sheet name="DF" sheetId="2" state="hidden" r:id="rId2"/>
  </sheets>
  <definedNames>
    <definedName name="kode_jawaban">DF!$C$8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D3" i="2" s="1"/>
  <c r="I10" i="1"/>
  <c r="I11" i="1"/>
  <c r="I12" i="1"/>
  <c r="I13" i="1"/>
  <c r="I14" i="1"/>
  <c r="I6" i="1"/>
  <c r="C3" i="2" s="1"/>
  <c r="L7" i="1"/>
  <c r="L8" i="1"/>
  <c r="L9" i="1"/>
  <c r="D6" i="2" s="1"/>
  <c r="L10" i="1"/>
  <c r="F6" i="2" s="1"/>
  <c r="L11" i="1"/>
  <c r="L12" i="1"/>
  <c r="L13" i="1"/>
  <c r="L14" i="1"/>
  <c r="L6" i="1"/>
  <c r="K7" i="1"/>
  <c r="K8" i="1"/>
  <c r="K9" i="1"/>
  <c r="K10" i="1"/>
  <c r="F5" i="2" s="1"/>
  <c r="K11" i="1"/>
  <c r="K12" i="1"/>
  <c r="K13" i="1"/>
  <c r="K14" i="1"/>
  <c r="E5" i="2" s="1"/>
  <c r="K6" i="1"/>
  <c r="J7" i="1"/>
  <c r="J8" i="1"/>
  <c r="F4" i="2" s="1"/>
  <c r="J9" i="1"/>
  <c r="J10" i="1"/>
  <c r="D4" i="2" s="1"/>
  <c r="J11" i="1"/>
  <c r="J12" i="1"/>
  <c r="J13" i="1"/>
  <c r="J14" i="1"/>
  <c r="J6" i="1"/>
  <c r="E7" i="1"/>
  <c r="E8" i="1"/>
  <c r="E9" i="1"/>
  <c r="E10" i="1"/>
  <c r="E11" i="1"/>
  <c r="E12" i="1"/>
  <c r="E13" i="1"/>
  <c r="E14" i="1"/>
  <c r="E2" i="2" s="1"/>
  <c r="E6" i="1"/>
  <c r="E6" i="2"/>
  <c r="C6" i="2"/>
  <c r="D5" i="2"/>
  <c r="C5" i="2"/>
  <c r="E4" i="2"/>
  <c r="C4" i="2"/>
  <c r="D2" i="2"/>
  <c r="Q3" i="2"/>
  <c r="Q5" i="2"/>
  <c r="Q6" i="2"/>
  <c r="Q2" i="2"/>
  <c r="Q4" i="2"/>
  <c r="F3" i="2" l="1"/>
  <c r="E3" i="2"/>
  <c r="F2" i="2"/>
  <c r="L2" i="2"/>
  <c r="C2" i="2"/>
  <c r="M6" i="2"/>
  <c r="G6" i="2" s="1"/>
  <c r="M5" i="2"/>
  <c r="G5" i="2" s="1"/>
  <c r="M4" i="2"/>
  <c r="G4" i="2" s="1"/>
  <c r="M3" i="2"/>
  <c r="M2" i="2"/>
  <c r="G3" i="2" l="1"/>
  <c r="J3" i="2" s="1"/>
  <c r="G2" i="2"/>
  <c r="J2" i="2" s="1"/>
  <c r="I4" i="2"/>
  <c r="J4" i="2"/>
  <c r="I3" i="2"/>
  <c r="I6" i="2"/>
  <c r="J6" i="2"/>
  <c r="I5" i="2"/>
  <c r="J5" i="2"/>
  <c r="I2" i="2" l="1"/>
  <c r="K2" i="2" s="1"/>
  <c r="N2" i="2" s="1"/>
  <c r="K3" i="2"/>
  <c r="N3" i="2" s="1"/>
  <c r="K6" i="2"/>
  <c r="N6" i="2" s="1"/>
  <c r="K4" i="2"/>
  <c r="N4" i="2" s="1"/>
  <c r="K5" i="2"/>
  <c r="N5" i="2" s="1"/>
  <c r="C8" i="2" l="1"/>
  <c r="I2" i="1" s="1"/>
</calcChain>
</file>

<file path=xl/sharedStrings.xml><?xml version="1.0" encoding="utf-8"?>
<sst xmlns="http://schemas.openxmlformats.org/spreadsheetml/2006/main" count="62" uniqueCount="49">
  <si>
    <t>No</t>
  </si>
  <si>
    <t>Nama</t>
  </si>
  <si>
    <t>Gaji Pokok</t>
  </si>
  <si>
    <t>Status</t>
  </si>
  <si>
    <t>Jumlah Anak</t>
  </si>
  <si>
    <t>Masa Kerja (Tahun)</t>
  </si>
  <si>
    <t>Tunjangan Anak</t>
  </si>
  <si>
    <t>Tunjangan Keluarga</t>
  </si>
  <si>
    <t>Tunjangan Jabatan</t>
  </si>
  <si>
    <t>Tunjangan Transportasi</t>
  </si>
  <si>
    <t>Adinia</t>
  </si>
  <si>
    <t>Menikah</t>
  </si>
  <si>
    <t>Bella</t>
  </si>
  <si>
    <t>Cecilia</t>
  </si>
  <si>
    <t>Lajang</t>
  </si>
  <si>
    <t>Dewo</t>
  </si>
  <si>
    <t>Edo</t>
  </si>
  <si>
    <t>Fakhri</t>
  </si>
  <si>
    <t>Ginanjar</t>
  </si>
  <si>
    <t>Iddo</t>
  </si>
  <si>
    <t>Junne</t>
  </si>
  <si>
    <t>Tunjangan Anak Rp300.000 per anak, maksimal 2 anak.</t>
  </si>
  <si>
    <t>Tunjangan keluarga, Rp500.000,- jika menikah dan Rp400.000,- jika single</t>
  </si>
  <si>
    <t>GOL</t>
  </si>
  <si>
    <t>A</t>
  </si>
  <si>
    <t>B</t>
  </si>
  <si>
    <t>C</t>
  </si>
  <si>
    <t>Soal</t>
  </si>
  <si>
    <t>- Jika Gol A, maka Gaji Pokoknya Rp.1.500.000 - Jika Gol B, maka Gaji Pokoknya Rp.1.800.000 - Jika Gol C, maka Gaji Pokoknya Rp.2.000.000</t>
  </si>
  <si>
    <t>GAJI POKOK diperoleh dari rumus :</t>
  </si>
  <si>
    <t>Tunjangan transportasi 7,5% dari gaji pokok</t>
  </si>
  <si>
    <t>KODE SOAL</t>
  </si>
  <si>
    <t>KODE JAWABAN</t>
  </si>
  <si>
    <t>DEF</t>
  </si>
  <si>
    <t>DEF1</t>
  </si>
  <si>
    <t>Formula</t>
  </si>
  <si>
    <t>F Test</t>
  </si>
  <si>
    <t>Value Test</t>
  </si>
  <si>
    <t>F/Test</t>
  </si>
  <si>
    <t>F/Value 1</t>
  </si>
  <si>
    <t>F/Value 2</t>
  </si>
  <si>
    <t>F/Value 3</t>
  </si>
  <si>
    <t>F/Value 4</t>
  </si>
  <si>
    <t>F/Value Final</t>
  </si>
  <si>
    <t>Final</t>
  </si>
  <si>
    <t>SBEE008</t>
  </si>
  <si>
    <r>
      <t xml:space="preserve">Copyright </t>
    </r>
    <r>
      <rPr>
        <sz val="9"/>
        <color theme="1"/>
        <rFont val="Calibri"/>
        <family val="2"/>
      </rPr>
      <t>© 2025 | BelajarExcel.id</t>
    </r>
  </si>
  <si>
    <r>
      <t xml:space="preserve">Kirimkan Kode Jawaban diatas ke alamat :  </t>
    </r>
    <r>
      <rPr>
        <b/>
        <sz val="11"/>
        <color rgb="FF0070C0"/>
        <rFont val="Aptos Narrow"/>
        <family val="2"/>
        <scheme val="minor"/>
      </rPr>
      <t>https://belajarexcel.id/xl-test/</t>
    </r>
    <r>
      <rPr>
        <sz val="11"/>
        <color theme="1"/>
        <rFont val="Aptos Narrow"/>
        <family val="2"/>
        <scheme val="minor"/>
      </rPr>
      <t xml:space="preserve">  untuk mengecek hasil jawaban</t>
    </r>
  </si>
  <si>
    <t>Tunjangan Jabatan, Rp1.000.000 jika masa kerja samadengan atau di atas 6 tahun, di bawah 6 tahun, Rp350.000,-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</si>
</sst>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20"/>
      <color theme="4" tint="-0.499984740745262"/>
      <name val="Arial Narrow"/>
      <family val="2"/>
    </font>
    <font>
      <b/>
      <sz val="12"/>
      <color theme="1"/>
      <name val="Arial Narrow"/>
      <family val="2"/>
    </font>
    <font>
      <sz val="9"/>
      <color rgb="FFFFC000"/>
      <name val="Arial Narrow"/>
      <family val="2"/>
    </font>
    <font>
      <b/>
      <sz val="12"/>
      <color rgb="FF00B050"/>
      <name val="Arial Narrow"/>
      <family val="2"/>
    </font>
    <font>
      <sz val="14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4" borderId="1" xfId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164" fontId="2" fillId="4" borderId="1" xfId="1" applyFont="1" applyFill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164" fontId="0" fillId="0" borderId="0" xfId="0" applyNumberFormat="1"/>
    <xf numFmtId="0" fontId="10" fillId="0" borderId="0" xfId="0" applyFont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belajarexcel.i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434340</xdr:colOff>
      <xdr:row>24</xdr:row>
      <xdr:rowOff>137161</xdr:rowOff>
    </xdr:from>
    <xdr:to>
      <xdr:col>3</xdr:col>
      <xdr:colOff>309644</xdr:colOff>
      <xdr:row>28</xdr:row>
      <xdr:rowOff>144781</xdr:rowOff>
    </xdr:to>
    <xdr:pic>
      <xdr:nvPicPr>
        <xdr:cNvPr id="2" name="Picture 1" descr="A black background with white text&#10;&#10;AI-generated content may be incorrect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094DC7-2019-4BC0-86F0-EC5A5D2C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5509261"/>
          <a:ext cx="2085104" cy="739140"/>
        </a:xfrm>
        <a:prstGeom prst="rect">
          <a:avLst/>
        </a:prstGeom>
      </xdr:spPr>
    </xdr:pic>
    <xdr:clientData/>
  </xdr:twoCellAnchor>
  <xdr:twoCellAnchor>
    <xdr:from>
      <xdr:col>4</xdr:col>
      <xdr:colOff>22860</xdr:colOff>
      <xdr:row>28</xdr:row>
      <xdr:rowOff>76200</xdr:rowOff>
    </xdr:from>
    <xdr:to>
      <xdr:col>5</xdr:col>
      <xdr:colOff>251460</xdr:colOff>
      <xdr:row>29</xdr:row>
      <xdr:rowOff>160020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94DF37-2597-4F70-9CD0-9AAAAF73C8F5}"/>
            </a:ext>
          </a:extLst>
        </xdr:cNvPr>
        <xdr:cNvSpPr/>
      </xdr:nvSpPr>
      <xdr:spPr>
        <a:xfrm flipH="1">
          <a:off x="2964180" y="5631180"/>
          <a:ext cx="131826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C2AD-48CE-4660-A3DC-5D83A2A4CBA2}">
  <dimension ref="B2:M29"/>
  <sheetViews>
    <sheetView tabSelected="1" topLeftCell="B8" workbookViewId="0">
      <selection activeCell="I2" sqref="I2"/>
    </sheetView>
  </sheetViews>
  <sheetFormatPr defaultRowHeight="15" x14ac:dyDescent="0.25"/>
  <cols>
    <col min="2" max="2" width="9.7109375" customWidth="1"/>
    <col min="3" max="3" width="13.7109375" customWidth="1"/>
    <col min="4" max="4" width="10.7109375" customWidth="1"/>
    <col min="5" max="5" width="15.85546875" customWidth="1"/>
    <col min="6" max="6" width="11.7109375" customWidth="1"/>
    <col min="7" max="7" width="16.7109375" customWidth="1"/>
    <col min="8" max="8" width="20.42578125" customWidth="1"/>
    <col min="9" max="9" width="16.5703125" customWidth="1"/>
    <col min="10" max="10" width="19.5703125" customWidth="1"/>
    <col min="11" max="11" width="20.28515625" customWidth="1"/>
    <col min="12" max="12" width="23.140625" customWidth="1"/>
  </cols>
  <sheetData>
    <row r="2" spans="2:13" ht="21" customHeight="1" x14ac:dyDescent="0.25">
      <c r="B2" s="18" t="s">
        <v>31</v>
      </c>
      <c r="C2" s="18"/>
      <c r="D2" s="19" t="s">
        <v>45</v>
      </c>
      <c r="E2" s="19"/>
      <c r="G2" s="18" t="s">
        <v>32</v>
      </c>
      <c r="H2" s="18"/>
      <c r="I2" s="15" t="str">
        <f ca="1">kode_jawaban</f>
        <v>DEF1|802-1437C802;801-36EE801;601-53EC601;701-5DD7701;F01-1842F01</v>
      </c>
      <c r="J2" s="15"/>
    </row>
    <row r="4" spans="2:13" ht="25.5" x14ac:dyDescent="0.35">
      <c r="B4" s="2"/>
      <c r="C4" s="3"/>
      <c r="D4" s="3"/>
      <c r="E4" s="10">
        <v>1</v>
      </c>
      <c r="F4" s="2"/>
      <c r="G4" s="2"/>
      <c r="H4" s="2"/>
      <c r="I4" s="10">
        <v>2</v>
      </c>
      <c r="J4" s="10">
        <v>3</v>
      </c>
      <c r="K4" s="10">
        <v>4</v>
      </c>
      <c r="L4" s="10">
        <v>5</v>
      </c>
      <c r="M4" s="1"/>
    </row>
    <row r="5" spans="2:13" ht="32.450000000000003" customHeight="1" x14ac:dyDescent="0.25">
      <c r="B5" s="6" t="s">
        <v>0</v>
      </c>
      <c r="C5" s="6" t="s">
        <v>1</v>
      </c>
      <c r="D5" s="6" t="s">
        <v>23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1"/>
    </row>
    <row r="6" spans="2:13" ht="18" customHeight="1" x14ac:dyDescent="0.25">
      <c r="B6" s="7">
        <v>1</v>
      </c>
      <c r="C6" s="8" t="s">
        <v>10</v>
      </c>
      <c r="D6" s="7" t="s">
        <v>24</v>
      </c>
      <c r="E6" s="9">
        <f>IF(D6="A",1500000,IF(D6="B",1800000,2000000))</f>
        <v>1500000</v>
      </c>
      <c r="F6" s="7" t="s">
        <v>11</v>
      </c>
      <c r="G6" s="7">
        <v>2</v>
      </c>
      <c r="H6" s="7">
        <v>5</v>
      </c>
      <c r="I6" s="9">
        <f>MIN(G6,2)*300000</f>
        <v>600000</v>
      </c>
      <c r="J6" s="9">
        <f>IF(F6="Menikah",500000,400000)</f>
        <v>500000</v>
      </c>
      <c r="K6" s="9">
        <f>IF(H6&gt;=6,1000000,350000)</f>
        <v>350000</v>
      </c>
      <c r="L6" s="11">
        <f>E6*7.5%</f>
        <v>112500</v>
      </c>
      <c r="M6" s="1"/>
    </row>
    <row r="7" spans="2:13" ht="18" customHeight="1" x14ac:dyDescent="0.25">
      <c r="B7" s="7">
        <v>2</v>
      </c>
      <c r="C7" s="8" t="s">
        <v>12</v>
      </c>
      <c r="D7" s="7" t="s">
        <v>25</v>
      </c>
      <c r="E7" s="9">
        <f t="shared" ref="E7:E14" si="0">IF(D7="A",1500000,IF(D7="B",1800000,2000000))</f>
        <v>1800000</v>
      </c>
      <c r="F7" s="7" t="s">
        <v>11</v>
      </c>
      <c r="G7" s="7">
        <v>3</v>
      </c>
      <c r="H7" s="7">
        <v>7</v>
      </c>
      <c r="I7" s="9">
        <f t="shared" ref="I7:I14" si="1">MIN(G7,2)*300000</f>
        <v>600000</v>
      </c>
      <c r="J7" s="9">
        <f t="shared" ref="J7:J14" si="2">IF(F7="Menikah",500000,400000)</f>
        <v>500000</v>
      </c>
      <c r="K7" s="9">
        <f t="shared" ref="K7:K14" si="3">IF(H7&gt;=6,1000000,350000)</f>
        <v>1000000</v>
      </c>
      <c r="L7" s="11">
        <f t="shared" ref="L7:L14" si="4">E7*7.5%</f>
        <v>135000</v>
      </c>
      <c r="M7" s="1"/>
    </row>
    <row r="8" spans="2:13" ht="18" customHeight="1" x14ac:dyDescent="0.25">
      <c r="B8" s="7">
        <v>3</v>
      </c>
      <c r="C8" s="8" t="s">
        <v>13</v>
      </c>
      <c r="D8" s="7" t="s">
        <v>24</v>
      </c>
      <c r="E8" s="9">
        <f t="shared" si="0"/>
        <v>1500000</v>
      </c>
      <c r="F8" s="7" t="s">
        <v>14</v>
      </c>
      <c r="G8" s="7">
        <v>0</v>
      </c>
      <c r="H8" s="7">
        <v>6</v>
      </c>
      <c r="I8" s="9">
        <f t="shared" si="1"/>
        <v>0</v>
      </c>
      <c r="J8" s="9">
        <f t="shared" si="2"/>
        <v>400000</v>
      </c>
      <c r="K8" s="9">
        <f t="shared" si="3"/>
        <v>1000000</v>
      </c>
      <c r="L8" s="11">
        <f t="shared" si="4"/>
        <v>112500</v>
      </c>
      <c r="M8" s="1"/>
    </row>
    <row r="9" spans="2:13" ht="18" customHeight="1" x14ac:dyDescent="0.25">
      <c r="B9" s="7">
        <v>4</v>
      </c>
      <c r="C9" s="8" t="s">
        <v>15</v>
      </c>
      <c r="D9" s="7" t="s">
        <v>25</v>
      </c>
      <c r="E9" s="9">
        <f t="shared" si="0"/>
        <v>1800000</v>
      </c>
      <c r="F9" s="7" t="s">
        <v>14</v>
      </c>
      <c r="G9" s="7">
        <v>0</v>
      </c>
      <c r="H9" s="7">
        <v>6</v>
      </c>
      <c r="I9" s="9">
        <f t="shared" si="1"/>
        <v>0</v>
      </c>
      <c r="J9" s="9">
        <f t="shared" si="2"/>
        <v>400000</v>
      </c>
      <c r="K9" s="9">
        <f t="shared" si="3"/>
        <v>1000000</v>
      </c>
      <c r="L9" s="11">
        <f t="shared" si="4"/>
        <v>135000</v>
      </c>
      <c r="M9" s="1"/>
    </row>
    <row r="10" spans="2:13" ht="18" customHeight="1" x14ac:dyDescent="0.25">
      <c r="B10" s="7">
        <v>5</v>
      </c>
      <c r="C10" s="8" t="s">
        <v>16</v>
      </c>
      <c r="D10" s="7" t="s">
        <v>26</v>
      </c>
      <c r="E10" s="9">
        <f t="shared" si="0"/>
        <v>2000000</v>
      </c>
      <c r="F10" s="7" t="s">
        <v>14</v>
      </c>
      <c r="G10" s="7">
        <v>0</v>
      </c>
      <c r="H10" s="7">
        <v>5</v>
      </c>
      <c r="I10" s="9">
        <f t="shared" si="1"/>
        <v>0</v>
      </c>
      <c r="J10" s="9">
        <f t="shared" si="2"/>
        <v>400000</v>
      </c>
      <c r="K10" s="9">
        <f t="shared" si="3"/>
        <v>350000</v>
      </c>
      <c r="L10" s="11">
        <f t="shared" si="4"/>
        <v>150000</v>
      </c>
      <c r="M10" s="1"/>
    </row>
    <row r="11" spans="2:13" ht="18" customHeight="1" x14ac:dyDescent="0.25">
      <c r="B11" s="7">
        <v>6</v>
      </c>
      <c r="C11" s="8" t="s">
        <v>17</v>
      </c>
      <c r="D11" s="7" t="s">
        <v>26</v>
      </c>
      <c r="E11" s="9">
        <f t="shared" si="0"/>
        <v>2000000</v>
      </c>
      <c r="F11" s="7" t="s">
        <v>11</v>
      </c>
      <c r="G11" s="7">
        <v>2</v>
      </c>
      <c r="H11" s="7">
        <v>4</v>
      </c>
      <c r="I11" s="9">
        <f t="shared" si="1"/>
        <v>600000</v>
      </c>
      <c r="J11" s="9">
        <f t="shared" si="2"/>
        <v>500000</v>
      </c>
      <c r="K11" s="9">
        <f t="shared" si="3"/>
        <v>350000</v>
      </c>
      <c r="L11" s="11">
        <f t="shared" si="4"/>
        <v>150000</v>
      </c>
      <c r="M11" s="1"/>
    </row>
    <row r="12" spans="2:13" ht="18" customHeight="1" x14ac:dyDescent="0.25">
      <c r="B12" s="7">
        <v>7</v>
      </c>
      <c r="C12" s="8" t="s">
        <v>18</v>
      </c>
      <c r="D12" s="7" t="s">
        <v>24</v>
      </c>
      <c r="E12" s="9">
        <f t="shared" si="0"/>
        <v>1500000</v>
      </c>
      <c r="F12" s="7" t="s">
        <v>14</v>
      </c>
      <c r="G12" s="7">
        <v>0</v>
      </c>
      <c r="H12" s="7">
        <v>2</v>
      </c>
      <c r="I12" s="9">
        <f t="shared" si="1"/>
        <v>0</v>
      </c>
      <c r="J12" s="9">
        <f t="shared" si="2"/>
        <v>400000</v>
      </c>
      <c r="K12" s="9">
        <f t="shared" si="3"/>
        <v>350000</v>
      </c>
      <c r="L12" s="11">
        <f t="shared" si="4"/>
        <v>112500</v>
      </c>
      <c r="M12" s="1"/>
    </row>
    <row r="13" spans="2:13" ht="18" customHeight="1" x14ac:dyDescent="0.25">
      <c r="B13" s="7">
        <v>8</v>
      </c>
      <c r="C13" s="8" t="s">
        <v>19</v>
      </c>
      <c r="D13" s="7" t="s">
        <v>25</v>
      </c>
      <c r="E13" s="9">
        <f t="shared" si="0"/>
        <v>1800000</v>
      </c>
      <c r="F13" s="7" t="s">
        <v>11</v>
      </c>
      <c r="G13" s="7">
        <v>4</v>
      </c>
      <c r="H13" s="7">
        <v>5</v>
      </c>
      <c r="I13" s="9">
        <f t="shared" si="1"/>
        <v>600000</v>
      </c>
      <c r="J13" s="9">
        <f t="shared" si="2"/>
        <v>500000</v>
      </c>
      <c r="K13" s="9">
        <f t="shared" si="3"/>
        <v>350000</v>
      </c>
      <c r="L13" s="11">
        <f t="shared" si="4"/>
        <v>135000</v>
      </c>
      <c r="M13" s="1"/>
    </row>
    <row r="14" spans="2:13" ht="18" customHeight="1" x14ac:dyDescent="0.25">
      <c r="B14" s="7">
        <v>9</v>
      </c>
      <c r="C14" s="8" t="s">
        <v>20</v>
      </c>
      <c r="D14" s="7" t="s">
        <v>26</v>
      </c>
      <c r="E14" s="9">
        <f t="shared" si="0"/>
        <v>2000000</v>
      </c>
      <c r="F14" s="7" t="s">
        <v>11</v>
      </c>
      <c r="G14" s="7">
        <v>1</v>
      </c>
      <c r="H14" s="7">
        <v>2</v>
      </c>
      <c r="I14" s="9">
        <f t="shared" si="1"/>
        <v>300000</v>
      </c>
      <c r="J14" s="9">
        <f t="shared" si="2"/>
        <v>500000</v>
      </c>
      <c r="K14" s="9">
        <f t="shared" si="3"/>
        <v>350000</v>
      </c>
      <c r="L14" s="11">
        <f t="shared" si="4"/>
        <v>150000</v>
      </c>
      <c r="M14" s="1"/>
    </row>
    <row r="15" spans="2:13" ht="15.75" x14ac:dyDescent="0.25">
      <c r="B15" s="2"/>
      <c r="C15" s="4"/>
      <c r="D15" s="4"/>
      <c r="E15" s="2"/>
      <c r="F15" s="2"/>
      <c r="G15" s="2"/>
      <c r="H15" s="2"/>
      <c r="I15" s="2"/>
      <c r="J15" s="2"/>
      <c r="K15" s="2"/>
      <c r="L15" s="1"/>
      <c r="M15" s="1"/>
    </row>
    <row r="16" spans="2:13" ht="15.75" x14ac:dyDescent="0.25">
      <c r="B16" s="12" t="s">
        <v>27</v>
      </c>
      <c r="D16" s="5"/>
      <c r="E16" s="2"/>
      <c r="F16" s="2"/>
      <c r="G16" s="2"/>
      <c r="H16" s="2"/>
      <c r="I16" s="2"/>
      <c r="J16" s="2"/>
      <c r="K16" s="2"/>
      <c r="L16" s="1"/>
      <c r="M16" s="1"/>
    </row>
    <row r="17" spans="2:13" ht="15.75" x14ac:dyDescent="0.25">
      <c r="B17" s="13">
        <v>1</v>
      </c>
      <c r="C17" s="4" t="s">
        <v>29</v>
      </c>
      <c r="D17" s="4"/>
      <c r="E17" s="2"/>
      <c r="F17" s="2"/>
      <c r="G17" s="2"/>
      <c r="H17" s="2"/>
      <c r="I17" s="2"/>
      <c r="J17" s="2"/>
      <c r="K17" s="2"/>
      <c r="L17" s="1"/>
      <c r="M17" s="1"/>
    </row>
    <row r="18" spans="2:13" ht="15.75" x14ac:dyDescent="0.25">
      <c r="B18" s="13"/>
      <c r="C18" s="4" t="s">
        <v>28</v>
      </c>
      <c r="D18" s="4"/>
      <c r="E18" s="2"/>
      <c r="F18" s="2"/>
      <c r="G18" s="2"/>
      <c r="H18" s="2"/>
      <c r="I18" s="2"/>
      <c r="J18" s="2"/>
      <c r="K18" s="2"/>
      <c r="L18" s="1"/>
      <c r="M18" s="1"/>
    </row>
    <row r="19" spans="2:13" ht="15.75" x14ac:dyDescent="0.25">
      <c r="B19" s="13">
        <v>2</v>
      </c>
      <c r="C19" s="4" t="s">
        <v>21</v>
      </c>
      <c r="D19" s="4"/>
      <c r="E19" s="2"/>
      <c r="F19" s="2"/>
      <c r="G19" s="2"/>
      <c r="H19" s="2"/>
      <c r="I19" s="2"/>
      <c r="J19" s="2"/>
      <c r="K19" s="2"/>
      <c r="L19" s="1"/>
      <c r="M19" s="1"/>
    </row>
    <row r="20" spans="2:13" ht="15.75" x14ac:dyDescent="0.25">
      <c r="B20" s="13">
        <v>3</v>
      </c>
      <c r="C20" s="4" t="s">
        <v>22</v>
      </c>
      <c r="D20" s="4"/>
      <c r="E20" s="2"/>
      <c r="F20" s="2"/>
      <c r="G20" s="2"/>
      <c r="H20" s="2"/>
      <c r="I20" s="2"/>
      <c r="J20" s="2"/>
      <c r="K20" s="2"/>
      <c r="L20" s="1"/>
      <c r="M20" s="1"/>
    </row>
    <row r="21" spans="2:13" ht="15.75" x14ac:dyDescent="0.25">
      <c r="B21" s="14">
        <v>4</v>
      </c>
      <c r="C21" s="4" t="s">
        <v>48</v>
      </c>
    </row>
    <row r="22" spans="2:13" ht="15.75" x14ac:dyDescent="0.25">
      <c r="B22" s="14">
        <v>5</v>
      </c>
      <c r="C22" s="4" t="s">
        <v>30</v>
      </c>
    </row>
    <row r="28" spans="2:13" x14ac:dyDescent="0.25">
      <c r="E28" t="s">
        <v>47</v>
      </c>
    </row>
    <row r="29" spans="2:13" x14ac:dyDescent="0.25">
      <c r="B29" s="17" t="s">
        <v>46</v>
      </c>
    </row>
  </sheetData>
  <mergeCells count="3">
    <mergeCell ref="B2:C2"/>
    <mergeCell ref="D2:E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097B-4255-44C7-8B40-7A981D120E3E}">
  <dimension ref="A1:Q8"/>
  <sheetViews>
    <sheetView workbookViewId="0">
      <selection activeCell="M17" sqref="M17"/>
    </sheetView>
  </sheetViews>
  <sheetFormatPr defaultRowHeight="15" x14ac:dyDescent="0.25"/>
  <cols>
    <col min="1" max="1" width="9" customWidth="1"/>
    <col min="3" max="3" width="10.28515625" bestFit="1" customWidth="1"/>
    <col min="4" max="4" width="10.7109375" customWidth="1"/>
    <col min="5" max="5" width="10.28515625" bestFit="1" customWidth="1"/>
    <col min="6" max="6" width="11.28515625" bestFit="1" customWidth="1"/>
    <col min="7" max="7" width="11.42578125" bestFit="1" customWidth="1"/>
    <col min="12" max="12" width="10.7109375" customWidth="1"/>
    <col min="13" max="13" width="10.42578125" customWidth="1"/>
    <col min="14" max="14" width="14.7109375" customWidth="1"/>
    <col min="17" max="17" width="9.7109375" customWidth="1"/>
  </cols>
  <sheetData>
    <row r="1" spans="1:17" x14ac:dyDescent="0.25">
      <c r="A1" t="s">
        <v>33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I1" t="b">
        <v>1</v>
      </c>
      <c r="J1" t="b">
        <v>0</v>
      </c>
      <c r="K1" t="s">
        <v>36</v>
      </c>
      <c r="L1" t="s">
        <v>37</v>
      </c>
      <c r="M1" t="s">
        <v>38</v>
      </c>
      <c r="N1" t="s">
        <v>44</v>
      </c>
      <c r="Q1" t="s">
        <v>35</v>
      </c>
    </row>
    <row r="2" spans="1:17" x14ac:dyDescent="0.25">
      <c r="A2" t="s">
        <v>34</v>
      </c>
      <c r="C2" s="16">
        <f>'Xl-Test'!E6</f>
        <v>1500000</v>
      </c>
      <c r="D2" s="16">
        <f>'Xl-Test'!E9</f>
        <v>1800000</v>
      </c>
      <c r="E2" s="16">
        <f>'Xl-Test'!E14</f>
        <v>2000000</v>
      </c>
      <c r="F2" s="16">
        <f>SUM('Xl-Test'!E6:E14)</f>
        <v>15900000</v>
      </c>
      <c r="G2" s="16" t="str">
        <f ca="1">IF(C2=0,"A14B10",DEC2HEX(SUM(C2:F2))&amp;(L2+M2))</f>
        <v>1437C802</v>
      </c>
      <c r="I2" t="str">
        <f ca="1">RIGHT(G2,3)</f>
        <v>802</v>
      </c>
      <c r="J2" t="str">
        <f ca="1">LEFT(G2,3)</f>
        <v>143</v>
      </c>
      <c r="K2" t="str">
        <f ca="1">IF(OR(ISNUMBER(FIND("IF",Q2)),ISNUMBER(FIND("SW",Q2))),I2,J2)</f>
        <v>802</v>
      </c>
      <c r="L2" s="16">
        <f>ISNUMBER('Xl-Test'!E6)+0</f>
        <v>1</v>
      </c>
      <c r="M2">
        <f ca="1">ISNUMBER(FIND(CHAR(40),SUBSTITUTE(Q2,"$","")))*1</f>
        <v>1</v>
      </c>
      <c r="N2" t="str">
        <f ca="1">K2&amp;"-"&amp;G2&amp;";"</f>
        <v>802-1437C802;</v>
      </c>
      <c r="Q2" t="str">
        <f ca="1">_xlfn.FORMULATEXT('Xl-Test'!E6)</f>
        <v>=IF(D6="A";1500000;IF(D6="B";1800000;2000000))</v>
      </c>
    </row>
    <row r="3" spans="1:17" x14ac:dyDescent="0.25">
      <c r="C3" s="16">
        <f>'Xl-Test'!I6</f>
        <v>600000</v>
      </c>
      <c r="D3" s="16">
        <f>'Xl-Test'!I9</f>
        <v>0</v>
      </c>
      <c r="E3" s="16">
        <f>'Xl-Test'!I14</f>
        <v>300000</v>
      </c>
      <c r="F3" s="16">
        <f>SUM('Xl-Test'!I6:I14)</f>
        <v>2700000</v>
      </c>
      <c r="G3" s="16" t="str">
        <f ca="1">IF(C3=0,"32BE100",DEC2HEX(SUM(C3:F3))&amp;M3)</f>
        <v>36EE801</v>
      </c>
      <c r="I3" t="str">
        <f t="shared" ref="I3:I6" ca="1" si="0">RIGHT(G3,3)</f>
        <v>801</v>
      </c>
      <c r="J3" t="str">
        <f t="shared" ref="J3:J6" ca="1" si="1">LEFT(G3,3)</f>
        <v>36E</v>
      </c>
      <c r="K3" t="str">
        <f ca="1">IF(ISNUMBER(FIND("IN",Q3)),I3,J3)</f>
        <v>801</v>
      </c>
      <c r="M3">
        <f ca="1">ISNUMBER(FIND(CHAR(40),SUBSTITUTE(Q3,"$","")))*1</f>
        <v>1</v>
      </c>
      <c r="N3" t="str">
        <f t="shared" ref="N3:N5" ca="1" si="2">K3&amp;"-"&amp;G3&amp;";"</f>
        <v>801-36EE801;</v>
      </c>
      <c r="Q3" t="str">
        <f ca="1">_xlfn.FORMULATEXT('Xl-Test'!I6)</f>
        <v>=MIN(G6;2)*300000</v>
      </c>
    </row>
    <row r="4" spans="1:17" x14ac:dyDescent="0.25">
      <c r="C4" s="16">
        <f>'Xl-Test'!J6</f>
        <v>500000</v>
      </c>
      <c r="D4" s="16">
        <f>'Xl-Test'!J10</f>
        <v>400000</v>
      </c>
      <c r="E4" s="16">
        <f>'Xl-Test'!J14</f>
        <v>500000</v>
      </c>
      <c r="F4" s="16">
        <f>SUM('Xl-Test'!J6:J14)</f>
        <v>4100000</v>
      </c>
      <c r="G4" s="16" t="str">
        <f ca="1">IF(C4=0,"54BFE10",DEC2HEX(SUM(C4:F4))&amp;M4)</f>
        <v>53EC601</v>
      </c>
      <c r="I4" t="str">
        <f t="shared" ca="1" si="0"/>
        <v>601</v>
      </c>
      <c r="J4" t="str">
        <f t="shared" ca="1" si="1"/>
        <v>53E</v>
      </c>
      <c r="K4" t="str">
        <f ca="1">IF(ISNUMBER(FIND("IF",Q4)),I4,J4)</f>
        <v>601</v>
      </c>
      <c r="M4">
        <f ca="1">ISNUMBER(FIND(CHAR(40),SUBSTITUTE(Q4,"$","")))*1</f>
        <v>1</v>
      </c>
      <c r="N4" t="str">
        <f t="shared" ca="1" si="2"/>
        <v>601-53EC601;</v>
      </c>
      <c r="Q4" t="str">
        <f ca="1">_xlfn.FORMULATEXT('Xl-Test'!J6)</f>
        <v>=IF(F6="Menikah";500000;400000)</v>
      </c>
    </row>
    <row r="5" spans="1:17" x14ac:dyDescent="0.25">
      <c r="C5" s="16">
        <f>'Xl-Test'!K6</f>
        <v>350000</v>
      </c>
      <c r="D5" s="16">
        <f>'Xl-Test'!K11</f>
        <v>350000</v>
      </c>
      <c r="E5" s="16">
        <f>'Xl-Test'!K14</f>
        <v>350000</v>
      </c>
      <c r="F5" s="16">
        <f>SUM('Xl-Test'!K6:K14)</f>
        <v>5100000</v>
      </c>
      <c r="G5" s="16" t="str">
        <f ca="1">IF(C5=0,"CB231E",DEC2HEX(SUM(C5:F5))&amp;M5)</f>
        <v>5DD7701</v>
      </c>
      <c r="I5" t="str">
        <f t="shared" ca="1" si="0"/>
        <v>701</v>
      </c>
      <c r="J5" t="str">
        <f t="shared" ca="1" si="1"/>
        <v>5DD</v>
      </c>
      <c r="K5" t="str">
        <f ca="1">IF(ISNUMBER(FIND("IF",Q5)),I5,J5)</f>
        <v>701</v>
      </c>
      <c r="M5">
        <f ca="1">ISNUMBER(FIND(CHAR(40),SUBSTITUTE(Q5,"$","")))*1</f>
        <v>1</v>
      </c>
      <c r="N5" t="str">
        <f t="shared" ca="1" si="2"/>
        <v>701-5DD7701;</v>
      </c>
      <c r="Q5" t="str">
        <f ca="1">_xlfn.FORMULATEXT('Xl-Test'!K6)</f>
        <v>=IF(H6&gt;=6;1000000;350000)</v>
      </c>
    </row>
    <row r="6" spans="1:17" x14ac:dyDescent="0.25">
      <c r="C6" s="16">
        <f>'Xl-Test'!L6</f>
        <v>112500</v>
      </c>
      <c r="D6" s="16">
        <f>'Xl-Test'!L9</f>
        <v>135000</v>
      </c>
      <c r="E6" s="16">
        <f>'Xl-Test'!L14</f>
        <v>150000</v>
      </c>
      <c r="F6" s="16">
        <f>SUM('Xl-Test'!L6:L14)</f>
        <v>1192500</v>
      </c>
      <c r="G6" s="16" t="str">
        <f ca="1">IF(C6=0,"123B87",DEC2HEX(SUM(C6:F6))&amp;M6)</f>
        <v>1842F01</v>
      </c>
      <c r="I6" t="str">
        <f t="shared" ca="1" si="0"/>
        <v>F01</v>
      </c>
      <c r="J6" t="str">
        <f t="shared" ca="1" si="1"/>
        <v>184</v>
      </c>
      <c r="K6" t="str">
        <f ca="1">IF(ISNUMBER(FIND("*",Q6)),I6,J6)</f>
        <v>F01</v>
      </c>
      <c r="M6">
        <f ca="1">ISNUMBER(FIND(CHAR(42),SUBSTITUTE(Q6,"$","")))*1</f>
        <v>1</v>
      </c>
      <c r="N6" t="str">
        <f ca="1">K6&amp;"-"&amp;G6</f>
        <v>F01-1842F01</v>
      </c>
      <c r="Q6" t="str">
        <f ca="1">_xlfn.FORMULATEXT('Xl-Test'!L6)</f>
        <v>=E6*7,5%</v>
      </c>
    </row>
    <row r="8" spans="1:17" x14ac:dyDescent="0.25">
      <c r="C8" t="str">
        <f ca="1">A2&amp;"|"&amp;N2&amp;N3&amp;N4&amp;N5&amp;N6</f>
        <v>DEF1|802-1437C802;801-36EE801;601-53EC601;701-5DD7701;F01-1842F01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Xl-Test</vt:lpstr>
      <vt:lpstr>DF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2025-06-01T01:22:36Z</dcterms:created>
  <dcterms:modified xsi:type="dcterms:W3CDTF">2026-02-20T10:41:16Z</dcterms:modified>
</cp:coreProperties>
</file>