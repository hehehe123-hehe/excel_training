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ortofolio Project\Excel\Easy\"/>
    </mc:Choice>
  </mc:AlternateContent>
  <xr:revisionPtr revIDLastSave="0" documentId="13_ncr:1_{8AB17DFA-18E4-40D7-B0FE-934C60C4DF33}" xr6:coauthVersionLast="47" xr6:coauthVersionMax="47" xr10:uidLastSave="{00000000-0000-0000-0000-000000000000}"/>
  <workbookProtection workbookAlgorithmName="SHA-512" workbookHashValue="myABWncgt/nCD2fdx4XT5n+3UDqLTFujCPEul+GGsGY3ebb60BKTzgkrUGbiy3gPxtGknQ2sZtpRk6asx5ujPA==" workbookSaltValue="fnOCeD/KxWcqGiLOjCcYmw==" workbookSpinCount="100000" lockStructure="1"/>
  <bookViews>
    <workbookView xWindow="-120" yWindow="-120" windowWidth="20730" windowHeight="11760" xr2:uid="{8EB26997-FCAF-4140-BA44-FD02AABED811}"/>
  </bookViews>
  <sheets>
    <sheet name="XL-Test" sheetId="1" r:id="rId1"/>
    <sheet name="About" sheetId="4" r:id="rId2"/>
    <sheet name="DF" sheetId="2" state="veryHidden" r:id="rId3"/>
  </sheets>
  <definedNames>
    <definedName name="amb" localSheetId="2">DF!$C$35</definedName>
    <definedName name="Kode_jawaban">DF!$C$36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7" i="1" l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E47" i="1"/>
  <c r="F47" i="1"/>
  <c r="G47" i="1"/>
  <c r="H47" i="1"/>
  <c r="I47" i="1"/>
  <c r="E48" i="1"/>
  <c r="F48" i="1"/>
  <c r="G48" i="1"/>
  <c r="H48" i="1"/>
  <c r="I48" i="1"/>
  <c r="E49" i="1"/>
  <c r="F49" i="1"/>
  <c r="G49" i="1"/>
  <c r="H49" i="1"/>
  <c r="I49" i="1"/>
  <c r="E50" i="1"/>
  <c r="F50" i="1"/>
  <c r="G50" i="1"/>
  <c r="H50" i="1"/>
  <c r="I50" i="1"/>
  <c r="E51" i="1"/>
  <c r="F51" i="1"/>
  <c r="G51" i="1"/>
  <c r="H51" i="1"/>
  <c r="I51" i="1"/>
  <c r="E52" i="1"/>
  <c r="F52" i="1"/>
  <c r="G52" i="1"/>
  <c r="H52" i="1"/>
  <c r="I52" i="1"/>
  <c r="E53" i="1"/>
  <c r="F53" i="1"/>
  <c r="G53" i="1"/>
  <c r="H53" i="1"/>
  <c r="I53" i="1"/>
  <c r="E54" i="1"/>
  <c r="F54" i="1"/>
  <c r="G54" i="1"/>
  <c r="H54" i="1"/>
  <c r="I54" i="1"/>
  <c r="E55" i="1"/>
  <c r="F55" i="1"/>
  <c r="G55" i="1"/>
  <c r="H55" i="1"/>
  <c r="I55" i="1"/>
  <c r="E56" i="1"/>
  <c r="F56" i="1"/>
  <c r="G56" i="1"/>
  <c r="H56" i="1"/>
  <c r="I56" i="1"/>
  <c r="E57" i="1"/>
  <c r="F57" i="1"/>
  <c r="G57" i="1"/>
  <c r="H57" i="1"/>
  <c r="I57" i="1"/>
  <c r="E58" i="1"/>
  <c r="F58" i="1"/>
  <c r="G58" i="1"/>
  <c r="H58" i="1"/>
  <c r="I58" i="1"/>
  <c r="E59" i="1"/>
  <c r="F59" i="1"/>
  <c r="G59" i="1"/>
  <c r="H59" i="1"/>
  <c r="I59" i="1"/>
  <c r="E60" i="1"/>
  <c r="F60" i="1"/>
  <c r="G60" i="1"/>
  <c r="H60" i="1"/>
  <c r="I60" i="1"/>
  <c r="K46" i="1"/>
  <c r="I46" i="1"/>
  <c r="H46" i="1"/>
  <c r="G46" i="1"/>
  <c r="F46" i="1"/>
  <c r="E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46" i="1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39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39" i="2"/>
  <c r="E2" i="2"/>
  <c r="E24" i="2" s="1"/>
  <c r="D2" i="2"/>
  <c r="D24" i="2" s="1"/>
  <c r="T2" i="2"/>
  <c r="I29" i="2" s="1"/>
  <c r="N8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H15" i="2"/>
  <c r="H16" i="2"/>
  <c r="H2" i="2"/>
  <c r="H24" i="2" s="1"/>
  <c r="H3" i="2"/>
  <c r="H4" i="2"/>
  <c r="H5" i="2"/>
  <c r="H6" i="2"/>
  <c r="H7" i="2"/>
  <c r="H8" i="2"/>
  <c r="H9" i="2"/>
  <c r="H10" i="2"/>
  <c r="H11" i="2"/>
  <c r="H12" i="2"/>
  <c r="H13" i="2"/>
  <c r="H14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E16" i="2"/>
  <c r="E15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D22" i="2"/>
  <c r="E22" i="2"/>
  <c r="F22" i="2"/>
  <c r="G22" i="2"/>
  <c r="H22" i="2"/>
  <c r="I22" i="2"/>
  <c r="C22" i="2"/>
  <c r="D21" i="2"/>
  <c r="E21" i="2"/>
  <c r="F21" i="2"/>
  <c r="G21" i="2"/>
  <c r="H21" i="2"/>
  <c r="I21" i="2"/>
  <c r="C21" i="2"/>
  <c r="O2" i="2"/>
  <c r="D29" i="2" s="1"/>
  <c r="P2" i="2"/>
  <c r="E29" i="2" s="1"/>
  <c r="Q2" i="2"/>
  <c r="F29" i="2" s="1"/>
  <c r="R2" i="2"/>
  <c r="G29" i="2" s="1"/>
  <c r="S2" i="2"/>
  <c r="H29" i="2" s="1"/>
  <c r="N3" i="2"/>
  <c r="N4" i="2"/>
  <c r="N5" i="2"/>
  <c r="N6" i="2"/>
  <c r="N7" i="2"/>
  <c r="N2" i="2"/>
  <c r="E3" i="2"/>
  <c r="G3" i="2"/>
  <c r="E4" i="2"/>
  <c r="G4" i="2"/>
  <c r="E5" i="2" l="1"/>
  <c r="G5" i="2"/>
  <c r="E6" i="2"/>
  <c r="G6" i="2"/>
  <c r="E7" i="2"/>
  <c r="G7" i="2"/>
  <c r="E8" i="2"/>
  <c r="G8" i="2"/>
  <c r="E9" i="2"/>
  <c r="G9" i="2"/>
  <c r="E10" i="2"/>
  <c r="G10" i="2"/>
  <c r="E11" i="2"/>
  <c r="G11" i="2"/>
  <c r="E12" i="2"/>
  <c r="G12" i="2"/>
  <c r="E13" i="2"/>
  <c r="G13" i="2"/>
  <c r="E14" i="2"/>
  <c r="G14" i="2"/>
  <c r="G15" i="2"/>
  <c r="G16" i="2"/>
  <c r="I2" i="2"/>
  <c r="G2" i="2"/>
  <c r="G24" i="2" s="1"/>
  <c r="F2" i="2"/>
  <c r="F24" i="2" s="1"/>
  <c r="C2" i="2"/>
  <c r="I56" i="2"/>
  <c r="I55" i="2"/>
  <c r="I58" i="2" s="1"/>
  <c r="H56" i="2"/>
  <c r="H55" i="2"/>
  <c r="H58" i="2" s="1"/>
  <c r="G56" i="2"/>
  <c r="G55" i="2"/>
  <c r="G58" i="2" s="1"/>
  <c r="F56" i="2"/>
  <c r="F55" i="2"/>
  <c r="E56" i="2"/>
  <c r="E55" i="2"/>
  <c r="D56" i="2"/>
  <c r="D55" i="2"/>
  <c r="C56" i="2"/>
  <c r="C55" i="2"/>
  <c r="I24" i="2"/>
  <c r="I18" i="2"/>
  <c r="C25" i="2"/>
  <c r="C29" i="2"/>
  <c r="D25" i="2"/>
  <c r="E25" i="2"/>
  <c r="F25" i="2"/>
  <c r="G25" i="2"/>
  <c r="H25" i="2"/>
  <c r="I25" i="2"/>
  <c r="D18" i="2"/>
  <c r="E18" i="2"/>
  <c r="F18" i="2"/>
  <c r="G18" i="2"/>
  <c r="H18" i="2"/>
  <c r="C24" i="2" l="1"/>
  <c r="C18" i="2"/>
  <c r="H27" i="2"/>
  <c r="H31" i="2" s="1"/>
  <c r="D58" i="2"/>
  <c r="D27" i="2" s="1"/>
  <c r="D31" i="2" s="1"/>
  <c r="G27" i="2"/>
  <c r="G31" i="2" s="1"/>
  <c r="F58" i="2"/>
  <c r="F27" i="2" s="1"/>
  <c r="F31" i="2" s="1"/>
  <c r="E58" i="2"/>
  <c r="E27" i="2" s="1"/>
  <c r="E31" i="2" s="1"/>
  <c r="C58" i="2"/>
  <c r="I27" i="2"/>
  <c r="I31" i="2" s="1"/>
  <c r="C27" i="2" l="1"/>
  <c r="C31" i="2" s="1"/>
  <c r="C33" i="2" l="1"/>
  <c r="C35" i="2" s="1"/>
  <c r="C36" i="2" s="1" a="1"/>
  <c r="C36" i="2" s="1"/>
  <c r="F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<sst xmlns="http://schemas.openxmlformats.org/spreadsheetml/2006/main" count="107" uniqueCount="104">
  <si>
    <t>Nama Peserta Raw</t>
  </si>
  <si>
    <t>dIaN prAseTyo</t>
  </si>
  <si>
    <t>heNdRA gUnAwAn</t>
  </si>
  <si>
    <t>Hurup Besar (Semua)</t>
  </si>
  <si>
    <t>Hurup Kecil (Semua)</t>
  </si>
  <si>
    <t>Hurup Besar diawal</t>
  </si>
  <si>
    <t>No</t>
  </si>
  <si>
    <t>Sentences Case</t>
  </si>
  <si>
    <t>aNdi Setiadi</t>
  </si>
  <si>
    <t>bUDi sANtoSo</t>
  </si>
  <si>
    <t>gAlIh pErMAnA</t>
  </si>
  <si>
    <t>KaRTiKa pUtRi</t>
  </si>
  <si>
    <t>muHAmMad RiZkY</t>
  </si>
  <si>
    <t>andi saputra</t>
  </si>
  <si>
    <t>CITRA DEWI</t>
  </si>
  <si>
    <t>JOKO SUSILO</t>
  </si>
  <si>
    <t>indah sari</t>
  </si>
  <si>
    <t>LESTARI AYU</t>
  </si>
  <si>
    <t>NADIA KUSUMA</t>
  </si>
  <si>
    <t>EKO WAHYUDI</t>
  </si>
  <si>
    <t>fitri anjani</t>
  </si>
  <si>
    <t>KODE SOAL</t>
  </si>
  <si>
    <t>KODE JAWABAN</t>
  </si>
  <si>
    <t>Lusi atMAjaya</t>
  </si>
  <si>
    <t>Def</t>
  </si>
  <si>
    <t>Rand</t>
  </si>
  <si>
    <t>Cek Kosong</t>
  </si>
  <si>
    <t>Cek Fungsi</t>
  </si>
  <si>
    <t>Cek Rumus</t>
  </si>
  <si>
    <t>am</t>
  </si>
  <si>
    <t>b</t>
  </si>
  <si>
    <t>SBEE012</t>
  </si>
  <si>
    <t>ANDI SETIADI</t>
  </si>
  <si>
    <t>andi setiadi</t>
  </si>
  <si>
    <t>Andi Setiadi</t>
  </si>
  <si>
    <t>Andi setiadi</t>
  </si>
  <si>
    <t>Andi setiadI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</si>
  <si>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</si>
  <si>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</si>
  <si>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</si>
  <si>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</si>
  <si>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</si>
  <si>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</si>
  <si>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</si>
  <si>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</si>
  <si>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</si>
  <si>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</si>
  <si>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</si>
  <si>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</si>
  <si>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</si>
  <si>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Free Access</t>
  </si>
  <si>
    <t>https://belajarexcel.id/xl-test/</t>
  </si>
  <si>
    <t>Intruksi</t>
  </si>
  <si>
    <t>Gunakan Fungsi Excel (Function) untuk menyelsaikan kasus dibawah ini, tidak disarankan menggunakan cara manual</t>
  </si>
  <si>
    <t>atau klik tombol disamping</t>
  </si>
  <si>
    <t>Soal  :</t>
  </si>
  <si>
    <r>
      <rPr>
        <b/>
        <i/>
        <sz val="11"/>
        <color rgb="FF0070C0"/>
        <rFont val="Aptos Narrow"/>
        <family val="2"/>
        <scheme val="minor"/>
      </rPr>
      <t>Sudah selesai mengerjakan?</t>
    </r>
    <r>
      <rPr>
        <i/>
        <sz val="11"/>
        <color rgb="FF0070C0"/>
        <rFont val="Aptos Narrow"/>
        <family val="2"/>
        <scheme val="minor"/>
      </rPr>
      <t xml:space="preserve"> 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hasilnya</t>
    </r>
  </si>
  <si>
    <r>
      <rPr>
        <b/>
        <sz val="12"/>
        <color rgb="FF00B050"/>
        <rFont val="Aptos Narrow"/>
        <family val="2"/>
        <scheme val="minor"/>
      </rPr>
      <t>Easy Level</t>
    </r>
    <r>
      <rPr>
        <b/>
        <sz val="12"/>
        <color theme="1"/>
        <rFont val="Aptos Narrow"/>
        <family val="2"/>
        <scheme val="minor"/>
      </rPr>
      <t xml:space="preserve"> - Latihan Soal Excel Huruf Besar dan Huruf Kecil</t>
    </r>
  </si>
  <si>
    <t>Jika kecil semua maka "Huruf Kecil", Jika besar semua maka "Huruf Besar", Jika campur huruf kecil dan hurup besar maka "Huruf Campur"</t>
  </si>
  <si>
    <t>Huruf Campur</t>
  </si>
  <si>
    <r>
      <t xml:space="preserve">Ubah </t>
    </r>
    <r>
      <rPr>
        <b/>
        <sz val="11"/>
        <color theme="6"/>
        <rFont val="Aptos Narrow"/>
        <family val="2"/>
        <scheme val="minor"/>
      </rPr>
      <t>Nama Peserta Raw</t>
    </r>
    <r>
      <rPr>
        <sz val="11"/>
        <color theme="1"/>
        <rFont val="Aptos Narrow"/>
        <family val="2"/>
        <scheme val="minor"/>
      </rPr>
      <t xml:space="preserve"> menjadi Hurup Besar diawal saja, Contoh andi menjadi Andi</t>
    </r>
  </si>
  <si>
    <r>
      <t xml:space="preserve">Ubah </t>
    </r>
    <r>
      <rPr>
        <b/>
        <sz val="11"/>
        <color theme="6"/>
        <rFont val="Aptos Narrow"/>
        <family val="2"/>
        <scheme val="minor"/>
      </rPr>
      <t>Nama Peserta Raw</t>
    </r>
    <r>
      <rPr>
        <sz val="11"/>
        <color theme="1"/>
        <rFont val="Aptos Narrow"/>
        <family val="2"/>
        <scheme val="minor"/>
      </rPr>
      <t xml:space="preserve"> menjadi Hurup Besar diawal, Contoh andi menjadi Andi</t>
    </r>
  </si>
  <si>
    <r>
      <t xml:space="preserve">Ubah </t>
    </r>
    <r>
      <rPr>
        <b/>
        <sz val="11"/>
        <color theme="6"/>
        <rFont val="Aptos Narrow"/>
        <family val="2"/>
        <scheme val="minor"/>
      </rPr>
      <t>Nama Peserta Raw</t>
    </r>
    <r>
      <rPr>
        <sz val="11"/>
        <color theme="1"/>
        <rFont val="Aptos Narrow"/>
        <family val="2"/>
        <scheme val="minor"/>
      </rPr>
      <t xml:space="preserve"> menjadi Hurup kecil semua, contoh ANDI menjadi andi</t>
    </r>
  </si>
  <si>
    <r>
      <t xml:space="preserve">Ubah </t>
    </r>
    <r>
      <rPr>
        <b/>
        <sz val="11"/>
        <color theme="6" tint="-0.249977111117893"/>
        <rFont val="Aptos Narrow"/>
        <family val="2"/>
        <scheme val="minor"/>
      </rPr>
      <t>Nama Peserta Raw</t>
    </r>
    <r>
      <rPr>
        <sz val="11"/>
        <color theme="1"/>
        <rFont val="Aptos Narrow"/>
        <family val="2"/>
        <scheme val="minor"/>
      </rPr>
      <t xml:space="preserve"> menjadi Hurup Besar semua, contoh andi menjadi ANDI</t>
    </r>
  </si>
  <si>
    <t>Sekolah</t>
  </si>
  <si>
    <t>sD nUsAnTaRa cEmErLaNg</t>
  </si>
  <si>
    <t>SmP bInA kArYa uTaMa</t>
  </si>
  <si>
    <t>sMa gLoBaL pReStAsI</t>
  </si>
  <si>
    <t>Sd pElItA iNsAn mUlIa</t>
  </si>
  <si>
    <t>sMp tUnAs bAnGsA</t>
  </si>
  <si>
    <t>SmA cEnDeKiA mAnDiRi</t>
  </si>
  <si>
    <t>sD bHaKtI pErTiWi</t>
  </si>
  <si>
    <t>sMp mEkAr jAyA aBaDi</t>
  </si>
  <si>
    <t>SmA pUsAkA nUsAnTaRa</t>
  </si>
  <si>
    <t>sD cItRa hArApAn</t>
  </si>
  <si>
    <t>sMp aRgA sEnToSa</t>
  </si>
  <si>
    <t>SmA bInTaNg tImUr</t>
  </si>
  <si>
    <t>sD mUtIaRa hAtI</t>
  </si>
  <si>
    <t>sMp lEnSa iLmU</t>
  </si>
  <si>
    <t>SmA sInAr aBuDi</t>
  </si>
  <si>
    <t>sD SiNdanGgalih</t>
  </si>
  <si>
    <t>SD Sindanggalih</t>
  </si>
  <si>
    <t>Contoh sD mAJu pRataMa menjadi SD Maju Pratama</t>
  </si>
  <si>
    <t>Jenis Huruf</t>
  </si>
  <si>
    <r>
      <t xml:space="preserve">Tentukan </t>
    </r>
    <r>
      <rPr>
        <b/>
        <sz val="11"/>
        <color theme="1"/>
        <rFont val="Aptos Narrow"/>
        <family val="2"/>
        <scheme val="minor"/>
      </rPr>
      <t>Jenis Huruf</t>
    </r>
    <r>
      <rPr>
        <sz val="11"/>
        <color theme="1"/>
        <rFont val="Aptos Narrow"/>
        <family val="2"/>
        <scheme val="minor"/>
      </rPr>
      <t xml:space="preserve"> berdasarkan Jenis huruf di Nama Peserta Raw</t>
    </r>
  </si>
  <si>
    <r>
      <t xml:space="preserve">Ubah </t>
    </r>
    <r>
      <rPr>
        <b/>
        <sz val="11"/>
        <color theme="6"/>
        <rFont val="Aptos Narrow"/>
        <family val="2"/>
        <scheme val="minor"/>
      </rPr>
      <t>Sekolah Raw</t>
    </r>
    <r>
      <rPr>
        <sz val="11"/>
        <color theme="1"/>
        <rFont val="Aptos Narrow"/>
        <family val="2"/>
        <scheme val="minor"/>
      </rPr>
      <t xml:space="preserve"> Menjadi Hurup Besar Untuk Tingkat Sekolah (SD, SMP, SMA) dan Besar diawal pada Nama Sekolah</t>
    </r>
  </si>
  <si>
    <t>Saya adalah seorang Excel Holic yang percaya bahwa setiap angka memiliki cerita yang bisa ditemukan dengan cara yang tepat.</t>
  </si>
  <si>
    <t>Contact :</t>
  </si>
  <si>
    <t>🌐 Web</t>
  </si>
  <si>
    <t>https://setiadi.me</t>
  </si>
  <si>
    <t>🪡threads</t>
  </si>
  <si>
    <t>https://www.threads.com/@andisetiadi</t>
  </si>
  <si>
    <t>Contoh</t>
  </si>
  <si>
    <r>
      <t xml:space="preserve">Ubah </t>
    </r>
    <r>
      <rPr>
        <b/>
        <sz val="11"/>
        <color theme="6"/>
        <rFont val="Aptos Narrow"/>
        <family val="2"/>
        <scheme val="minor"/>
      </rPr>
      <t>Nama Peserta Raw</t>
    </r>
    <r>
      <rPr>
        <sz val="11"/>
        <color theme="1"/>
        <rFont val="Aptos Narrow"/>
        <family val="2"/>
        <scheme val="minor"/>
      </rPr>
      <t xml:space="preserve"> menjadi Hurup Besar diawal dan di akhir, Contoh rEja menjadi RejA</t>
    </r>
  </si>
  <si>
    <t>Hurup Besar 
(Awal dan Akhir)</t>
  </si>
  <si>
    <t>Data Sekolah Raw</t>
  </si>
  <si>
    <t>Cek Tarik</t>
  </si>
  <si>
    <t>Normal</t>
  </si>
  <si>
    <t>Array</t>
  </si>
  <si>
    <t>Perlu Video Penjelasan atau Kunci Jawaban ?</t>
  </si>
  <si>
    <t>Scan barcode atau kunjungi</t>
  </si>
  <si>
    <t>https://lynk.id/setiadi/page/jawaban-xl-test</t>
  </si>
  <si>
    <t>“Excel bukan cuma soal kerjaan tapi juga hobi yang aku nikmati.”</t>
  </si>
  <si>
    <t>EL3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</si>
</sst>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3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1"/>
      <color rgb="FF00B05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6" tint="-0.249977111117893"/>
      <name val="Aptos Narrow"/>
      <family val="2"/>
      <scheme val="minor"/>
    </font>
    <font>
      <sz val="9"/>
      <color theme="6" tint="-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Roboto"/>
    </font>
    <font>
      <b/>
      <sz val="12"/>
      <color theme="0"/>
      <name val="ROBOTECH GP"/>
      <family val="2"/>
    </font>
    <font>
      <b/>
      <sz val="14"/>
      <color theme="0"/>
      <name val="Roboto"/>
    </font>
    <font>
      <b/>
      <sz val="18"/>
      <color theme="0"/>
      <name val="Roboto"/>
    </font>
    <font>
      <b/>
      <sz val="18"/>
      <color theme="0"/>
      <name val="ROBOTECH GP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b/>
      <sz val="12"/>
      <color theme="0"/>
      <name val="Roboto"/>
    </font>
    <font>
      <b/>
      <sz val="11"/>
      <color theme="6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0"/>
      <color rgb="FF3D3D4E"/>
      <name val="Arial"/>
      <family val="2"/>
    </font>
    <font>
      <b/>
      <sz val="10"/>
      <color rgb="FF1D1F45"/>
      <name val="Arial"/>
      <family val="2"/>
    </font>
    <font>
      <sz val="10"/>
      <color rgb="FF1D1F45"/>
      <name val="Arial"/>
      <family val="2"/>
    </font>
    <font>
      <sz val="11"/>
      <color theme="4" tint="0.39997558519241921"/>
      <name val="Aptos Narrow"/>
      <family val="2"/>
      <scheme val="minor"/>
    </font>
    <font>
      <b/>
      <sz val="11"/>
      <color theme="0"/>
      <name val="ROBOTECH GP"/>
      <family val="2"/>
    </font>
    <font>
      <sz val="10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4">
    <xf numFmtId="0" fontId="0" fillId="0" borderId="0"/>
    <xf numFmtId="0" fontId="6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inden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3" fillId="0" borderId="0" xfId="0" applyFont="1"/>
    <xf numFmtId="0" fontId="0" fillId="4" borderId="1" xfId="0" applyFill="1" applyBorder="1" applyAlignment="1">
      <alignment horizontal="left" indent="1"/>
    </xf>
    <xf numFmtId="0" fontId="6" fillId="0" borderId="1" xfId="1" applyBorder="1"/>
    <xf numFmtId="0" fontId="6" fillId="0" borderId="0" xfId="1"/>
    <xf numFmtId="0" fontId="9" fillId="0" borderId="1" xfId="1" applyFont="1" applyBorder="1" applyAlignment="1">
      <alignment horizontal="left"/>
    </xf>
    <xf numFmtId="0" fontId="10" fillId="0" borderId="1" xfId="1" applyFont="1" applyBorder="1" applyAlignment="1">
      <alignment horizontal="left"/>
    </xf>
    <xf numFmtId="0" fontId="10" fillId="0" borderId="1" xfId="1" applyFont="1" applyBorder="1"/>
    <xf numFmtId="0" fontId="13" fillId="0" borderId="0" xfId="0" applyFont="1"/>
    <xf numFmtId="164" fontId="15" fillId="6" borderId="5" xfId="0" applyNumberFormat="1" applyFont="1" applyFill="1" applyBorder="1" applyAlignment="1">
      <alignment horizontal="left" vertical="center"/>
    </xf>
    <xf numFmtId="164" fontId="16" fillId="6" borderId="0" xfId="0" applyNumberFormat="1" applyFont="1" applyFill="1" applyAlignment="1">
      <alignment horizontal="left" vertical="center"/>
    </xf>
    <xf numFmtId="0" fontId="18" fillId="7" borderId="8" xfId="0" applyFont="1" applyFill="1" applyBorder="1" applyAlignment="1">
      <alignment vertical="top" wrapText="1"/>
    </xf>
    <xf numFmtId="0" fontId="18" fillId="7" borderId="0" xfId="0" applyFont="1" applyFill="1" applyAlignment="1">
      <alignment vertical="top" wrapText="1"/>
    </xf>
    <xf numFmtId="0" fontId="0" fillId="7" borderId="0" xfId="0" applyFill="1"/>
    <xf numFmtId="0" fontId="18" fillId="7" borderId="9" xfId="0" applyFont="1" applyFill="1" applyBorder="1" applyAlignment="1">
      <alignment vertical="top" wrapText="1"/>
    </xf>
    <xf numFmtId="0" fontId="4" fillId="7" borderId="0" xfId="0" applyFont="1" applyFill="1"/>
    <xf numFmtId="0" fontId="18" fillId="0" borderId="0" xfId="0" applyFont="1" applyAlignment="1">
      <alignment vertical="top" wrapText="1"/>
    </xf>
    <xf numFmtId="0" fontId="14" fillId="5" borderId="0" xfId="0" applyFont="1" applyFill="1" applyAlignment="1">
      <alignment vertical="center"/>
    </xf>
    <xf numFmtId="164" fontId="15" fillId="6" borderId="0" xfId="0" applyNumberFormat="1" applyFont="1" applyFill="1" applyAlignment="1">
      <alignment horizontal="center" vertical="center"/>
    </xf>
    <xf numFmtId="0" fontId="18" fillId="7" borderId="12" xfId="0" applyFont="1" applyFill="1" applyBorder="1" applyAlignment="1">
      <alignment vertical="top" wrapText="1"/>
    </xf>
    <xf numFmtId="0" fontId="19" fillId="7" borderId="0" xfId="0" applyFont="1" applyFill="1" applyAlignment="1">
      <alignment vertical="top"/>
    </xf>
    <xf numFmtId="0" fontId="21" fillId="7" borderId="0" xfId="0" applyFont="1" applyFill="1" applyAlignment="1">
      <alignment horizontal="right"/>
    </xf>
    <xf numFmtId="0" fontId="22" fillId="7" borderId="0" xfId="0" applyFont="1" applyFill="1"/>
    <xf numFmtId="0" fontId="23" fillId="7" borderId="0" xfId="0" applyFont="1" applyFill="1"/>
    <xf numFmtId="0" fontId="0" fillId="3" borderId="1" xfId="0" applyFill="1" applyBorder="1" applyAlignment="1">
      <alignment horizontal="center" vertical="center"/>
    </xf>
    <xf numFmtId="0" fontId="19" fillId="7" borderId="0" xfId="0" applyFont="1" applyFill="1" applyAlignment="1">
      <alignment horizontal="left" vertical="top"/>
    </xf>
    <xf numFmtId="0" fontId="3" fillId="7" borderId="0" xfId="0" applyFont="1" applyFill="1"/>
    <xf numFmtId="164" fontId="24" fillId="6" borderId="14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indent="1"/>
    </xf>
    <xf numFmtId="0" fontId="6" fillId="0" borderId="15" xfId="1" applyBorder="1"/>
    <xf numFmtId="0" fontId="6" fillId="0" borderId="16" xfId="1" applyBorder="1"/>
    <xf numFmtId="0" fontId="27" fillId="0" borderId="15" xfId="0" applyFont="1" applyBorder="1" applyAlignment="1">
      <alignment horizontal="left" vertical="top" wrapText="1"/>
    </xf>
    <xf numFmtId="0" fontId="29" fillId="0" borderId="15" xfId="0" applyFont="1" applyBorder="1" applyAlignment="1">
      <alignment horizontal="left" vertical="top" wrapText="1"/>
    </xf>
    <xf numFmtId="0" fontId="7" fillId="0" borderId="1" xfId="2" applyBorder="1" applyAlignment="1">
      <alignment vertical="top"/>
    </xf>
    <xf numFmtId="0" fontId="11" fillId="0" borderId="0" xfId="1" applyFont="1"/>
    <xf numFmtId="0" fontId="30" fillId="0" borderId="0" xfId="1" applyFont="1"/>
    <xf numFmtId="0" fontId="7" fillId="0" borderId="0" xfId="3"/>
    <xf numFmtId="0" fontId="30" fillId="0" borderId="0" xfId="1" quotePrefix="1" applyFont="1"/>
    <xf numFmtId="0" fontId="11" fillId="3" borderId="1" xfId="0" applyFont="1" applyFill="1" applyBorder="1" applyAlignment="1">
      <alignment horizontal="left" vertical="center" indent="1"/>
    </xf>
    <xf numFmtId="0" fontId="0" fillId="8" borderId="0" xfId="0" applyFill="1"/>
    <xf numFmtId="0" fontId="0" fillId="8" borderId="1" xfId="0" applyFill="1" applyBorder="1" applyAlignment="1">
      <alignment horizontal="left" indent="1"/>
    </xf>
    <xf numFmtId="0" fontId="0" fillId="6" borderId="0" xfId="0" applyFill="1"/>
    <xf numFmtId="0" fontId="23" fillId="6" borderId="0" xfId="0" applyFont="1" applyFill="1"/>
    <xf numFmtId="0" fontId="12" fillId="6" borderId="0" xfId="0" applyFont="1" applyFill="1"/>
    <xf numFmtId="0" fontId="32" fillId="6" borderId="0" xfId="0" applyFont="1" applyFill="1"/>
    <xf numFmtId="0" fontId="33" fillId="6" borderId="0" xfId="3" applyFont="1" applyFill="1"/>
    <xf numFmtId="0" fontId="31" fillId="5" borderId="8" xfId="0" applyFont="1" applyFill="1" applyBorder="1" applyAlignment="1">
      <alignment horizontal="center" vertical="center"/>
    </xf>
    <xf numFmtId="0" fontId="31" fillId="5" borderId="0" xfId="0" applyFont="1" applyFill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9" fillId="0" borderId="1" xfId="1" applyFont="1" applyBorder="1" applyAlignment="1">
      <alignment horizontal="left"/>
    </xf>
    <xf numFmtId="0" fontId="8" fillId="0" borderId="1" xfId="1" applyFont="1" applyBorder="1" applyAlignment="1">
      <alignment horizontal="left"/>
    </xf>
    <xf numFmtId="0" fontId="27" fillId="0" borderId="0" xfId="0" applyFont="1" applyAlignment="1">
      <alignment horizontal="left" vertical="top" wrapText="1"/>
    </xf>
    <xf numFmtId="0" fontId="27" fillId="0" borderId="17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17" xfId="0" applyFont="1" applyBorder="1" applyAlignment="1">
      <alignment horizontal="left" vertical="top" wrapText="1"/>
    </xf>
  </cellXfs>
  <cellStyles count="4">
    <cellStyle name="Hyperlink" xfId="3" builtinId="8"/>
    <cellStyle name="Hyperlink 2" xfId="2" xr:uid="{3ABC30BA-A6C2-41AB-AC43-5D32785C7512}"/>
    <cellStyle name="Normal" xfId="0" builtinId="0"/>
    <cellStyle name="Normal 2" xfId="1" xr:uid="{BA55BB14-82B1-48DE-9EDF-C400CD3C2250}"/>
  </cellStyles>
  <dxfs count="1">
    <dxf>
      <border>
        <bottom style="thin">
          <color rgb="FF00B050"/>
        </bottom>
        <vertical/>
        <horizontal/>
      </border>
    </dxf>
  </dxfs>
  <tableStyles count="0" defaultTableStyle="TableStyleMedium2" defaultPivotStyle="PivotStyleLight16"/>
  <colors>
    <mruColors>
      <color rgb="FF0010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belajarexcel.id/xl-test/jawaban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1386839</xdr:colOff>
      <xdr:row>16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1FA82A-8DBE-4FAB-90C5-57F132BED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34799" cy="2933700"/>
        </a:xfrm>
        <a:prstGeom prst="rect">
          <a:avLst/>
        </a:prstGeom>
      </xdr:spPr>
    </xdr:pic>
    <xdr:clientData/>
  </xdr:twoCellAnchor>
  <xdr:oneCellAnchor>
    <xdr:from>
      <xdr:col>17</xdr:col>
      <xdr:colOff>434340</xdr:colOff>
      <xdr:row>0</xdr:row>
      <xdr:rowOff>15240</xdr:rowOff>
    </xdr:from>
    <xdr:ext cx="1119730" cy="40543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E044D20-D6A2-4C9A-AA6B-E67DD6E59B59}"/>
            </a:ext>
          </a:extLst>
        </xdr:cNvPr>
        <xdr:cNvSpPr txBox="1"/>
      </xdr:nvSpPr>
      <xdr:spPr>
        <a:xfrm>
          <a:off x="10538460" y="15240"/>
          <a:ext cx="111973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2000" b="1">
              <a:solidFill>
                <a:schemeClr val="bg1"/>
              </a:solidFill>
            </a:rPr>
            <a:t>SBEE002</a:t>
          </a:r>
        </a:p>
      </xdr:txBody>
    </xdr:sp>
    <xdr:clientData/>
  </xdr:oneCellAnchor>
  <xdr:twoCellAnchor editAs="oneCell">
    <xdr:from>
      <xdr:col>5</xdr:col>
      <xdr:colOff>297180</xdr:colOff>
      <xdr:row>13</xdr:row>
      <xdr:rowOff>106680</xdr:rowOff>
    </xdr:from>
    <xdr:to>
      <xdr:col>6</xdr:col>
      <xdr:colOff>398780</xdr:colOff>
      <xdr:row>17</xdr:row>
      <xdr:rowOff>22860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1034C45-7FD3-47AE-827D-C7B585ABD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0" y="2484120"/>
          <a:ext cx="1511300" cy="647700"/>
        </a:xfrm>
        <a:prstGeom prst="rect">
          <a:avLst/>
        </a:prstGeom>
      </xdr:spPr>
    </xdr:pic>
    <xdr:clientData/>
  </xdr:twoCellAnchor>
  <xdr:twoCellAnchor>
    <xdr:from>
      <xdr:col>3</xdr:col>
      <xdr:colOff>251460</xdr:colOff>
      <xdr:row>35</xdr:row>
      <xdr:rowOff>114300</xdr:rowOff>
    </xdr:from>
    <xdr:to>
      <xdr:col>4</xdr:col>
      <xdr:colOff>800100</xdr:colOff>
      <xdr:row>37</xdr:row>
      <xdr:rowOff>68580</xdr:rowOff>
    </xdr:to>
    <xdr:sp macro="" textlink="">
      <xdr:nvSpPr>
        <xdr:cNvPr id="11" name="Rectangle: Rounded Corner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322D76A-3F50-4C40-8D0E-5E23FC6C1A6F}"/>
            </a:ext>
          </a:extLst>
        </xdr:cNvPr>
        <xdr:cNvSpPr/>
      </xdr:nvSpPr>
      <xdr:spPr>
        <a:xfrm>
          <a:off x="2849880" y="7147560"/>
          <a:ext cx="1897380" cy="35052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oneCellAnchor>
    <xdr:from>
      <xdr:col>9</xdr:col>
      <xdr:colOff>533400</xdr:colOff>
      <xdr:row>0</xdr:row>
      <xdr:rowOff>15240</xdr:rowOff>
    </xdr:from>
    <xdr:ext cx="731419" cy="405432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BA42CD9-CC7C-4F35-BD21-A529B8C3ACB2}"/>
            </a:ext>
          </a:extLst>
        </xdr:cNvPr>
        <xdr:cNvSpPr txBox="1"/>
      </xdr:nvSpPr>
      <xdr:spPr>
        <a:xfrm>
          <a:off x="10881360" y="15240"/>
          <a:ext cx="7314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2000" b="1">
              <a:solidFill>
                <a:schemeClr val="bg1"/>
              </a:solidFill>
            </a:rPr>
            <a:t>EASY</a:t>
          </a:r>
        </a:p>
      </xdr:txBody>
    </xdr:sp>
    <xdr:clientData/>
  </xdr:oneCellAnchor>
  <xdr:twoCellAnchor editAs="oneCell">
    <xdr:from>
      <xdr:col>0</xdr:col>
      <xdr:colOff>99060</xdr:colOff>
      <xdr:row>75</xdr:row>
      <xdr:rowOff>45720</xdr:rowOff>
    </xdr:from>
    <xdr:to>
      <xdr:col>1</xdr:col>
      <xdr:colOff>662940</xdr:colOff>
      <xdr:row>81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129E7EA-44C2-4783-9096-018ABF817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060" y="15651480"/>
          <a:ext cx="1051560" cy="1051560"/>
        </a:xfrm>
        <a:prstGeom prst="rect">
          <a:avLst/>
        </a:prstGeom>
      </xdr:spPr>
    </xdr:pic>
    <xdr:clientData/>
  </xdr:twoCellAnchor>
  <xdr:twoCellAnchor editAs="oneCell">
    <xdr:from>
      <xdr:col>9</xdr:col>
      <xdr:colOff>1386839</xdr:colOff>
      <xdr:row>0</xdr:row>
      <xdr:rowOff>0</xdr:rowOff>
    </xdr:from>
    <xdr:to>
      <xdr:col>11</xdr:col>
      <xdr:colOff>41858</xdr:colOff>
      <xdr:row>16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BB83F1-E262-48F0-B4F1-3B980696F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34799" y="0"/>
          <a:ext cx="1878279" cy="29260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CD7626E7-0281-4A54-BFB7-02E62C12F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twoCellAnchor editAs="oneCell">
    <xdr:from>
      <xdr:col>1</xdr:col>
      <xdr:colOff>525780</xdr:colOff>
      <xdr:row>1</xdr:row>
      <xdr:rowOff>0</xdr:rowOff>
    </xdr:from>
    <xdr:to>
      <xdr:col>4</xdr:col>
      <xdr:colOff>205740</xdr:colOff>
      <xdr:row>14</xdr:row>
      <xdr:rowOff>91692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9110C0-806E-4737-9338-505DC4DDF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2020" y="182880"/>
          <a:ext cx="1584960" cy="2469132"/>
        </a:xfrm>
        <a:prstGeom prst="rect">
          <a:avLst/>
        </a:prstGeom>
      </xdr:spPr>
    </xdr:pic>
    <xdr:clientData/>
  </xdr:two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5" name="Picture 4">
          <a:extLst>
            <a:ext uri="{FF2B5EF4-FFF2-40B4-BE49-F238E27FC236}">
              <a16:creationId xmlns:a16="http://schemas.microsoft.com/office/drawing/2014/main" id="{3F8AA1BF-E7C7-44E1-A1D8-DEC7749C6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2440" y="5646420"/>
          <a:ext cx="960120" cy="9601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lynk.id/setiadi/page/jawaban-xl-tes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76362-2D28-41AB-A03C-F346A453980B}">
  <sheetPr codeName="Sheet1"/>
  <dimension ref="A5:Q82"/>
  <sheetViews>
    <sheetView tabSelected="1" topLeftCell="C28" workbookViewId="0">
      <selection activeCell="F18" sqref="F18"/>
    </sheetView>
  </sheetViews>
  <sheetFormatPr defaultRowHeight="15"/>
  <cols>
    <col min="1" max="1" width="7.140625" customWidth="1"/>
    <col min="2" max="2" width="11.28515625" customWidth="1"/>
    <col min="3" max="3" width="19.5703125" customWidth="1"/>
    <col min="4" max="4" width="19.7109375" customWidth="1"/>
    <col min="5" max="5" width="21.42578125" customWidth="1"/>
    <col min="6" max="6" width="20.5703125" bestFit="1" customWidth="1"/>
    <col min="7" max="7" width="15.7109375" customWidth="1"/>
    <col min="8" max="8" width="16.7109375" customWidth="1"/>
    <col min="9" max="9" width="18.85546875" customWidth="1"/>
    <col min="10" max="10" width="24.140625" customWidth="1"/>
    <col min="11" max="11" width="22.85546875" customWidth="1"/>
    <col min="12" max="12" width="16" customWidth="1"/>
  </cols>
  <sheetData>
    <row r="5" spans="16:17">
      <c r="P5" s="13"/>
      <c r="Q5" s="13"/>
    </row>
    <row r="6" spans="16:17">
      <c r="P6" s="13"/>
      <c r="Q6" s="13"/>
    </row>
    <row r="7" spans="16:17">
      <c r="P7" s="13"/>
      <c r="Q7" s="13"/>
    </row>
    <row r="8" spans="16:17">
      <c r="P8" s="13"/>
      <c r="Q8" s="13"/>
    </row>
    <row r="9" spans="16:17">
      <c r="P9" s="13"/>
      <c r="Q9" s="13"/>
    </row>
    <row r="10" spans="16:17">
      <c r="P10" s="13"/>
      <c r="Q10" s="13"/>
    </row>
    <row r="18" spans="1:11" ht="23.25">
      <c r="A18" s="59" t="s">
        <v>21</v>
      </c>
      <c r="B18" s="59"/>
      <c r="C18" s="23" t="s">
        <v>31</v>
      </c>
      <c r="E18" s="22" t="s">
        <v>22</v>
      </c>
      <c r="F18" s="14" t="str">
        <f ca="1">Kode_jawaban</f>
        <v>EL3|49-B70;27-1070;60-DF0;3C-E70;22-E36;5B-C50;34-1176</v>
      </c>
      <c r="G18" s="15"/>
      <c r="H18" s="15"/>
      <c r="I18" s="15"/>
      <c r="J18" s="15"/>
      <c r="K18" s="15"/>
    </row>
    <row r="20" spans="1:11" ht="23.25">
      <c r="A20" s="53" t="s">
        <v>52</v>
      </c>
      <c r="B20" s="54"/>
      <c r="C20" s="54"/>
      <c r="D20" s="54"/>
      <c r="E20" s="54"/>
      <c r="F20" s="54"/>
      <c r="G20" s="54"/>
      <c r="H20" s="54"/>
      <c r="I20" s="54"/>
      <c r="J20" s="54"/>
      <c r="K20" s="55"/>
    </row>
    <row r="21" spans="1:11" ht="15.75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24"/>
    </row>
    <row r="22" spans="1:11" ht="15.75">
      <c r="A22" s="18"/>
      <c r="B22" s="30" t="s">
        <v>57</v>
      </c>
      <c r="D22" s="18"/>
      <c r="E22" s="17"/>
      <c r="F22" s="17"/>
      <c r="G22" s="17"/>
      <c r="H22" s="17"/>
      <c r="I22" s="17"/>
      <c r="J22" s="17"/>
      <c r="K22" s="19"/>
    </row>
    <row r="23" spans="1:11" ht="15.75">
      <c r="A23" s="18"/>
      <c r="B23" s="18"/>
      <c r="C23" s="25"/>
      <c r="E23" s="17"/>
      <c r="F23" s="17"/>
      <c r="G23" s="17"/>
      <c r="H23" s="17"/>
      <c r="I23" s="17"/>
      <c r="J23" s="17"/>
      <c r="K23" s="19"/>
    </row>
    <row r="24" spans="1:11" ht="15.75">
      <c r="A24" s="18"/>
      <c r="B24" s="26" t="s">
        <v>55</v>
      </c>
      <c r="C24" s="27" t="s">
        <v>53</v>
      </c>
      <c r="D24" s="18"/>
      <c r="E24" s="18"/>
      <c r="F24" s="17"/>
      <c r="G24" s="18"/>
      <c r="H24" s="18"/>
      <c r="I24" s="17"/>
      <c r="J24" s="17"/>
      <c r="K24" s="19"/>
    </row>
    <row r="25" spans="1:11" ht="15.75">
      <c r="A25" s="18"/>
      <c r="B25" s="28">
        <v>1</v>
      </c>
      <c r="C25" s="18" t="s">
        <v>63</v>
      </c>
      <c r="D25" s="18"/>
      <c r="E25" s="18"/>
      <c r="F25" s="17"/>
      <c r="G25" s="18"/>
      <c r="H25" s="18"/>
      <c r="I25" s="17"/>
      <c r="J25" s="17"/>
      <c r="K25" s="19"/>
    </row>
    <row r="26" spans="1:11" ht="15.75">
      <c r="A26" s="18"/>
      <c r="B26" s="28">
        <v>2</v>
      </c>
      <c r="C26" s="18" t="s">
        <v>62</v>
      </c>
      <c r="D26" s="18"/>
      <c r="E26" s="18"/>
      <c r="F26" s="17"/>
      <c r="G26" s="18"/>
      <c r="H26" s="18"/>
      <c r="I26" s="17"/>
      <c r="J26" s="17"/>
      <c r="K26" s="19"/>
    </row>
    <row r="27" spans="1:11" ht="15.75">
      <c r="A27" s="18"/>
      <c r="B27" s="28">
        <v>3</v>
      </c>
      <c r="C27" s="18" t="s">
        <v>61</v>
      </c>
      <c r="D27" s="18"/>
      <c r="E27" s="18"/>
      <c r="F27" s="17"/>
      <c r="G27" s="18"/>
      <c r="H27" s="18"/>
      <c r="I27" s="17"/>
      <c r="J27" s="17"/>
      <c r="K27" s="19"/>
    </row>
    <row r="28" spans="1:11" ht="15.75">
      <c r="A28" s="18"/>
      <c r="B28" s="28">
        <v>4</v>
      </c>
      <c r="C28" s="18" t="s">
        <v>60</v>
      </c>
      <c r="D28" s="18"/>
      <c r="E28" s="18"/>
      <c r="F28" s="17"/>
      <c r="G28" s="18"/>
      <c r="H28" s="18"/>
      <c r="I28" s="17"/>
      <c r="J28" s="17"/>
      <c r="K28" s="19"/>
    </row>
    <row r="29" spans="1:11" ht="15.75">
      <c r="A29" s="18"/>
      <c r="B29" s="28">
        <v>5</v>
      </c>
      <c r="C29" s="18" t="s">
        <v>84</v>
      </c>
      <c r="D29" s="18"/>
      <c r="E29" s="18"/>
      <c r="F29" s="17"/>
      <c r="G29" s="18"/>
      <c r="H29" s="18"/>
      <c r="I29" s="17"/>
      <c r="J29" s="17"/>
      <c r="K29" s="19"/>
    </row>
    <row r="30" spans="1:11" ht="15.75">
      <c r="A30" s="18"/>
      <c r="B30" s="18"/>
      <c r="C30" s="18" t="s">
        <v>58</v>
      </c>
      <c r="D30" s="18"/>
      <c r="E30" s="18"/>
      <c r="F30" s="17"/>
      <c r="G30" s="18"/>
      <c r="H30" s="18"/>
      <c r="I30" s="17"/>
      <c r="J30" s="17"/>
      <c r="K30" s="19"/>
    </row>
    <row r="31" spans="1:11" ht="15.75">
      <c r="A31" s="18"/>
      <c r="B31" s="31">
        <v>6</v>
      </c>
      <c r="C31" s="18" t="s">
        <v>93</v>
      </c>
      <c r="D31" s="18"/>
      <c r="E31" s="18"/>
      <c r="F31" s="17"/>
      <c r="G31" s="18"/>
      <c r="H31" s="18"/>
      <c r="I31" s="17"/>
      <c r="J31" s="17"/>
      <c r="K31" s="19"/>
    </row>
    <row r="32" spans="1:11" ht="15.75">
      <c r="A32" s="18"/>
      <c r="B32" s="31">
        <v>7</v>
      </c>
      <c r="C32" s="18" t="s">
        <v>85</v>
      </c>
      <c r="D32" s="18"/>
      <c r="E32" s="18"/>
      <c r="F32" s="17"/>
      <c r="G32" s="18"/>
      <c r="H32" s="18"/>
      <c r="I32" s="17"/>
      <c r="J32" s="17"/>
      <c r="K32" s="19"/>
    </row>
    <row r="33" spans="1:11" ht="15.75">
      <c r="A33" s="18"/>
      <c r="B33" s="18"/>
      <c r="C33" s="18" t="s">
        <v>82</v>
      </c>
      <c r="D33" s="18"/>
      <c r="E33" s="18"/>
      <c r="F33" s="17"/>
      <c r="G33" s="18"/>
      <c r="H33" s="18"/>
      <c r="I33" s="17"/>
      <c r="J33" s="17"/>
      <c r="K33" s="19"/>
    </row>
    <row r="34" spans="1:11" ht="15.75">
      <c r="A34" s="18"/>
      <c r="B34" s="18"/>
      <c r="C34" s="18"/>
      <c r="D34" s="18"/>
      <c r="E34" s="18"/>
      <c r="F34" s="17"/>
      <c r="G34" s="18"/>
      <c r="H34" s="18"/>
      <c r="I34" s="17"/>
      <c r="J34" s="17"/>
      <c r="K34" s="19"/>
    </row>
    <row r="35" spans="1:11" ht="15.75">
      <c r="A35" s="18"/>
      <c r="B35" s="18"/>
      <c r="C35" s="20" t="s">
        <v>56</v>
      </c>
      <c r="D35" s="18"/>
      <c r="E35" s="18"/>
      <c r="F35" s="17"/>
      <c r="G35" s="18"/>
      <c r="H35" s="18"/>
      <c r="I35" s="17"/>
      <c r="J35" s="17"/>
      <c r="K35" s="19"/>
    </row>
    <row r="36" spans="1:11" ht="15.75">
      <c r="A36" s="18"/>
      <c r="B36" s="18"/>
      <c r="C36" s="20" t="s">
        <v>54</v>
      </c>
      <c r="D36" s="18"/>
      <c r="E36" s="17"/>
      <c r="F36" s="17"/>
      <c r="G36" s="18"/>
      <c r="H36" s="18"/>
      <c r="I36" s="17"/>
      <c r="J36" s="17"/>
      <c r="K36" s="19"/>
    </row>
    <row r="37" spans="1:11" ht="15.75">
      <c r="A37" s="18"/>
      <c r="B37" s="18"/>
      <c r="C37" s="18"/>
      <c r="E37" s="17"/>
      <c r="F37" s="17"/>
      <c r="G37" s="18"/>
      <c r="H37" s="18"/>
      <c r="I37" s="17"/>
      <c r="J37" s="17"/>
      <c r="K37" s="19"/>
    </row>
    <row r="38" spans="1:11" ht="15.75">
      <c r="A38" s="18"/>
      <c r="B38" s="18"/>
      <c r="C38" s="20"/>
      <c r="D38" s="17"/>
      <c r="E38" s="17"/>
      <c r="F38" s="17"/>
      <c r="G38" s="18"/>
      <c r="H38" s="18"/>
      <c r="I38" s="17"/>
      <c r="J38" s="17"/>
      <c r="K38" s="19"/>
    </row>
    <row r="39" spans="1:11" ht="23.25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8"/>
    </row>
    <row r="40" spans="1:11" ht="15.75">
      <c r="A40" s="21"/>
      <c r="C40" s="21"/>
      <c r="D40" s="21"/>
      <c r="E40" s="21"/>
      <c r="F40" s="21"/>
      <c r="G40" s="21"/>
      <c r="H40" s="21"/>
      <c r="I40" s="21"/>
      <c r="J40" s="21"/>
      <c r="K40" s="21"/>
    </row>
    <row r="41" spans="1:11" ht="16.5" thickBot="1">
      <c r="A41" s="21"/>
      <c r="C41" s="21"/>
      <c r="D41" s="21"/>
      <c r="E41" s="21"/>
      <c r="F41" s="21"/>
      <c r="G41" s="21"/>
      <c r="H41" s="21"/>
      <c r="I41" s="21"/>
      <c r="J41" s="21"/>
      <c r="K41" s="21"/>
    </row>
    <row r="42" spans="1:11" ht="16.5" thickBot="1">
      <c r="D42" s="32">
        <v>1</v>
      </c>
      <c r="E42" s="32">
        <v>2</v>
      </c>
      <c r="F42" s="32">
        <v>3</v>
      </c>
      <c r="G42" s="32">
        <v>4</v>
      </c>
      <c r="H42" s="32">
        <v>5</v>
      </c>
      <c r="I42" s="32">
        <v>6</v>
      </c>
      <c r="K42" s="32">
        <v>7</v>
      </c>
    </row>
    <row r="43" spans="1:11" ht="31.9" customHeight="1">
      <c r="B43" s="1" t="s">
        <v>6</v>
      </c>
      <c r="C43" s="1" t="s">
        <v>0</v>
      </c>
      <c r="D43" s="4" t="s">
        <v>3</v>
      </c>
      <c r="E43" s="4" t="s">
        <v>4</v>
      </c>
      <c r="F43" s="4" t="s">
        <v>5</v>
      </c>
      <c r="G43" s="4" t="s">
        <v>7</v>
      </c>
      <c r="H43" s="2" t="s">
        <v>83</v>
      </c>
      <c r="I43" s="2" t="s">
        <v>94</v>
      </c>
      <c r="J43" s="2" t="s">
        <v>95</v>
      </c>
      <c r="K43" s="2" t="s">
        <v>64</v>
      </c>
    </row>
    <row r="44" spans="1:11" ht="19.899999999999999" customHeight="1">
      <c r="B44" s="43" t="s">
        <v>92</v>
      </c>
      <c r="C44" s="3" t="s">
        <v>8</v>
      </c>
      <c r="D44" s="7" t="s">
        <v>32</v>
      </c>
      <c r="E44" s="7" t="s">
        <v>33</v>
      </c>
      <c r="F44" s="7" t="s">
        <v>34</v>
      </c>
      <c r="G44" s="7" t="s">
        <v>35</v>
      </c>
      <c r="H44" s="7" t="s">
        <v>59</v>
      </c>
      <c r="I44" s="7" t="s">
        <v>36</v>
      </c>
      <c r="J44" s="33" t="s">
        <v>80</v>
      </c>
      <c r="K44" s="7" t="s">
        <v>81</v>
      </c>
    </row>
    <row r="45" spans="1:11" ht="5.45" customHeight="1">
      <c r="B45" s="44"/>
      <c r="C45" s="44"/>
      <c r="D45" s="45"/>
      <c r="E45" s="45"/>
      <c r="F45" s="45"/>
      <c r="G45" s="45"/>
      <c r="H45" s="45"/>
      <c r="I45" s="45"/>
      <c r="J45" s="45"/>
      <c r="K45" s="44"/>
    </row>
    <row r="46" spans="1:11" ht="19.899999999999999" customHeight="1">
      <c r="B46" s="29">
        <v>1</v>
      </c>
      <c r="C46" s="3" t="s">
        <v>13</v>
      </c>
      <c r="D46" s="7" t="str">
        <f>UPPER(C46)</f>
        <v>ANDI SAPUTRA</v>
      </c>
      <c r="E46" s="7" t="str">
        <f>LOWER(C46)</f>
        <v>andi saputra</v>
      </c>
      <c r="F46" s="7" t="str">
        <f>PROPER(C46)</f>
        <v>Andi Saputra</v>
      </c>
      <c r="G46" s="7" t="str">
        <f>REPLACE(LOWER(C46),1,1,UPPER(LEFT(C46,1)))</f>
        <v>Andi saputra</v>
      </c>
      <c r="H46" s="7" t="str">
        <f>IF(EXACT(C46,LOWER(C46)),"Huruf Kecil", IF(EXACT(C46,UPPER(C46)),"Huruf Besar","Huruf Campur"))</f>
        <v>Huruf Kecil</v>
      </c>
      <c r="I46" s="7" t="str">
        <f>REPLACE(REPLACE(LOWER(TRIM(C46)), 1, 1, UPPER(LEFT(TRIM(C46), 1))), LEN(TRIM(C46)), 1, UPPER(RIGHT(TRIM(C46), 1)))</f>
        <v>Andi saputrA</v>
      </c>
      <c r="J46" s="33" t="s">
        <v>65</v>
      </c>
      <c r="K46" s="7" t="str">
        <f>REPLACE(PROPER(TRIM(J46)),1,3,UPPER(LEFT(TRIM(J46),3)))</f>
        <v>SD Nusantara Cemerlang</v>
      </c>
    </row>
    <row r="47" spans="1:11" ht="19.899999999999999" customHeight="1">
      <c r="B47" s="29">
        <v>2</v>
      </c>
      <c r="C47" s="3" t="s">
        <v>9</v>
      </c>
      <c r="D47" s="7" t="str">
        <f t="shared" ref="D47:D60" si="0">UPPER(C47)</f>
        <v>BUDI SANTOSO</v>
      </c>
      <c r="E47" s="7" t="str">
        <f t="shared" ref="E47:E60" si="1">LOWER(C47)</f>
        <v>budi santoso</v>
      </c>
      <c r="F47" s="7" t="str">
        <f t="shared" ref="F47:F60" si="2">PROPER(C47)</f>
        <v>Budi Santoso</v>
      </c>
      <c r="G47" s="7" t="str">
        <f t="shared" ref="G47:G60" si="3">REPLACE(LOWER(C47),1,1,UPPER(LEFT(C47,1)))</f>
        <v>Budi santoso</v>
      </c>
      <c r="H47" s="7" t="str">
        <f t="shared" ref="H47:H60" si="4">IF(EXACT(C47,LOWER(C47)),"Huruf Kecil", IF(EXACT(C47,UPPER(C47)),"Huruf Besar","Huruf Campur"))</f>
        <v>Huruf Campur</v>
      </c>
      <c r="I47" s="7" t="str">
        <f t="shared" ref="I47:I60" si="5">REPLACE(REPLACE(LOWER(TRIM(C47)), 1, 1, UPPER(LEFT(TRIM(C47), 1))), LEN(TRIM(C47)), 1, UPPER(RIGHT(TRIM(C47), 1)))</f>
        <v>Budi santosO</v>
      </c>
      <c r="J47" s="33" t="s">
        <v>66</v>
      </c>
      <c r="K47" s="7" t="str">
        <f t="shared" ref="K47:K60" si="6">REPLACE(PROPER(TRIM(J47)),1,3,UPPER(LEFT(TRIM(J47),3)))</f>
        <v>SMP Bina Karya Utama</v>
      </c>
    </row>
    <row r="48" spans="1:11" ht="19.899999999999999" customHeight="1">
      <c r="B48" s="29">
        <v>3</v>
      </c>
      <c r="C48" s="3" t="s">
        <v>14</v>
      </c>
      <c r="D48" s="7" t="str">
        <f t="shared" si="0"/>
        <v>CITRA DEWI</v>
      </c>
      <c r="E48" s="7" t="str">
        <f t="shared" si="1"/>
        <v>citra dewi</v>
      </c>
      <c r="F48" s="7" t="str">
        <f t="shared" si="2"/>
        <v>Citra Dewi</v>
      </c>
      <c r="G48" s="7" t="str">
        <f t="shared" si="3"/>
        <v>Citra dewi</v>
      </c>
      <c r="H48" s="7" t="str">
        <f t="shared" si="4"/>
        <v>Huruf Besar</v>
      </c>
      <c r="I48" s="7" t="str">
        <f t="shared" si="5"/>
        <v>Citra dewI</v>
      </c>
      <c r="J48" s="33" t="s">
        <v>67</v>
      </c>
      <c r="K48" s="7" t="str">
        <f t="shared" si="6"/>
        <v>SMA Global Prestasi</v>
      </c>
    </row>
    <row r="49" spans="2:11" ht="19.899999999999999" customHeight="1">
      <c r="B49" s="29">
        <v>4</v>
      </c>
      <c r="C49" s="3" t="s">
        <v>1</v>
      </c>
      <c r="D49" s="7" t="str">
        <f t="shared" si="0"/>
        <v>DIAN PRASETYO</v>
      </c>
      <c r="E49" s="7" t="str">
        <f t="shared" si="1"/>
        <v>dian prasetyo</v>
      </c>
      <c r="F49" s="7" t="str">
        <f t="shared" si="2"/>
        <v>Dian Prasetyo</v>
      </c>
      <c r="G49" s="7" t="str">
        <f t="shared" si="3"/>
        <v>Dian prasetyo</v>
      </c>
      <c r="H49" s="7" t="str">
        <f t="shared" si="4"/>
        <v>Huruf Campur</v>
      </c>
      <c r="I49" s="7" t="str">
        <f t="shared" si="5"/>
        <v>Dian prasetyO</v>
      </c>
      <c r="J49" s="33" t="s">
        <v>68</v>
      </c>
      <c r="K49" s="7" t="str">
        <f t="shared" si="6"/>
        <v>SD Pelita Insan Mulia</v>
      </c>
    </row>
    <row r="50" spans="2:11" ht="19.899999999999999" customHeight="1">
      <c r="B50" s="29">
        <v>5</v>
      </c>
      <c r="C50" s="3" t="s">
        <v>19</v>
      </c>
      <c r="D50" s="7" t="str">
        <f t="shared" si="0"/>
        <v>EKO WAHYUDI</v>
      </c>
      <c r="E50" s="7" t="str">
        <f t="shared" si="1"/>
        <v>eko wahyudi</v>
      </c>
      <c r="F50" s="7" t="str">
        <f t="shared" si="2"/>
        <v>Eko Wahyudi</v>
      </c>
      <c r="G50" s="7" t="str">
        <f t="shared" si="3"/>
        <v>Eko wahyudi</v>
      </c>
      <c r="H50" s="7" t="str">
        <f t="shared" si="4"/>
        <v>Huruf Besar</v>
      </c>
      <c r="I50" s="7" t="str">
        <f t="shared" si="5"/>
        <v>Eko wahyudI</v>
      </c>
      <c r="J50" s="33" t="s">
        <v>79</v>
      </c>
      <c r="K50" s="7" t="str">
        <f t="shared" si="6"/>
        <v>SMA Sinar Abudi</v>
      </c>
    </row>
    <row r="51" spans="2:11" ht="19.899999999999999" customHeight="1">
      <c r="B51" s="29">
        <v>6</v>
      </c>
      <c r="C51" s="3" t="s">
        <v>20</v>
      </c>
      <c r="D51" s="7" t="str">
        <f t="shared" si="0"/>
        <v>FITRI ANJANI</v>
      </c>
      <c r="E51" s="7" t="str">
        <f t="shared" si="1"/>
        <v>fitri anjani</v>
      </c>
      <c r="F51" s="7" t="str">
        <f t="shared" si="2"/>
        <v>Fitri Anjani</v>
      </c>
      <c r="G51" s="7" t="str">
        <f t="shared" si="3"/>
        <v>Fitri anjani</v>
      </c>
      <c r="H51" s="7" t="str">
        <f t="shared" si="4"/>
        <v>Huruf Kecil</v>
      </c>
      <c r="I51" s="7" t="str">
        <f t="shared" si="5"/>
        <v>Fitri anjanI</v>
      </c>
      <c r="J51" s="33" t="s">
        <v>69</v>
      </c>
      <c r="K51" s="7" t="str">
        <f t="shared" si="6"/>
        <v>SMP Tunas Bangsa</v>
      </c>
    </row>
    <row r="52" spans="2:11" ht="19.899999999999999" customHeight="1">
      <c r="B52" s="29">
        <v>7</v>
      </c>
      <c r="C52" s="3" t="s">
        <v>10</v>
      </c>
      <c r="D52" s="7" t="str">
        <f t="shared" si="0"/>
        <v>GALIH PERMANA</v>
      </c>
      <c r="E52" s="7" t="str">
        <f t="shared" si="1"/>
        <v>galih permana</v>
      </c>
      <c r="F52" s="7" t="str">
        <f t="shared" si="2"/>
        <v>Galih Permana</v>
      </c>
      <c r="G52" s="7" t="str">
        <f t="shared" si="3"/>
        <v>Galih permana</v>
      </c>
      <c r="H52" s="7" t="str">
        <f t="shared" si="4"/>
        <v>Huruf Campur</v>
      </c>
      <c r="I52" s="7" t="str">
        <f t="shared" si="5"/>
        <v>Galih permanA</v>
      </c>
      <c r="J52" s="33" t="s">
        <v>70</v>
      </c>
      <c r="K52" s="7" t="str">
        <f t="shared" si="6"/>
        <v>SMA Cendekia Mandiri</v>
      </c>
    </row>
    <row r="53" spans="2:11" ht="19.899999999999999" customHeight="1">
      <c r="B53" s="29">
        <v>8</v>
      </c>
      <c r="C53" s="3" t="s">
        <v>2</v>
      </c>
      <c r="D53" s="7" t="str">
        <f t="shared" si="0"/>
        <v>HENDRA GUNAWAN</v>
      </c>
      <c r="E53" s="7" t="str">
        <f t="shared" si="1"/>
        <v>hendra gunawan</v>
      </c>
      <c r="F53" s="7" t="str">
        <f t="shared" si="2"/>
        <v>Hendra Gunawan</v>
      </c>
      <c r="G53" s="7" t="str">
        <f t="shared" si="3"/>
        <v>Hendra gunawan</v>
      </c>
      <c r="H53" s="7" t="str">
        <f t="shared" si="4"/>
        <v>Huruf Campur</v>
      </c>
      <c r="I53" s="7" t="str">
        <f t="shared" si="5"/>
        <v>Hendra gunawaN</v>
      </c>
      <c r="J53" s="33" t="s">
        <v>71</v>
      </c>
      <c r="K53" s="7" t="str">
        <f t="shared" si="6"/>
        <v>SD Bhakti Pertiwi</v>
      </c>
    </row>
    <row r="54" spans="2:11" ht="19.899999999999999" customHeight="1">
      <c r="B54" s="29">
        <v>9</v>
      </c>
      <c r="C54" s="3" t="s">
        <v>16</v>
      </c>
      <c r="D54" s="7" t="str">
        <f t="shared" si="0"/>
        <v>INDAH SARI</v>
      </c>
      <c r="E54" s="7" t="str">
        <f t="shared" si="1"/>
        <v>indah sari</v>
      </c>
      <c r="F54" s="7" t="str">
        <f t="shared" si="2"/>
        <v>Indah Sari</v>
      </c>
      <c r="G54" s="7" t="str">
        <f t="shared" si="3"/>
        <v>Indah sari</v>
      </c>
      <c r="H54" s="7" t="str">
        <f t="shared" si="4"/>
        <v>Huruf Kecil</v>
      </c>
      <c r="I54" s="7" t="str">
        <f t="shared" si="5"/>
        <v>Indah sarI</v>
      </c>
      <c r="J54" s="33" t="s">
        <v>72</v>
      </c>
      <c r="K54" s="7" t="str">
        <f t="shared" si="6"/>
        <v>SMP Mekar Jaya Abadi</v>
      </c>
    </row>
    <row r="55" spans="2:11" ht="19.899999999999999" customHeight="1">
      <c r="B55" s="29">
        <v>10</v>
      </c>
      <c r="C55" s="3" t="s">
        <v>15</v>
      </c>
      <c r="D55" s="7" t="str">
        <f t="shared" si="0"/>
        <v>JOKO SUSILO</v>
      </c>
      <c r="E55" s="7" t="str">
        <f t="shared" si="1"/>
        <v>joko susilo</v>
      </c>
      <c r="F55" s="7" t="str">
        <f t="shared" si="2"/>
        <v>Joko Susilo</v>
      </c>
      <c r="G55" s="7" t="str">
        <f t="shared" si="3"/>
        <v>Joko susilo</v>
      </c>
      <c r="H55" s="7" t="str">
        <f t="shared" si="4"/>
        <v>Huruf Besar</v>
      </c>
      <c r="I55" s="7" t="str">
        <f t="shared" si="5"/>
        <v>Joko susilO</v>
      </c>
      <c r="J55" s="33" t="s">
        <v>73</v>
      </c>
      <c r="K55" s="7" t="str">
        <f t="shared" si="6"/>
        <v>SMA Pusaka Nusantara</v>
      </c>
    </row>
    <row r="56" spans="2:11" ht="19.899999999999999" customHeight="1">
      <c r="B56" s="29">
        <v>11</v>
      </c>
      <c r="C56" s="3" t="s">
        <v>11</v>
      </c>
      <c r="D56" s="7" t="str">
        <f t="shared" si="0"/>
        <v>KARTIKA PUTRI</v>
      </c>
      <c r="E56" s="7" t="str">
        <f t="shared" si="1"/>
        <v>kartika putri</v>
      </c>
      <c r="F56" s="7" t="str">
        <f t="shared" si="2"/>
        <v>Kartika Putri</v>
      </c>
      <c r="G56" s="7" t="str">
        <f t="shared" si="3"/>
        <v>Kartika putri</v>
      </c>
      <c r="H56" s="7" t="str">
        <f t="shared" si="4"/>
        <v>Huruf Campur</v>
      </c>
      <c r="I56" s="7" t="str">
        <f t="shared" si="5"/>
        <v>Kartika putrI</v>
      </c>
      <c r="J56" s="33" t="s">
        <v>74</v>
      </c>
      <c r="K56" s="7" t="str">
        <f t="shared" si="6"/>
        <v>SD Citra Harapan</v>
      </c>
    </row>
    <row r="57" spans="2:11" ht="19.899999999999999" customHeight="1">
      <c r="B57" s="29">
        <v>12</v>
      </c>
      <c r="C57" s="3" t="s">
        <v>17</v>
      </c>
      <c r="D57" s="7" t="str">
        <f t="shared" si="0"/>
        <v>LESTARI AYU</v>
      </c>
      <c r="E57" s="7" t="str">
        <f t="shared" si="1"/>
        <v>lestari ayu</v>
      </c>
      <c r="F57" s="7" t="str">
        <f t="shared" si="2"/>
        <v>Lestari Ayu</v>
      </c>
      <c r="G57" s="7" t="str">
        <f t="shared" si="3"/>
        <v>Lestari ayu</v>
      </c>
      <c r="H57" s="7" t="str">
        <f t="shared" si="4"/>
        <v>Huruf Besar</v>
      </c>
      <c r="I57" s="7" t="str">
        <f t="shared" si="5"/>
        <v>Lestari ayU</v>
      </c>
      <c r="J57" s="33" t="s">
        <v>75</v>
      </c>
      <c r="K57" s="7" t="str">
        <f t="shared" si="6"/>
        <v>SMP Arga Sentosa</v>
      </c>
    </row>
    <row r="58" spans="2:11" ht="19.899999999999999" customHeight="1">
      <c r="B58" s="29">
        <v>13</v>
      </c>
      <c r="C58" s="3" t="s">
        <v>12</v>
      </c>
      <c r="D58" s="7" t="str">
        <f t="shared" si="0"/>
        <v>MUHAMMAD RIZKY</v>
      </c>
      <c r="E58" s="7" t="str">
        <f t="shared" si="1"/>
        <v>muhammad rizky</v>
      </c>
      <c r="F58" s="7" t="str">
        <f t="shared" si="2"/>
        <v>Muhammad Rizky</v>
      </c>
      <c r="G58" s="7" t="str">
        <f t="shared" si="3"/>
        <v>Muhammad rizky</v>
      </c>
      <c r="H58" s="7" t="str">
        <f t="shared" si="4"/>
        <v>Huruf Campur</v>
      </c>
      <c r="I58" s="7" t="str">
        <f t="shared" si="5"/>
        <v>Muhammad rizkY</v>
      </c>
      <c r="J58" s="33" t="s">
        <v>76</v>
      </c>
      <c r="K58" s="7" t="str">
        <f t="shared" si="6"/>
        <v>SMA Bintang Timur</v>
      </c>
    </row>
    <row r="59" spans="2:11" ht="19.899999999999999" customHeight="1">
      <c r="B59" s="29">
        <v>14</v>
      </c>
      <c r="C59" s="3" t="s">
        <v>18</v>
      </c>
      <c r="D59" s="7" t="str">
        <f t="shared" si="0"/>
        <v>NADIA KUSUMA</v>
      </c>
      <c r="E59" s="7" t="str">
        <f t="shared" si="1"/>
        <v>nadia kusuma</v>
      </c>
      <c r="F59" s="7" t="str">
        <f t="shared" si="2"/>
        <v>Nadia Kusuma</v>
      </c>
      <c r="G59" s="7" t="str">
        <f t="shared" si="3"/>
        <v>Nadia kusuma</v>
      </c>
      <c r="H59" s="7" t="str">
        <f t="shared" si="4"/>
        <v>Huruf Besar</v>
      </c>
      <c r="I59" s="7" t="str">
        <f t="shared" si="5"/>
        <v>Nadia kusumA</v>
      </c>
      <c r="J59" s="33" t="s">
        <v>77</v>
      </c>
      <c r="K59" s="7" t="str">
        <f t="shared" si="6"/>
        <v>SD Mutiara Hati</v>
      </c>
    </row>
    <row r="60" spans="2:11" ht="21.6" customHeight="1">
      <c r="B60" s="29">
        <v>15</v>
      </c>
      <c r="C60" s="3" t="s">
        <v>23</v>
      </c>
      <c r="D60" s="7" t="str">
        <f t="shared" si="0"/>
        <v>LUSI ATMAJAYA</v>
      </c>
      <c r="E60" s="7" t="str">
        <f t="shared" si="1"/>
        <v>lusi atmajaya</v>
      </c>
      <c r="F60" s="7" t="str">
        <f t="shared" si="2"/>
        <v>Lusi Atmajaya</v>
      </c>
      <c r="G60" s="7" t="str">
        <f t="shared" si="3"/>
        <v>Lusi atmajaya</v>
      </c>
      <c r="H60" s="7" t="str">
        <f t="shared" si="4"/>
        <v>Huruf Campur</v>
      </c>
      <c r="I60" s="7" t="str">
        <f t="shared" si="5"/>
        <v>Lusi atmajayA</v>
      </c>
      <c r="J60" s="33" t="s">
        <v>78</v>
      </c>
      <c r="K60" s="7" t="str">
        <f t="shared" si="6"/>
        <v>SMP Lensa Ilmu</v>
      </c>
    </row>
    <row r="62" spans="2:11">
      <c r="D62" s="5"/>
    </row>
    <row r="64" spans="2:11">
      <c r="D64" s="6"/>
    </row>
    <row r="65" spans="1:5">
      <c r="D65" s="6"/>
    </row>
    <row r="66" spans="1:5">
      <c r="D66" s="6"/>
    </row>
    <row r="67" spans="1:5">
      <c r="D67" s="6"/>
    </row>
    <row r="68" spans="1:5">
      <c r="D68" s="6"/>
    </row>
    <row r="73" spans="1:5">
      <c r="D73" s="6"/>
    </row>
    <row r="74" spans="1:5">
      <c r="D74" s="6"/>
    </row>
    <row r="75" spans="1:5">
      <c r="A75" s="51"/>
      <c r="B75" s="52"/>
      <c r="C75" s="52"/>
      <c r="D75" s="52"/>
      <c r="E75" s="52"/>
    </row>
    <row r="76" spans="1:5">
      <c r="A76" s="46"/>
      <c r="B76" s="47"/>
      <c r="C76" s="46"/>
      <c r="D76" s="46"/>
      <c r="E76" s="46"/>
    </row>
    <row r="77" spans="1:5">
      <c r="A77" s="46"/>
      <c r="B77" s="46"/>
      <c r="C77" s="48" t="s">
        <v>99</v>
      </c>
      <c r="D77" s="46"/>
      <c r="E77" s="46"/>
    </row>
    <row r="78" spans="1:5">
      <c r="A78" s="46"/>
      <c r="B78" s="46"/>
      <c r="C78" s="49" t="s">
        <v>100</v>
      </c>
      <c r="D78" s="46"/>
      <c r="E78" s="46"/>
    </row>
    <row r="79" spans="1:5">
      <c r="A79" s="46"/>
      <c r="B79" s="46"/>
      <c r="C79" s="50" t="s">
        <v>101</v>
      </c>
      <c r="D79" s="46"/>
      <c r="E79" s="46"/>
    </row>
    <row r="80" spans="1:5">
      <c r="A80" s="46"/>
      <c r="B80" s="46"/>
      <c r="C80" s="46"/>
      <c r="D80" s="46"/>
      <c r="E80" s="46"/>
    </row>
    <row r="81" spans="1:5">
      <c r="A81" s="46"/>
      <c r="B81" s="46"/>
      <c r="C81" s="46"/>
      <c r="D81" s="46"/>
      <c r="E81" s="46"/>
    </row>
    <row r="82" spans="1:5">
      <c r="A82" s="51"/>
      <c r="B82" s="52"/>
      <c r="C82" s="52"/>
      <c r="D82" s="52"/>
      <c r="E82" s="52"/>
    </row>
  </sheetData>
  <mergeCells count="5">
    <mergeCell ref="A75:E75"/>
    <mergeCell ref="A82:E82"/>
    <mergeCell ref="A20:K20"/>
    <mergeCell ref="A39:K39"/>
    <mergeCell ref="A18:B18"/>
  </mergeCells>
  <conditionalFormatting sqref="B46:K60">
    <cfRule type="expression" dxfId="0" priority="4">
      <formula>$B46=15</formula>
    </cfRule>
  </conditionalFormatting>
  <hyperlinks>
    <hyperlink ref="C79" r:id="rId1" xr:uid="{C2FC98A0-19A5-4B9F-A6FC-11C013FB63D2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6CFE8-383D-4B32-8E2E-EBFFB58BCE13}">
  <sheetPr codeName="Sheet3"/>
  <dimension ref="B1:P32"/>
  <sheetViews>
    <sheetView showGridLines="0" workbookViewId="0">
      <selection activeCell="R18" sqref="R18"/>
    </sheetView>
  </sheetViews>
  <sheetFormatPr defaultColWidth="8.85546875" defaultRowHeight="15"/>
  <cols>
    <col min="1" max="1" width="5.7109375" style="9" customWidth="1"/>
    <col min="2" max="2" width="10" style="9" customWidth="1"/>
    <col min="3" max="6" width="8.85546875" style="9"/>
    <col min="7" max="8" width="4.28515625" style="9" customWidth="1"/>
    <col min="9" max="9" width="8.85546875" style="9"/>
    <col min="10" max="10" width="10.42578125" style="9" customWidth="1"/>
    <col min="11" max="11" width="9.28515625" style="9" customWidth="1"/>
    <col min="12" max="13" width="8.85546875" style="9"/>
    <col min="14" max="14" width="26.42578125" style="9" customWidth="1"/>
    <col min="15" max="16384" width="8.85546875" style="9"/>
  </cols>
  <sheetData>
    <row r="1" spans="7:16">
      <c r="H1" s="8"/>
      <c r="I1" s="8"/>
      <c r="J1" s="8"/>
      <c r="K1" s="8"/>
      <c r="L1" s="8"/>
      <c r="M1" s="8"/>
      <c r="N1" s="8"/>
      <c r="O1" s="8"/>
      <c r="P1" s="8"/>
    </row>
    <row r="2" spans="7:16">
      <c r="H2" s="8"/>
      <c r="I2" s="8"/>
      <c r="J2" s="8"/>
      <c r="K2" s="8"/>
      <c r="L2" s="8"/>
      <c r="M2" s="8"/>
      <c r="N2" s="8"/>
      <c r="O2" s="8"/>
      <c r="P2" s="8"/>
    </row>
    <row r="3" spans="7:16">
      <c r="G3" s="34"/>
      <c r="H3" s="35"/>
      <c r="I3" s="8"/>
      <c r="J3" s="8"/>
      <c r="K3" s="8"/>
      <c r="L3" s="8"/>
      <c r="M3" s="8"/>
      <c r="N3" s="8"/>
      <c r="O3" s="8"/>
      <c r="P3" s="8"/>
    </row>
    <row r="4" spans="7:16">
      <c r="G4" s="34"/>
      <c r="H4" s="35"/>
      <c r="I4" s="8"/>
      <c r="J4" s="8"/>
      <c r="K4" s="8"/>
      <c r="L4" s="8"/>
      <c r="M4" s="8"/>
      <c r="N4" s="8"/>
      <c r="O4" s="8"/>
      <c r="P4" s="8"/>
    </row>
    <row r="5" spans="7:16">
      <c r="G5" s="34"/>
      <c r="H5" s="35"/>
      <c r="I5" s="8"/>
      <c r="J5" s="8"/>
      <c r="K5" s="8"/>
      <c r="L5" s="8"/>
      <c r="M5" s="8"/>
      <c r="N5" s="8"/>
      <c r="O5" s="8"/>
      <c r="P5" s="8"/>
    </row>
    <row r="6" spans="7:16">
      <c r="G6" s="34"/>
      <c r="H6" s="35"/>
      <c r="I6" s="8" t="s">
        <v>37</v>
      </c>
      <c r="J6" s="8"/>
      <c r="K6" s="8"/>
      <c r="L6" s="8"/>
      <c r="M6" s="8"/>
      <c r="N6" s="8"/>
      <c r="O6" s="8"/>
      <c r="P6" s="8"/>
    </row>
    <row r="7" spans="7:16">
      <c r="G7" s="34"/>
      <c r="H7" s="35"/>
      <c r="I7" s="8" t="s">
        <v>38</v>
      </c>
      <c r="J7" s="8"/>
      <c r="K7" s="8"/>
      <c r="L7" s="8"/>
      <c r="M7" s="8"/>
      <c r="N7" s="8"/>
      <c r="O7" s="8"/>
      <c r="P7" s="8"/>
    </row>
    <row r="8" spans="7:16">
      <c r="G8" s="34"/>
      <c r="H8" s="35"/>
      <c r="I8" s="8"/>
      <c r="J8" s="8"/>
      <c r="K8" s="8"/>
      <c r="L8" s="8"/>
      <c r="M8" s="8"/>
      <c r="N8" s="8"/>
      <c r="O8" s="8"/>
      <c r="P8" s="8"/>
    </row>
    <row r="9" spans="7:16">
      <c r="G9" s="34"/>
      <c r="H9" s="35"/>
      <c r="I9" s="8"/>
      <c r="J9" s="8"/>
      <c r="K9" s="8"/>
      <c r="L9" s="8"/>
      <c r="M9" s="8"/>
      <c r="N9" s="8"/>
      <c r="O9" s="8"/>
      <c r="P9" s="8"/>
    </row>
    <row r="10" spans="7:16">
      <c r="G10" s="34"/>
      <c r="H10" s="35"/>
      <c r="I10" s="8" t="s">
        <v>39</v>
      </c>
      <c r="J10" s="8"/>
      <c r="K10" s="8"/>
      <c r="L10" s="8"/>
      <c r="M10" s="8"/>
      <c r="N10" s="8"/>
      <c r="O10" s="8"/>
      <c r="P10" s="8"/>
    </row>
    <row r="11" spans="7:16">
      <c r="G11" s="34"/>
      <c r="H11" s="35"/>
      <c r="I11" s="8"/>
      <c r="J11" s="8"/>
      <c r="K11" s="8"/>
      <c r="L11" s="8"/>
      <c r="M11" s="8"/>
      <c r="N11" s="8"/>
      <c r="O11" s="8"/>
      <c r="P11" s="8"/>
    </row>
    <row r="12" spans="7:16">
      <c r="G12" s="34"/>
      <c r="H12" s="35"/>
      <c r="I12" s="8"/>
      <c r="J12" s="61" t="s">
        <v>40</v>
      </c>
      <c r="K12" s="61"/>
      <c r="L12" s="60" t="s">
        <v>41</v>
      </c>
      <c r="M12" s="60"/>
      <c r="N12" s="8"/>
      <c r="O12" s="8"/>
      <c r="P12" s="8"/>
    </row>
    <row r="13" spans="7:16">
      <c r="G13" s="34"/>
      <c r="H13" s="35"/>
      <c r="I13" s="8"/>
      <c r="J13" s="61" t="s">
        <v>42</v>
      </c>
      <c r="K13" s="61"/>
      <c r="L13" s="10" t="s">
        <v>43</v>
      </c>
      <c r="M13" s="11"/>
      <c r="N13" s="8"/>
      <c r="O13" s="8"/>
      <c r="P13" s="8"/>
    </row>
    <row r="14" spans="7:16">
      <c r="G14" s="34"/>
      <c r="H14" s="35"/>
      <c r="I14" s="8"/>
      <c r="J14" s="61" t="s">
        <v>44</v>
      </c>
      <c r="K14" s="61"/>
      <c r="L14" s="10" t="s">
        <v>45</v>
      </c>
      <c r="M14" s="12"/>
      <c r="N14" s="8"/>
      <c r="O14" s="8"/>
      <c r="P14" s="8"/>
    </row>
    <row r="15" spans="7:16">
      <c r="G15" s="34"/>
      <c r="H15" s="35"/>
      <c r="I15" s="8"/>
      <c r="J15" s="61" t="s">
        <v>46</v>
      </c>
      <c r="K15" s="61"/>
      <c r="L15" s="10" t="s">
        <v>47</v>
      </c>
      <c r="M15" s="12"/>
      <c r="N15" s="8"/>
      <c r="O15" s="8"/>
      <c r="P15" s="8"/>
    </row>
    <row r="16" spans="7:16">
      <c r="G16" s="34"/>
      <c r="H16" s="35"/>
      <c r="I16" s="8"/>
      <c r="J16" s="61" t="s">
        <v>48</v>
      </c>
      <c r="K16" s="61"/>
      <c r="L16" s="10" t="s">
        <v>49</v>
      </c>
      <c r="M16" s="12"/>
      <c r="N16" s="8"/>
      <c r="O16" s="8"/>
      <c r="P16" s="8"/>
    </row>
    <row r="17" spans="2:16" ht="54.6" customHeight="1">
      <c r="B17" s="62" t="s">
        <v>86</v>
      </c>
      <c r="C17" s="62"/>
      <c r="D17" s="62"/>
      <c r="E17" s="62"/>
      <c r="F17" s="63"/>
      <c r="G17" s="36"/>
      <c r="H17" s="35"/>
      <c r="I17" s="8" t="s">
        <v>50</v>
      </c>
      <c r="J17" s="8"/>
      <c r="K17" s="8"/>
      <c r="L17" s="8"/>
      <c r="M17" s="8"/>
      <c r="N17" s="8"/>
      <c r="O17" s="8"/>
      <c r="P17" s="8"/>
    </row>
    <row r="18" spans="2:16" ht="54.6" customHeight="1">
      <c r="B18" s="64" t="s">
        <v>102</v>
      </c>
      <c r="C18" s="64"/>
      <c r="D18" s="64"/>
      <c r="E18" s="64"/>
      <c r="F18" s="65"/>
      <c r="G18" s="37"/>
      <c r="H18" s="35"/>
      <c r="I18" s="38" t="s">
        <v>51</v>
      </c>
      <c r="J18" s="8"/>
      <c r="K18" s="8"/>
      <c r="L18" s="8"/>
      <c r="M18" s="8"/>
      <c r="N18" s="8"/>
      <c r="O18" s="8"/>
      <c r="P18" s="8"/>
    </row>
    <row r="19" spans="2:16">
      <c r="B19" s="39" t="s">
        <v>87</v>
      </c>
      <c r="H19" s="8"/>
      <c r="J19" s="8"/>
      <c r="K19" s="8"/>
      <c r="L19" s="8"/>
      <c r="M19" s="8"/>
      <c r="N19" s="8"/>
      <c r="O19" s="8"/>
      <c r="P19" s="8"/>
    </row>
    <row r="20" spans="2:16">
      <c r="B20" s="40" t="s">
        <v>88</v>
      </c>
      <c r="C20" s="41" t="s">
        <v>89</v>
      </c>
      <c r="H20" s="8"/>
      <c r="J20" s="8"/>
      <c r="K20" s="8"/>
      <c r="L20" s="8"/>
      <c r="M20" s="8"/>
      <c r="N20" s="8"/>
      <c r="O20" s="8"/>
      <c r="P20" s="8"/>
    </row>
    <row r="21" spans="2:16">
      <c r="B21" s="42" t="s">
        <v>90</v>
      </c>
      <c r="C21" s="41" t="s">
        <v>91</v>
      </c>
      <c r="H21" s="8"/>
      <c r="I21" s="8"/>
      <c r="J21" s="8"/>
      <c r="K21" s="8"/>
      <c r="L21" s="8"/>
      <c r="M21" s="8"/>
      <c r="N21" s="8"/>
      <c r="O21" s="8"/>
      <c r="P21" s="8"/>
    </row>
    <row r="22" spans="2:16">
      <c r="H22" s="8"/>
      <c r="I22" s="8"/>
      <c r="J22" s="8"/>
      <c r="K22" s="8"/>
      <c r="L22" s="8"/>
      <c r="M22" s="8"/>
      <c r="N22" s="8"/>
      <c r="O22" s="8"/>
      <c r="P22" s="8"/>
    </row>
    <row r="23" spans="2:16">
      <c r="N23" s="8"/>
      <c r="O23" s="8"/>
      <c r="P23" s="8"/>
    </row>
    <row r="24" spans="2:16">
      <c r="N24" s="8"/>
      <c r="O24" s="8"/>
      <c r="P24" s="8"/>
    </row>
    <row r="25" spans="2:16">
      <c r="B25" s="51"/>
      <c r="C25" s="52"/>
      <c r="D25" s="52"/>
      <c r="E25" s="52"/>
      <c r="F25" s="52"/>
      <c r="G25" s="52"/>
      <c r="H25" s="52"/>
      <c r="I25" s="52"/>
      <c r="N25" s="8"/>
      <c r="O25" s="8"/>
      <c r="P25" s="8"/>
    </row>
    <row r="26" spans="2:16">
      <c r="B26" s="46"/>
      <c r="C26" s="47"/>
      <c r="D26" s="46"/>
      <c r="E26" s="46"/>
      <c r="F26" s="46"/>
      <c r="G26" s="46"/>
      <c r="H26" s="46"/>
      <c r="I26" s="46"/>
    </row>
    <row r="27" spans="2:16">
      <c r="B27" s="46"/>
      <c r="C27" s="46"/>
      <c r="D27" s="48" t="s">
        <v>99</v>
      </c>
      <c r="E27" s="46"/>
      <c r="F27" s="46"/>
      <c r="G27" s="46"/>
      <c r="H27" s="46"/>
      <c r="I27" s="46"/>
    </row>
    <row r="28" spans="2:16">
      <c r="B28" s="46"/>
      <c r="C28" s="46"/>
      <c r="D28" s="49" t="s">
        <v>100</v>
      </c>
      <c r="E28" s="46"/>
      <c r="F28" s="46"/>
      <c r="G28" s="46"/>
      <c r="H28" s="46"/>
      <c r="I28" s="46"/>
    </row>
    <row r="29" spans="2:16">
      <c r="B29" s="46"/>
      <c r="C29" s="46"/>
      <c r="D29" s="50" t="s">
        <v>101</v>
      </c>
      <c r="E29" s="46"/>
      <c r="F29" s="46"/>
      <c r="G29" s="46"/>
      <c r="H29" s="46"/>
      <c r="I29" s="46"/>
    </row>
    <row r="30" spans="2:16">
      <c r="B30" s="46"/>
      <c r="C30" s="46"/>
      <c r="D30" s="46"/>
      <c r="E30" s="46"/>
      <c r="F30" s="46"/>
      <c r="G30" s="46"/>
      <c r="H30" s="46"/>
      <c r="I30" s="46"/>
    </row>
    <row r="31" spans="2:16">
      <c r="B31" s="46"/>
      <c r="C31" s="46"/>
      <c r="D31" s="46"/>
      <c r="E31" s="46"/>
      <c r="F31" s="46"/>
      <c r="G31" s="46"/>
      <c r="H31" s="46"/>
      <c r="I31" s="46"/>
    </row>
    <row r="32" spans="2:16">
      <c r="B32" s="51"/>
      <c r="C32" s="52"/>
      <c r="D32" s="52"/>
      <c r="E32" s="52"/>
      <c r="F32" s="52"/>
      <c r="G32" s="52"/>
      <c r="H32" s="52"/>
      <c r="I32" s="52"/>
    </row>
  </sheetData>
  <mergeCells count="10">
    <mergeCell ref="B25:I25"/>
    <mergeCell ref="B32:I32"/>
    <mergeCell ref="B17:F17"/>
    <mergeCell ref="B18:F18"/>
    <mergeCell ref="J12:K12"/>
    <mergeCell ref="L12:M12"/>
    <mergeCell ref="J13:K13"/>
    <mergeCell ref="J14:K14"/>
    <mergeCell ref="J15:K15"/>
    <mergeCell ref="J16:K16"/>
  </mergeCells>
  <hyperlinks>
    <hyperlink ref="I18" r:id="rId1" xr:uid="{EAD225F8-7294-4FA9-813A-AC0AD5A0C968}"/>
    <hyperlink ref="C21" r:id="rId2" xr:uid="{F2BA5157-0E53-447C-BE00-EE4B31310362}"/>
    <hyperlink ref="C20" r:id="rId3" xr:uid="{C61BD323-E54F-401E-819E-03234B9E8CB1}"/>
    <hyperlink ref="D29" r:id="rId4" xr:uid="{74932B0D-D4E3-40C5-BD35-D4EF4BED8D45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B195E-21EC-4470-A3EB-C8614378B326}">
  <sheetPr codeName="Sheet2"/>
  <dimension ref="A1:T58"/>
  <sheetViews>
    <sheetView topLeftCell="A4" workbookViewId="0">
      <selection activeCell="A3" sqref="A3"/>
    </sheetView>
  </sheetViews>
  <sheetFormatPr defaultRowHeight="15"/>
  <cols>
    <col min="3" max="3" width="15.28515625" customWidth="1"/>
    <col min="4" max="4" width="16.7109375" customWidth="1"/>
    <col min="5" max="7" width="13.42578125" customWidth="1"/>
    <col min="8" max="8" width="15.7109375" customWidth="1"/>
    <col min="9" max="9" width="11.28515625" customWidth="1"/>
    <col min="14" max="14" width="13.7109375" customWidth="1"/>
  </cols>
  <sheetData>
    <row r="1" spans="1:20">
      <c r="A1" t="s">
        <v>24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N1">
        <v>1</v>
      </c>
      <c r="O1">
        <v>2</v>
      </c>
      <c r="P1">
        <v>3</v>
      </c>
      <c r="Q1">
        <v>4</v>
      </c>
      <c r="R1">
        <v>5</v>
      </c>
      <c r="S1">
        <v>6</v>
      </c>
      <c r="T1">
        <v>7</v>
      </c>
    </row>
    <row r="2" spans="1:20">
      <c r="A2" t="s">
        <v>103</v>
      </c>
      <c r="B2">
        <v>1</v>
      </c>
      <c r="C2" t="str">
        <f>'XL-Test'!D46</f>
        <v>ANDI SAPUTRA</v>
      </c>
      <c r="D2" t="str">
        <f>'XL-Test'!E46</f>
        <v>andi saputra</v>
      </c>
      <c r="E2" t="str">
        <f>'XL-Test'!F46</f>
        <v>Andi Saputra</v>
      </c>
      <c r="F2" t="str">
        <f>'XL-Test'!G46</f>
        <v>Andi saputra</v>
      </c>
      <c r="G2" t="str">
        <f>'XL-Test'!H46</f>
        <v>Huruf Kecil</v>
      </c>
      <c r="H2" t="str">
        <f>'XL-Test'!I46</f>
        <v>Andi saputrA</v>
      </c>
      <c r="I2" t="str">
        <f>'XL-Test'!K46</f>
        <v>SD Nusantara Cemerlang</v>
      </c>
      <c r="N2" t="str">
        <f ca="1">_xlfn.FORMULATEXT('XL-Test'!D46)</f>
        <v>=UPPER(C46)</v>
      </c>
      <c r="O2" t="str">
        <f ca="1">_xlfn.FORMULATEXT('XL-Test'!E46)</f>
        <v>=LOWER(C46)</v>
      </c>
      <c r="P2" t="str">
        <f ca="1">_xlfn.FORMULATEXT('XL-Test'!F46)</f>
        <v>=PROPER(C46)</v>
      </c>
      <c r="Q2" t="str">
        <f ca="1">_xlfn.FORMULATEXT('XL-Test'!G46)</f>
        <v>=REPLACE(LOWER(C46);1;1;UPPER(LEFT(C46;1)))</v>
      </c>
      <c r="R2" t="str">
        <f ca="1">_xlfn.FORMULATEXT('XL-Test'!H46)</f>
        <v>=IF(EXACT(C46;LOWER(C46));"Huruf Kecil"; IF(EXACT(C46;UPPER(C46));"Huruf Besar";"Huruf Campur"))</v>
      </c>
      <c r="S2" t="str">
        <f ca="1">_xlfn.FORMULATEXT('XL-Test'!I46)</f>
        <v>=REPLACE(REPLACE(LOWER(TRIM(C46)); 1; 1; UPPER(LEFT(TRIM(C46); 1))); LEN(TRIM(C46)); 1; UPPER(RIGHT(TRIM(C46); 1)))</v>
      </c>
      <c r="T2" t="str">
        <f ca="1">_xlfn.FORMULATEXT('XL-Test'!K46)</f>
        <v>=REPLACE(PROPER(TRIM(J46));1;3;UPPER(LEFT(TRIM(J46);3)))</v>
      </c>
    </row>
    <row r="3" spans="1:20">
      <c r="B3">
        <v>2</v>
      </c>
      <c r="C3" t="str">
        <f>'XL-Test'!D47</f>
        <v>BUDI SANTOSO</v>
      </c>
      <c r="D3" t="str">
        <f>'XL-Test'!E47</f>
        <v>budi santoso</v>
      </c>
      <c r="E3" t="str">
        <f>'XL-Test'!F47</f>
        <v>Budi Santoso</v>
      </c>
      <c r="F3" t="str">
        <f>'XL-Test'!G47</f>
        <v>Budi santoso</v>
      </c>
      <c r="G3" t="str">
        <f>'XL-Test'!H47</f>
        <v>Huruf Campur</v>
      </c>
      <c r="H3" t="str">
        <f>'XL-Test'!I47</f>
        <v>Budi santosO</v>
      </c>
      <c r="I3" t="str">
        <f>'XL-Test'!K47</f>
        <v>SMP Bina Karya Utama</v>
      </c>
      <c r="N3" t="str">
        <f ca="1">_xlfn.FORMULATEXT('XL-Test'!E46)</f>
        <v>=LOWER(C46)</v>
      </c>
    </row>
    <row r="4" spans="1:20">
      <c r="B4">
        <v>3</v>
      </c>
      <c r="C4" t="str">
        <f>'XL-Test'!D48</f>
        <v>CITRA DEWI</v>
      </c>
      <c r="D4" t="str">
        <f>'XL-Test'!E48</f>
        <v>citra dewi</v>
      </c>
      <c r="E4" t="str">
        <f>'XL-Test'!F48</f>
        <v>Citra Dewi</v>
      </c>
      <c r="F4" t="str">
        <f>'XL-Test'!G48</f>
        <v>Citra dewi</v>
      </c>
      <c r="G4" t="str">
        <f>'XL-Test'!H48</f>
        <v>Huruf Besar</v>
      </c>
      <c r="H4" t="str">
        <f>'XL-Test'!I48</f>
        <v>Citra dewI</v>
      </c>
      <c r="I4" t="str">
        <f>'XL-Test'!K48</f>
        <v>SMA Global Prestasi</v>
      </c>
      <c r="N4" t="str">
        <f ca="1">_xlfn.FORMULATEXT('XL-Test'!F46)</f>
        <v>=PROPER(C46)</v>
      </c>
    </row>
    <row r="5" spans="1:20">
      <c r="B5">
        <v>4</v>
      </c>
      <c r="C5" t="str">
        <f>'XL-Test'!D49</f>
        <v>DIAN PRASETYO</v>
      </c>
      <c r="D5" t="str">
        <f>'XL-Test'!E49</f>
        <v>dian prasetyo</v>
      </c>
      <c r="E5" t="str">
        <f>'XL-Test'!F49</f>
        <v>Dian Prasetyo</v>
      </c>
      <c r="F5" t="str">
        <f>'XL-Test'!G49</f>
        <v>Dian prasetyo</v>
      </c>
      <c r="G5" t="str">
        <f>'XL-Test'!H49</f>
        <v>Huruf Campur</v>
      </c>
      <c r="H5" t="str">
        <f>'XL-Test'!I49</f>
        <v>Dian prasetyO</v>
      </c>
      <c r="I5" t="str">
        <f>'XL-Test'!K49</f>
        <v>SD Pelita Insan Mulia</v>
      </c>
      <c r="N5" t="str">
        <f ca="1">_xlfn.FORMULATEXT('XL-Test'!G46)</f>
        <v>=REPLACE(LOWER(C46);1;1;UPPER(LEFT(C46;1)))</v>
      </c>
    </row>
    <row r="6" spans="1:20">
      <c r="B6">
        <v>5</v>
      </c>
      <c r="C6" t="str">
        <f>'XL-Test'!D50</f>
        <v>EKO WAHYUDI</v>
      </c>
      <c r="D6" t="str">
        <f>'XL-Test'!E50</f>
        <v>eko wahyudi</v>
      </c>
      <c r="E6" t="str">
        <f>'XL-Test'!F50</f>
        <v>Eko Wahyudi</v>
      </c>
      <c r="F6" t="str">
        <f>'XL-Test'!G50</f>
        <v>Eko wahyudi</v>
      </c>
      <c r="G6" t="str">
        <f>'XL-Test'!H50</f>
        <v>Huruf Besar</v>
      </c>
      <c r="H6" t="str">
        <f>'XL-Test'!I50</f>
        <v>Eko wahyudI</v>
      </c>
      <c r="I6" t="str">
        <f>'XL-Test'!K50</f>
        <v>SMA Sinar Abudi</v>
      </c>
      <c r="N6" t="str">
        <f ca="1">_xlfn.FORMULATEXT('XL-Test'!H46)</f>
        <v>=IF(EXACT(C46;LOWER(C46));"Huruf Kecil"; IF(EXACT(C46;UPPER(C46));"Huruf Besar";"Huruf Campur"))</v>
      </c>
    </row>
    <row r="7" spans="1:20">
      <c r="B7">
        <v>6</v>
      </c>
      <c r="C7" t="str">
        <f>'XL-Test'!D51</f>
        <v>FITRI ANJANI</v>
      </c>
      <c r="D7" t="str">
        <f>'XL-Test'!E51</f>
        <v>fitri anjani</v>
      </c>
      <c r="E7" t="str">
        <f>'XL-Test'!F51</f>
        <v>Fitri Anjani</v>
      </c>
      <c r="F7" t="str">
        <f>'XL-Test'!G51</f>
        <v>Fitri anjani</v>
      </c>
      <c r="G7" t="str">
        <f>'XL-Test'!H51</f>
        <v>Huruf Kecil</v>
      </c>
      <c r="H7" t="str">
        <f>'XL-Test'!I51</f>
        <v>Fitri anjanI</v>
      </c>
      <c r="I7" t="str">
        <f>'XL-Test'!K51</f>
        <v>SMP Tunas Bangsa</v>
      </c>
      <c r="N7" t="str">
        <f ca="1">_xlfn.FORMULATEXT('XL-Test'!I46)</f>
        <v>=REPLACE(REPLACE(LOWER(TRIM(C46)); 1; 1; UPPER(LEFT(TRIM(C46); 1))); LEN(TRIM(C46)); 1; UPPER(RIGHT(TRIM(C46); 1)))</v>
      </c>
    </row>
    <row r="8" spans="1:20">
      <c r="B8">
        <v>7</v>
      </c>
      <c r="C8" t="str">
        <f>'XL-Test'!D52</f>
        <v>GALIH PERMANA</v>
      </c>
      <c r="D8" t="str">
        <f>'XL-Test'!E52</f>
        <v>galih permana</v>
      </c>
      <c r="E8" t="str">
        <f>'XL-Test'!F52</f>
        <v>Galih Permana</v>
      </c>
      <c r="F8" t="str">
        <f>'XL-Test'!G52</f>
        <v>Galih permana</v>
      </c>
      <c r="G8" t="str">
        <f>'XL-Test'!H52</f>
        <v>Huruf Campur</v>
      </c>
      <c r="H8" t="str">
        <f>'XL-Test'!I52</f>
        <v>Galih permanA</v>
      </c>
      <c r="I8" t="str">
        <f>'XL-Test'!K52</f>
        <v>SMA Cendekia Mandiri</v>
      </c>
      <c r="N8" t="str">
        <f ca="1">_xlfn.FORMULATEXT('XL-Test'!K46)</f>
        <v>=REPLACE(PROPER(TRIM(J46));1;3;UPPER(LEFT(TRIM(J46);3)))</v>
      </c>
    </row>
    <row r="9" spans="1:20">
      <c r="B9">
        <v>8</v>
      </c>
      <c r="C9" t="str">
        <f>'XL-Test'!D53</f>
        <v>HENDRA GUNAWAN</v>
      </c>
      <c r="D9" t="str">
        <f>'XL-Test'!E53</f>
        <v>hendra gunawan</v>
      </c>
      <c r="E9" t="str">
        <f>'XL-Test'!F53</f>
        <v>Hendra Gunawan</v>
      </c>
      <c r="F9" t="str">
        <f>'XL-Test'!G53</f>
        <v>Hendra gunawan</v>
      </c>
      <c r="G9" t="str">
        <f>'XL-Test'!H53</f>
        <v>Huruf Campur</v>
      </c>
      <c r="H9" t="str">
        <f>'XL-Test'!I53</f>
        <v>Hendra gunawaN</v>
      </c>
      <c r="I9" t="str">
        <f>'XL-Test'!K53</f>
        <v>SD Bhakti Pertiwi</v>
      </c>
    </row>
    <row r="10" spans="1:20">
      <c r="B10">
        <v>9</v>
      </c>
      <c r="C10" t="str">
        <f>'XL-Test'!D54</f>
        <v>INDAH SARI</v>
      </c>
      <c r="D10" t="str">
        <f>'XL-Test'!E54</f>
        <v>indah sari</v>
      </c>
      <c r="E10" t="str">
        <f>'XL-Test'!F54</f>
        <v>Indah Sari</v>
      </c>
      <c r="F10" t="str">
        <f>'XL-Test'!G54</f>
        <v>Indah sari</v>
      </c>
      <c r="G10" t="str">
        <f>'XL-Test'!H54</f>
        <v>Huruf Kecil</v>
      </c>
      <c r="H10" t="str">
        <f>'XL-Test'!I54</f>
        <v>Indah sarI</v>
      </c>
      <c r="I10" t="str">
        <f>'XL-Test'!K54</f>
        <v>SMP Mekar Jaya Abadi</v>
      </c>
    </row>
    <row r="11" spans="1:20">
      <c r="B11">
        <v>10</v>
      </c>
      <c r="C11" t="str">
        <f>'XL-Test'!D55</f>
        <v>JOKO SUSILO</v>
      </c>
      <c r="D11" t="str">
        <f>'XL-Test'!E55</f>
        <v>joko susilo</v>
      </c>
      <c r="E11" t="str">
        <f>'XL-Test'!F55</f>
        <v>Joko Susilo</v>
      </c>
      <c r="F11" t="str">
        <f>'XL-Test'!G55</f>
        <v>Joko susilo</v>
      </c>
      <c r="G11" t="str">
        <f>'XL-Test'!H55</f>
        <v>Huruf Besar</v>
      </c>
      <c r="H11" t="str">
        <f>'XL-Test'!I55</f>
        <v>Joko susilO</v>
      </c>
      <c r="I11" t="str">
        <f>'XL-Test'!K55</f>
        <v>SMA Pusaka Nusantara</v>
      </c>
    </row>
    <row r="12" spans="1:20">
      <c r="B12">
        <v>11</v>
      </c>
      <c r="C12" t="str">
        <f>'XL-Test'!D56</f>
        <v>KARTIKA PUTRI</v>
      </c>
      <c r="D12" t="str">
        <f>'XL-Test'!E56</f>
        <v>kartika putri</v>
      </c>
      <c r="E12" t="str">
        <f>'XL-Test'!F56</f>
        <v>Kartika Putri</v>
      </c>
      <c r="F12" t="str">
        <f>'XL-Test'!G56</f>
        <v>Kartika putri</v>
      </c>
      <c r="G12" t="str">
        <f>'XL-Test'!H56</f>
        <v>Huruf Campur</v>
      </c>
      <c r="H12" t="str">
        <f>'XL-Test'!I56</f>
        <v>Kartika putrI</v>
      </c>
      <c r="I12" t="str">
        <f>'XL-Test'!K56</f>
        <v>SD Citra Harapan</v>
      </c>
    </row>
    <row r="13" spans="1:20">
      <c r="B13">
        <v>12</v>
      </c>
      <c r="C13" t="str">
        <f>'XL-Test'!D57</f>
        <v>LESTARI AYU</v>
      </c>
      <c r="D13" t="str">
        <f>'XL-Test'!E57</f>
        <v>lestari ayu</v>
      </c>
      <c r="E13" t="str">
        <f>'XL-Test'!F57</f>
        <v>Lestari Ayu</v>
      </c>
      <c r="F13" t="str">
        <f>'XL-Test'!G57</f>
        <v>Lestari ayu</v>
      </c>
      <c r="G13" t="str">
        <f>'XL-Test'!H57</f>
        <v>Huruf Besar</v>
      </c>
      <c r="H13" t="str">
        <f>'XL-Test'!I57</f>
        <v>Lestari ayU</v>
      </c>
      <c r="I13" t="str">
        <f>'XL-Test'!K57</f>
        <v>SMP Arga Sentosa</v>
      </c>
    </row>
    <row r="14" spans="1:20">
      <c r="B14">
        <v>13</v>
      </c>
      <c r="C14" t="str">
        <f>'XL-Test'!D58</f>
        <v>MUHAMMAD RIZKY</v>
      </c>
      <c r="D14" t="str">
        <f>'XL-Test'!E58</f>
        <v>muhammad rizky</v>
      </c>
      <c r="E14" t="str">
        <f>'XL-Test'!F58</f>
        <v>Muhammad Rizky</v>
      </c>
      <c r="F14" t="str">
        <f>'XL-Test'!G58</f>
        <v>Muhammad rizky</v>
      </c>
      <c r="G14" t="str">
        <f>'XL-Test'!H58</f>
        <v>Huruf Campur</v>
      </c>
      <c r="H14" t="str">
        <f>'XL-Test'!I58</f>
        <v>Muhammad rizkY</v>
      </c>
      <c r="I14" t="str">
        <f>'XL-Test'!K58</f>
        <v>SMA Bintang Timur</v>
      </c>
    </row>
    <row r="15" spans="1:20">
      <c r="B15">
        <v>14</v>
      </c>
      <c r="C15" t="str">
        <f>'XL-Test'!D59</f>
        <v>NADIA KUSUMA</v>
      </c>
      <c r="D15" t="str">
        <f>'XL-Test'!E59</f>
        <v>nadia kusuma</v>
      </c>
      <c r="E15" t="str">
        <f>'XL-Test'!F59</f>
        <v>Nadia Kusuma</v>
      </c>
      <c r="F15" t="str">
        <f>'XL-Test'!G59</f>
        <v>Nadia kusuma</v>
      </c>
      <c r="G15" t="str">
        <f>'XL-Test'!H59</f>
        <v>Huruf Besar</v>
      </c>
      <c r="H15" t="str">
        <f>'XL-Test'!I59</f>
        <v>Nadia kusumA</v>
      </c>
      <c r="I15" t="str">
        <f>'XL-Test'!K59</f>
        <v>SD Mutiara Hati</v>
      </c>
    </row>
    <row r="16" spans="1:20">
      <c r="B16">
        <v>15</v>
      </c>
      <c r="C16" t="str">
        <f>'XL-Test'!D60</f>
        <v>LUSI ATMAJAYA</v>
      </c>
      <c r="D16" t="str">
        <f>'XL-Test'!E60</f>
        <v>lusi atmajaya</v>
      </c>
      <c r="E16" t="str">
        <f>'XL-Test'!F60</f>
        <v>Lusi Atmajaya</v>
      </c>
      <c r="F16" t="str">
        <f>'XL-Test'!G60</f>
        <v>Lusi atmajaya</v>
      </c>
      <c r="G16" t="str">
        <f>'XL-Test'!H60</f>
        <v>Huruf Campur</v>
      </c>
      <c r="H16" t="str">
        <f>'XL-Test'!I60</f>
        <v>Lusi atmajayA</v>
      </c>
      <c r="I16" t="str">
        <f>'XL-Test'!K60</f>
        <v>SMP Lensa Ilmu</v>
      </c>
    </row>
    <row r="18" spans="2:9">
      <c r="C18">
        <f>CODE(LEFT(C2))+CODE(RIGHT(C2))+CODE(LEFT(C3))+CODE(RIGHT(C3))+CODE(LEFT(C4))+CODE(RIGHT(C4))+CODE(LEFT(C5))+CODE(RIGHT(C5))+CODE(LEFT(C6))+CODE(RIGHT(C6))+CODE(LEFT(C6))+CODE(RIGHT(C6))+CODE(LEFT(C7))+CODE(RIGHT(C7))+CODE(LEFT(C8))+CODE(RIGHT(C8))+CODE(LEFT(C9))+CODE(RIGHT(C9))+CODE(LEFT(C10))+CODE(RIGHT(C10))+CODE(LEFT(C11))+CODE(RIGHT(C11))+CODE(MID(C2,3,1))+CODE(MID(C11,3,1))+CODE(LEFT(RIGHT(C9,3)))+CODE(LEFT(C12))+CODE(LEFT(C13))+CODE(LEFT(C14))+CODE(LEFT(C15))+CODE(LEFT(C16))+CODE(RIGHT(C2))+CODE(RIGHT(C4))+CODE(RIGHT(C6))+CODE(RIGHT(C8))+CODE(RIGHT(C12))+CODE(RIGHT(C15))+CODE(MID(C2,6,1))+CODE(MID(C6,5,1))+CODE(MID(C11,6,1))+CODE(MID(C15,7,1))</f>
        <v>2928</v>
      </c>
      <c r="D18">
        <f t="shared" ref="D18:H18" si="0">CODE(LEFT(D2))+CODE(RIGHT(D2))+CODE(LEFT(D3))+CODE(RIGHT(D3))+CODE(LEFT(D4))+CODE(RIGHT(D4))+CODE(LEFT(D5))+CODE(RIGHT(D5))+CODE(LEFT(D6))+CODE(RIGHT(D6))+CODE(LEFT(D6))+CODE(RIGHT(D6))+CODE(LEFT(D7))+CODE(RIGHT(D7))+CODE(LEFT(D8))+CODE(RIGHT(D8))+CODE(LEFT(D9))+CODE(RIGHT(D9))+CODE(LEFT(D10))+CODE(RIGHT(D10))+CODE(LEFT(D11))+CODE(RIGHT(D11))+CODE(MID(D2,3,1))+CODE(MID(D11,3,1))+CODE(LEFT(RIGHT(D9,3)))+CODE(LEFT(D12))+CODE(LEFT(D13))+CODE(LEFT(D14))+CODE(LEFT(D15))+CODE(LEFT(D16))+CODE(RIGHT(D2))+CODE(RIGHT(D4))+CODE(RIGHT(D6))+CODE(RIGHT(D8))+CODE(RIGHT(D12))+CODE(RIGHT(D15))+CODE(MID(D2,6,1))+CODE(MID(D6,5,1))+CODE(MID(D11,6,1))+CODE(MID(D15,7,1))</f>
        <v>4208</v>
      </c>
      <c r="E18">
        <f t="shared" si="0"/>
        <v>3568</v>
      </c>
      <c r="F18">
        <f t="shared" si="0"/>
        <v>3696</v>
      </c>
      <c r="G18">
        <f t="shared" si="0"/>
        <v>3638</v>
      </c>
      <c r="H18">
        <f t="shared" si="0"/>
        <v>3152</v>
      </c>
      <c r="I18">
        <f>CODE(LEFT(I2))+CODE(RIGHT(I2))+CODE(LEFT(I3))+CODE(RIGHT(I3))+CODE(LEFT(I4))+CODE(RIGHT(I4))+CODE(LEFT(I5))+CODE(RIGHT(I5))+CODE(LEFT(I6))+CODE(RIGHT(I6))+CODE(LEFT(I6))+CODE(RIGHT(I6))+CODE(LEFT(I7))+CODE(RIGHT(I7))+CODE(LEFT(I8))+CODE(RIGHT(I8))+CODE(LEFT(I9))+CODE(RIGHT(I9))+CODE(LEFT(I10))+CODE(RIGHT(I10))+CODE(LEFT(I11))+CODE(RIGHT(I11))+CODE(MID(I2,3,1))+CODE(MID(I11,5,1))+CODE(LEFT(RIGHT(I9,3)))+CODE(LEFT(I12))+CODE(LEFT(I13))+CODE(LEFT(I14))+CODE(LEFT(I15))+CODE(LEFT(I16))+CODE(RIGHT(I2))+CODE(RIGHT(I4))+CODE(RIGHT(I6))+CODE(RIGHT(I8))+CODE(RIGHT(I12))+CODE(RIGHT(I15))+CODE(MID(I10,5,1))+CODE(MID(I2,2,1))+CODE(MID(I3,2,1))+CODE(MID(I4,2,1))+CODE(MID(I5,2,1))+CODE(MID(I6,2,1))+CODE(MID(I7,2,1))+CODE(MID(I14,5,1))+CODE(MID(I16,5,1))+CODE(MID(I8,3,1))+CODE(MID(I10,2,1))+CODE(MID(I6,11,1))+CODE(MID(I12,10,1))+CODE(MID(I2,6,1))+CODE(MID(I13,6,1))</f>
        <v>4470</v>
      </c>
    </row>
    <row r="19" spans="2:9">
      <c r="B19" t="s">
        <v>25</v>
      </c>
      <c r="C19">
        <v>7039</v>
      </c>
      <c r="D19">
        <v>3577</v>
      </c>
      <c r="E19">
        <v>9117</v>
      </c>
      <c r="F19">
        <v>5463</v>
      </c>
      <c r="G19">
        <v>2763</v>
      </c>
      <c r="H19">
        <v>8357</v>
      </c>
      <c r="I19">
        <v>4351</v>
      </c>
    </row>
    <row r="21" spans="2:9">
      <c r="B21" t="b">
        <v>1</v>
      </c>
      <c r="C21" t="str">
        <f>DEC2HEX(LEFT(C19,2)+COLUMN())</f>
        <v>49</v>
      </c>
      <c r="D21" t="str">
        <f t="shared" ref="D21:I21" si="1">DEC2HEX(LEFT(D19,2)+COLUMN())</f>
        <v>27</v>
      </c>
      <c r="E21" t="str">
        <f t="shared" si="1"/>
        <v>60</v>
      </c>
      <c r="F21" t="str">
        <f t="shared" si="1"/>
        <v>3C</v>
      </c>
      <c r="G21" t="str">
        <f t="shared" si="1"/>
        <v>22</v>
      </c>
      <c r="H21" t="str">
        <f t="shared" si="1"/>
        <v>5B</v>
      </c>
      <c r="I21" t="str">
        <f t="shared" si="1"/>
        <v>34</v>
      </c>
    </row>
    <row r="22" spans="2:9">
      <c r="B22" t="b">
        <v>0</v>
      </c>
      <c r="C22" t="str">
        <f>DEC2HEX(RIGHT(C19,2)+COLUMN())</f>
        <v>2A</v>
      </c>
      <c r="D22" t="str">
        <f t="shared" ref="D22:I22" si="2">DEC2HEX(RIGHT(D19,2)+COLUMN())</f>
        <v>51</v>
      </c>
      <c r="E22" t="str">
        <f t="shared" si="2"/>
        <v>16</v>
      </c>
      <c r="F22" t="str">
        <f t="shared" si="2"/>
        <v>45</v>
      </c>
      <c r="G22" t="str">
        <f t="shared" si="2"/>
        <v>46</v>
      </c>
      <c r="H22" t="str">
        <f t="shared" si="2"/>
        <v>41</v>
      </c>
      <c r="I22" t="str">
        <f t="shared" si="2"/>
        <v>3C</v>
      </c>
    </row>
    <row r="24" spans="2:9">
      <c r="B24" t="s">
        <v>26</v>
      </c>
      <c r="C24" t="b">
        <f>IF(OR(C2="",C2=0),FALSE,TRUE)</f>
        <v>1</v>
      </c>
      <c r="D24" t="b">
        <f t="shared" ref="D24:I24" si="3">IF(OR(D2="",D2=0),FALSE,TRUE)</f>
        <v>1</v>
      </c>
      <c r="E24" t="b">
        <f t="shared" si="3"/>
        <v>1</v>
      </c>
      <c r="F24" t="b">
        <f t="shared" si="3"/>
        <v>1</v>
      </c>
      <c r="G24" t="b">
        <f t="shared" si="3"/>
        <v>1</v>
      </c>
      <c r="H24" t="b">
        <f t="shared" si="3"/>
        <v>1</v>
      </c>
      <c r="I24" t="b">
        <f t="shared" si="3"/>
        <v>1</v>
      </c>
    </row>
    <row r="25" spans="2:9">
      <c r="B25" t="s">
        <v>27</v>
      </c>
      <c r="C25" t="b">
        <f ca="1">AND(ISNUMBER(FIND("=",N2)),ISNUMBER(FIND("(",N2)))</f>
        <v>1</v>
      </c>
      <c r="D25" t="b">
        <f t="shared" ref="D25:I25" ca="1" si="4">AND(ISNUMBER(FIND("=",O2)),ISNUMBER(FIND("(",O2)))</f>
        <v>1</v>
      </c>
      <c r="E25" t="b">
        <f t="shared" ca="1" si="4"/>
        <v>1</v>
      </c>
      <c r="F25" t="b">
        <f t="shared" ca="1" si="4"/>
        <v>1</v>
      </c>
      <c r="G25" t="b">
        <f t="shared" ca="1" si="4"/>
        <v>1</v>
      </c>
      <c r="H25" t="b">
        <f t="shared" ca="1" si="4"/>
        <v>1</v>
      </c>
      <c r="I25" t="b">
        <f t="shared" ca="1" si="4"/>
        <v>1</v>
      </c>
    </row>
    <row r="27" spans="2:9">
      <c r="C27" t="str">
        <f ca="1">IFERROR(DEC2HEX(IF(AND(C24:C25,C58),C18,C19)),"EEE")</f>
        <v>B70</v>
      </c>
      <c r="D27" t="str">
        <f t="shared" ref="D27:I27" ca="1" si="5">IFERROR(DEC2HEX(IF(AND(D24:D25,D58),D18,D19)),"EEE")</f>
        <v>1070</v>
      </c>
      <c r="E27" t="str">
        <f t="shared" ca="1" si="5"/>
        <v>DF0</v>
      </c>
      <c r="F27" t="str">
        <f t="shared" ca="1" si="5"/>
        <v>E70</v>
      </c>
      <c r="G27" t="str">
        <f t="shared" ca="1" si="5"/>
        <v>E36</v>
      </c>
      <c r="H27" t="str">
        <f t="shared" ca="1" si="5"/>
        <v>C50</v>
      </c>
      <c r="I27" t="str">
        <f t="shared" ca="1" si="5"/>
        <v>1176</v>
      </c>
    </row>
    <row r="29" spans="2:9">
      <c r="B29" t="s">
        <v>28</v>
      </c>
      <c r="C29" t="b">
        <f ca="1">AND(ISNUMBER(FIND("UPP",N2)),ISNUMBER(FIND("(",N2)))</f>
        <v>1</v>
      </c>
      <c r="D29" t="b">
        <f ca="1">AND(ISNUMBER(FIND("OWE",O2)),ISNUMBER(FIND("(",O2)))</f>
        <v>1</v>
      </c>
      <c r="E29" t="b">
        <f ca="1">AND(ISNUMBER(FIND("ROPE",P2)),ISNUMBER(FIND("(",P2)))</f>
        <v>1</v>
      </c>
      <c r="F29" t="b">
        <f ca="1">AND(ISNUMBER(FIND("PPE",Q2)),ISNUMBER(FIND("EPLAC",Q2)))</f>
        <v>1</v>
      </c>
      <c r="G29" t="b">
        <f ca="1">AND(ISNUMBER(FIND("XACT",R2)),ISNUMBER(FIND("(",R2)))</f>
        <v>1</v>
      </c>
      <c r="H29" t="b">
        <f ca="1">AND(ISNUMBER(FIND("PLAC",S2)),ISNUMBER(FIND("PPE",S2)))</f>
        <v>1</v>
      </c>
      <c r="I29" t="b">
        <f ca="1">AND(ISNUMBER(FIND("EPL",T2)),ISNUMBER(FIND("PROP",T2)))</f>
        <v>1</v>
      </c>
    </row>
    <row r="31" spans="2:9">
      <c r="C31" t="str">
        <f ca="1">IF(C29,C21,C22)&amp;"-"&amp;C27&amp;";"</f>
        <v>49-B70;</v>
      </c>
      <c r="D31" t="str">
        <f t="shared" ref="D31:H31" ca="1" si="6">IF(D29,D21,D22)&amp;"-"&amp;D27&amp;";"</f>
        <v>27-1070;</v>
      </c>
      <c r="E31" t="str">
        <f t="shared" ca="1" si="6"/>
        <v>60-DF0;</v>
      </c>
      <c r="F31" t="str">
        <f t="shared" ca="1" si="6"/>
        <v>3C-E70;</v>
      </c>
      <c r="G31" t="str">
        <f t="shared" ca="1" si="6"/>
        <v>22-E36;</v>
      </c>
      <c r="H31" t="str">
        <f t="shared" ca="1" si="6"/>
        <v>5B-C50;</v>
      </c>
      <c r="I31" t="str">
        <f ca="1">IF(I29,I21,I22)&amp;"-"&amp;I27</f>
        <v>34-1176</v>
      </c>
    </row>
    <row r="33" spans="1:9">
      <c r="C33" t="str">
        <f ca="1">A2&amp;"|"&amp;C31&amp;D31&amp;E31&amp;F31&amp;G31&amp;H31&amp;I31</f>
        <v>EL3|49-B70;27-1070;60-DF0;3C-E70;22-E36;5B-C50;34-1176</v>
      </c>
    </row>
    <row r="35" spans="1:9">
      <c r="C35" t="str">
        <f ca="1">C33</f>
        <v>EL3|49-B70;27-1070;60-DF0;3C-E70;22-E36;5B-C50;34-1176</v>
      </c>
      <c r="E35" t="s">
        <v>29</v>
      </c>
      <c r="G35" t="s">
        <v>30</v>
      </c>
    </row>
    <row r="36" spans="1:9">
      <c r="C36" t="str" cm="1">
        <f t="array" aca="1" ref="C36" ca="1">INDIRECT(E35&amp;G35)</f>
        <v>EL3|49-B70;27-1070;60-DF0;3C-E70;22-E36;5B-C50;34-1176</v>
      </c>
    </row>
    <row r="39" spans="1:9">
      <c r="A39" t="s">
        <v>96</v>
      </c>
      <c r="B39">
        <v>1</v>
      </c>
      <c r="C39">
        <f ca="1">IFERROR(LEN(_xlfn.FORMULATEXT('XL-Test'!D46)),0)</f>
        <v>11</v>
      </c>
      <c r="D39">
        <f ca="1">IFERROR(LEN(_xlfn.FORMULATEXT('XL-Test'!E46)),0)</f>
        <v>11</v>
      </c>
      <c r="E39">
        <f ca="1">IFERROR(LEN(_xlfn.FORMULATEXT('XL-Test'!F46)),0)</f>
        <v>12</v>
      </c>
      <c r="F39">
        <f ca="1">IFERROR(LEN(_xlfn.FORMULATEXT('XL-Test'!G46)),0)</f>
        <v>43</v>
      </c>
      <c r="G39">
        <f ca="1">IFERROR(LEN(_xlfn.FORMULATEXT('XL-Test'!H46)),0)</f>
        <v>96</v>
      </c>
      <c r="H39">
        <f ca="1">IFERROR(LEN(_xlfn.FORMULATEXT('XL-Test'!I46)),0)</f>
        <v>115</v>
      </c>
      <c r="I39">
        <f ca="1">IFERROR(LEN(_xlfn.FORMULATEXT('XL-Test'!K46)),0)</f>
        <v>56</v>
      </c>
    </row>
    <row r="40" spans="1:9">
      <c r="B40">
        <v>2</v>
      </c>
      <c r="C40">
        <f ca="1">IFERROR(LEN(_xlfn.FORMULATEXT('XL-Test'!D47)),0)</f>
        <v>11</v>
      </c>
      <c r="D40">
        <f ca="1">IFERROR(LEN(_xlfn.FORMULATEXT('XL-Test'!E47)),0)</f>
        <v>11</v>
      </c>
      <c r="E40">
        <f ca="1">IFERROR(LEN(_xlfn.FORMULATEXT('XL-Test'!F47)),0)</f>
        <v>12</v>
      </c>
      <c r="F40">
        <f ca="1">IFERROR(LEN(_xlfn.FORMULATEXT('XL-Test'!G47)),0)</f>
        <v>43</v>
      </c>
      <c r="G40">
        <f ca="1">IFERROR(LEN(_xlfn.FORMULATEXT('XL-Test'!H47)),0)</f>
        <v>96</v>
      </c>
      <c r="H40">
        <f ca="1">IFERROR(LEN(_xlfn.FORMULATEXT('XL-Test'!I47)),0)</f>
        <v>115</v>
      </c>
      <c r="I40">
        <f ca="1">IFERROR(LEN(_xlfn.FORMULATEXT('XL-Test'!K47)),0)</f>
        <v>56</v>
      </c>
    </row>
    <row r="41" spans="1:9">
      <c r="B41">
        <v>3</v>
      </c>
      <c r="C41">
        <f ca="1">IFERROR(LEN(_xlfn.FORMULATEXT('XL-Test'!D48)),0)</f>
        <v>11</v>
      </c>
      <c r="D41">
        <f ca="1">IFERROR(LEN(_xlfn.FORMULATEXT('XL-Test'!E48)),0)</f>
        <v>11</v>
      </c>
      <c r="E41">
        <f ca="1">IFERROR(LEN(_xlfn.FORMULATEXT('XL-Test'!F48)),0)</f>
        <v>12</v>
      </c>
      <c r="F41">
        <f ca="1">IFERROR(LEN(_xlfn.FORMULATEXT('XL-Test'!G48)),0)</f>
        <v>43</v>
      </c>
      <c r="G41">
        <f ca="1">IFERROR(LEN(_xlfn.FORMULATEXT('XL-Test'!H48)),0)</f>
        <v>96</v>
      </c>
      <c r="H41">
        <f ca="1">IFERROR(LEN(_xlfn.FORMULATEXT('XL-Test'!I48)),0)</f>
        <v>115</v>
      </c>
      <c r="I41">
        <f ca="1">IFERROR(LEN(_xlfn.FORMULATEXT('XL-Test'!K48)),0)</f>
        <v>56</v>
      </c>
    </row>
    <row r="42" spans="1:9">
      <c r="B42">
        <v>4</v>
      </c>
      <c r="C42">
        <f ca="1">IFERROR(LEN(_xlfn.FORMULATEXT('XL-Test'!D49)),0)</f>
        <v>11</v>
      </c>
      <c r="D42">
        <f ca="1">IFERROR(LEN(_xlfn.FORMULATEXT('XL-Test'!E49)),0)</f>
        <v>11</v>
      </c>
      <c r="E42">
        <f ca="1">IFERROR(LEN(_xlfn.FORMULATEXT('XL-Test'!F49)),0)</f>
        <v>12</v>
      </c>
      <c r="F42">
        <f ca="1">IFERROR(LEN(_xlfn.FORMULATEXT('XL-Test'!G49)),0)</f>
        <v>43</v>
      </c>
      <c r="G42">
        <f ca="1">IFERROR(LEN(_xlfn.FORMULATEXT('XL-Test'!H49)),0)</f>
        <v>96</v>
      </c>
      <c r="H42">
        <f ca="1">IFERROR(LEN(_xlfn.FORMULATEXT('XL-Test'!I49)),0)</f>
        <v>115</v>
      </c>
      <c r="I42">
        <f ca="1">IFERROR(LEN(_xlfn.FORMULATEXT('XL-Test'!K49)),0)</f>
        <v>56</v>
      </c>
    </row>
    <row r="43" spans="1:9">
      <c r="B43">
        <v>5</v>
      </c>
      <c r="C43">
        <f ca="1">IFERROR(LEN(_xlfn.FORMULATEXT('XL-Test'!D50)),0)</f>
        <v>11</v>
      </c>
      <c r="D43">
        <f ca="1">IFERROR(LEN(_xlfn.FORMULATEXT('XL-Test'!E50)),0)</f>
        <v>11</v>
      </c>
      <c r="E43">
        <f ca="1">IFERROR(LEN(_xlfn.FORMULATEXT('XL-Test'!F50)),0)</f>
        <v>12</v>
      </c>
      <c r="F43">
        <f ca="1">IFERROR(LEN(_xlfn.FORMULATEXT('XL-Test'!G50)),0)</f>
        <v>43</v>
      </c>
      <c r="G43">
        <f ca="1">IFERROR(LEN(_xlfn.FORMULATEXT('XL-Test'!H50)),0)</f>
        <v>96</v>
      </c>
      <c r="H43">
        <f ca="1">IFERROR(LEN(_xlfn.FORMULATEXT('XL-Test'!I50)),0)</f>
        <v>115</v>
      </c>
      <c r="I43">
        <f ca="1">IFERROR(LEN(_xlfn.FORMULATEXT('XL-Test'!K50)),0)</f>
        <v>56</v>
      </c>
    </row>
    <row r="44" spans="1:9">
      <c r="B44">
        <v>6</v>
      </c>
      <c r="C44">
        <f ca="1">IFERROR(LEN(_xlfn.FORMULATEXT('XL-Test'!D51)),0)</f>
        <v>11</v>
      </c>
      <c r="D44">
        <f ca="1">IFERROR(LEN(_xlfn.FORMULATEXT('XL-Test'!E51)),0)</f>
        <v>11</v>
      </c>
      <c r="E44">
        <f ca="1">IFERROR(LEN(_xlfn.FORMULATEXT('XL-Test'!F51)),0)</f>
        <v>12</v>
      </c>
      <c r="F44">
        <f ca="1">IFERROR(LEN(_xlfn.FORMULATEXT('XL-Test'!G51)),0)</f>
        <v>43</v>
      </c>
      <c r="G44">
        <f ca="1">IFERROR(LEN(_xlfn.FORMULATEXT('XL-Test'!H51)),0)</f>
        <v>96</v>
      </c>
      <c r="H44">
        <f ca="1">IFERROR(LEN(_xlfn.FORMULATEXT('XL-Test'!I51)),0)</f>
        <v>115</v>
      </c>
      <c r="I44">
        <f ca="1">IFERROR(LEN(_xlfn.FORMULATEXT('XL-Test'!K51)),0)</f>
        <v>56</v>
      </c>
    </row>
    <row r="45" spans="1:9">
      <c r="B45">
        <v>7</v>
      </c>
      <c r="C45">
        <f ca="1">IFERROR(LEN(_xlfn.FORMULATEXT('XL-Test'!D52)),0)</f>
        <v>11</v>
      </c>
      <c r="D45">
        <f ca="1">IFERROR(LEN(_xlfn.FORMULATEXT('XL-Test'!E52)),0)</f>
        <v>11</v>
      </c>
      <c r="E45">
        <f ca="1">IFERROR(LEN(_xlfn.FORMULATEXT('XL-Test'!F52)),0)</f>
        <v>12</v>
      </c>
      <c r="F45">
        <f ca="1">IFERROR(LEN(_xlfn.FORMULATEXT('XL-Test'!G52)),0)</f>
        <v>43</v>
      </c>
      <c r="G45">
        <f ca="1">IFERROR(LEN(_xlfn.FORMULATEXT('XL-Test'!H52)),0)</f>
        <v>96</v>
      </c>
      <c r="H45">
        <f ca="1">IFERROR(LEN(_xlfn.FORMULATEXT('XL-Test'!I52)),0)</f>
        <v>115</v>
      </c>
      <c r="I45">
        <f ca="1">IFERROR(LEN(_xlfn.FORMULATEXT('XL-Test'!K52)),0)</f>
        <v>56</v>
      </c>
    </row>
    <row r="46" spans="1:9">
      <c r="B46">
        <v>8</v>
      </c>
      <c r="C46">
        <f ca="1">IFERROR(LEN(_xlfn.FORMULATEXT('XL-Test'!D53)),0)</f>
        <v>11</v>
      </c>
      <c r="D46">
        <f ca="1">IFERROR(LEN(_xlfn.FORMULATEXT('XL-Test'!E53)),0)</f>
        <v>11</v>
      </c>
      <c r="E46">
        <f ca="1">IFERROR(LEN(_xlfn.FORMULATEXT('XL-Test'!F53)),0)</f>
        <v>12</v>
      </c>
      <c r="F46">
        <f ca="1">IFERROR(LEN(_xlfn.FORMULATEXT('XL-Test'!G53)),0)</f>
        <v>43</v>
      </c>
      <c r="G46">
        <f ca="1">IFERROR(LEN(_xlfn.FORMULATEXT('XL-Test'!H53)),0)</f>
        <v>96</v>
      </c>
      <c r="H46">
        <f ca="1">IFERROR(LEN(_xlfn.FORMULATEXT('XL-Test'!I53)),0)</f>
        <v>115</v>
      </c>
      <c r="I46">
        <f ca="1">IFERROR(LEN(_xlfn.FORMULATEXT('XL-Test'!K53)),0)</f>
        <v>56</v>
      </c>
    </row>
    <row r="47" spans="1:9">
      <c r="B47">
        <v>9</v>
      </c>
      <c r="C47">
        <f ca="1">IFERROR(LEN(_xlfn.FORMULATEXT('XL-Test'!D54)),0)</f>
        <v>11</v>
      </c>
      <c r="D47">
        <f ca="1">IFERROR(LEN(_xlfn.FORMULATEXT('XL-Test'!E54)),0)</f>
        <v>11</v>
      </c>
      <c r="E47">
        <f ca="1">IFERROR(LEN(_xlfn.FORMULATEXT('XL-Test'!F54)),0)</f>
        <v>12</v>
      </c>
      <c r="F47">
        <f ca="1">IFERROR(LEN(_xlfn.FORMULATEXT('XL-Test'!G54)),0)</f>
        <v>43</v>
      </c>
      <c r="G47">
        <f ca="1">IFERROR(LEN(_xlfn.FORMULATEXT('XL-Test'!H54)),0)</f>
        <v>96</v>
      </c>
      <c r="H47">
        <f ca="1">IFERROR(LEN(_xlfn.FORMULATEXT('XL-Test'!I54)),0)</f>
        <v>115</v>
      </c>
      <c r="I47">
        <f ca="1">IFERROR(LEN(_xlfn.FORMULATEXT('XL-Test'!K54)),0)</f>
        <v>56</v>
      </c>
    </row>
    <row r="48" spans="1:9">
      <c r="B48">
        <v>10</v>
      </c>
      <c r="C48">
        <f ca="1">IFERROR(LEN(_xlfn.FORMULATEXT('XL-Test'!D55)),0)</f>
        <v>11</v>
      </c>
      <c r="D48">
        <f ca="1">IFERROR(LEN(_xlfn.FORMULATEXT('XL-Test'!E55)),0)</f>
        <v>11</v>
      </c>
      <c r="E48">
        <f ca="1">IFERROR(LEN(_xlfn.FORMULATEXT('XL-Test'!F55)),0)</f>
        <v>12</v>
      </c>
      <c r="F48">
        <f ca="1">IFERROR(LEN(_xlfn.FORMULATEXT('XL-Test'!G55)),0)</f>
        <v>43</v>
      </c>
      <c r="G48">
        <f ca="1">IFERROR(LEN(_xlfn.FORMULATEXT('XL-Test'!H55)),0)</f>
        <v>96</v>
      </c>
      <c r="H48">
        <f ca="1">IFERROR(LEN(_xlfn.FORMULATEXT('XL-Test'!I55)),0)</f>
        <v>115</v>
      </c>
      <c r="I48">
        <f ca="1">IFERROR(LEN(_xlfn.FORMULATEXT('XL-Test'!K55)),0)</f>
        <v>56</v>
      </c>
    </row>
    <row r="49" spans="1:9">
      <c r="B49">
        <v>11</v>
      </c>
      <c r="C49">
        <f ca="1">IFERROR(LEN(_xlfn.FORMULATEXT('XL-Test'!D56)),0)</f>
        <v>11</v>
      </c>
      <c r="D49">
        <f ca="1">IFERROR(LEN(_xlfn.FORMULATEXT('XL-Test'!E56)),0)</f>
        <v>11</v>
      </c>
      <c r="E49">
        <f ca="1">IFERROR(LEN(_xlfn.FORMULATEXT('XL-Test'!F56)),0)</f>
        <v>12</v>
      </c>
      <c r="F49">
        <f ca="1">IFERROR(LEN(_xlfn.FORMULATEXT('XL-Test'!G56)),0)</f>
        <v>43</v>
      </c>
      <c r="G49">
        <f ca="1">IFERROR(LEN(_xlfn.FORMULATEXT('XL-Test'!H56)),0)</f>
        <v>96</v>
      </c>
      <c r="H49">
        <f ca="1">IFERROR(LEN(_xlfn.FORMULATEXT('XL-Test'!I56)),0)</f>
        <v>115</v>
      </c>
      <c r="I49">
        <f ca="1">IFERROR(LEN(_xlfn.FORMULATEXT('XL-Test'!K56)),0)</f>
        <v>56</v>
      </c>
    </row>
    <row r="50" spans="1:9">
      <c r="B50">
        <v>12</v>
      </c>
      <c r="C50">
        <f ca="1">IFERROR(LEN(_xlfn.FORMULATEXT('XL-Test'!D57)),0)</f>
        <v>11</v>
      </c>
      <c r="D50">
        <f ca="1">IFERROR(LEN(_xlfn.FORMULATEXT('XL-Test'!E57)),0)</f>
        <v>11</v>
      </c>
      <c r="E50">
        <f ca="1">IFERROR(LEN(_xlfn.FORMULATEXT('XL-Test'!F57)),0)</f>
        <v>12</v>
      </c>
      <c r="F50">
        <f ca="1">IFERROR(LEN(_xlfn.FORMULATEXT('XL-Test'!G57)),0)</f>
        <v>43</v>
      </c>
      <c r="G50">
        <f ca="1">IFERROR(LEN(_xlfn.FORMULATEXT('XL-Test'!H57)),0)</f>
        <v>96</v>
      </c>
      <c r="H50">
        <f ca="1">IFERROR(LEN(_xlfn.FORMULATEXT('XL-Test'!I57)),0)</f>
        <v>115</v>
      </c>
      <c r="I50">
        <f ca="1">IFERROR(LEN(_xlfn.FORMULATEXT('XL-Test'!K57)),0)</f>
        <v>56</v>
      </c>
    </row>
    <row r="51" spans="1:9">
      <c r="B51">
        <v>13</v>
      </c>
      <c r="C51">
        <f ca="1">IFERROR(LEN(_xlfn.FORMULATEXT('XL-Test'!D58)),0)</f>
        <v>11</v>
      </c>
      <c r="D51">
        <f ca="1">IFERROR(LEN(_xlfn.FORMULATEXT('XL-Test'!E58)),0)</f>
        <v>11</v>
      </c>
      <c r="E51">
        <f ca="1">IFERROR(LEN(_xlfn.FORMULATEXT('XL-Test'!F58)),0)</f>
        <v>12</v>
      </c>
      <c r="F51">
        <f ca="1">IFERROR(LEN(_xlfn.FORMULATEXT('XL-Test'!G58)),0)</f>
        <v>43</v>
      </c>
      <c r="G51">
        <f ca="1">IFERROR(LEN(_xlfn.FORMULATEXT('XL-Test'!H58)),0)</f>
        <v>96</v>
      </c>
      <c r="H51">
        <f ca="1">IFERROR(LEN(_xlfn.FORMULATEXT('XL-Test'!I58)),0)</f>
        <v>115</v>
      </c>
      <c r="I51">
        <f ca="1">IFERROR(LEN(_xlfn.FORMULATEXT('XL-Test'!K58)),0)</f>
        <v>56</v>
      </c>
    </row>
    <row r="52" spans="1:9">
      <c r="B52">
        <v>14</v>
      </c>
      <c r="C52">
        <f ca="1">IFERROR(LEN(_xlfn.FORMULATEXT('XL-Test'!D59)),0)</f>
        <v>11</v>
      </c>
      <c r="D52">
        <f ca="1">IFERROR(LEN(_xlfn.FORMULATEXT('XL-Test'!E59)),0)</f>
        <v>11</v>
      </c>
      <c r="E52">
        <f ca="1">IFERROR(LEN(_xlfn.FORMULATEXT('XL-Test'!F59)),0)</f>
        <v>12</v>
      </c>
      <c r="F52">
        <f ca="1">IFERROR(LEN(_xlfn.FORMULATEXT('XL-Test'!G59)),0)</f>
        <v>43</v>
      </c>
      <c r="G52">
        <f ca="1">IFERROR(LEN(_xlfn.FORMULATEXT('XL-Test'!H59)),0)</f>
        <v>96</v>
      </c>
      <c r="H52">
        <f ca="1">IFERROR(LEN(_xlfn.FORMULATEXT('XL-Test'!I59)),0)</f>
        <v>115</v>
      </c>
      <c r="I52">
        <f ca="1">IFERROR(LEN(_xlfn.FORMULATEXT('XL-Test'!K59)),0)</f>
        <v>56</v>
      </c>
    </row>
    <row r="53" spans="1:9">
      <c r="B53">
        <v>15</v>
      </c>
      <c r="C53">
        <f ca="1">IFERROR(LEN(_xlfn.FORMULATEXT('XL-Test'!D60)),0)</f>
        <v>11</v>
      </c>
      <c r="D53">
        <f ca="1">IFERROR(LEN(_xlfn.FORMULATEXT('XL-Test'!E60)),0)</f>
        <v>11</v>
      </c>
      <c r="E53">
        <f ca="1">IFERROR(LEN(_xlfn.FORMULATEXT('XL-Test'!F60)),0)</f>
        <v>12</v>
      </c>
      <c r="F53">
        <f ca="1">IFERROR(LEN(_xlfn.FORMULATEXT('XL-Test'!G60)),0)</f>
        <v>43</v>
      </c>
      <c r="G53">
        <f ca="1">IFERROR(LEN(_xlfn.FORMULATEXT('XL-Test'!H60)),0)</f>
        <v>96</v>
      </c>
      <c r="H53">
        <f ca="1">IFERROR(LEN(_xlfn.FORMULATEXT('XL-Test'!I60)),0)</f>
        <v>115</v>
      </c>
      <c r="I53">
        <f ca="1">IFERROR(LEN(_xlfn.FORMULATEXT('XL-Test'!K60)),0)</f>
        <v>56</v>
      </c>
    </row>
    <row r="55" spans="1:9">
      <c r="A55" t="s">
        <v>97</v>
      </c>
      <c r="C55" t="b">
        <f ca="1">AVERAGE(C39:C53)=C40</f>
        <v>1</v>
      </c>
      <c r="D55" t="b">
        <f t="shared" ref="D55:I55" ca="1" si="7">AVERAGE(D39:D53)=D40</f>
        <v>1</v>
      </c>
      <c r="E55" t="b">
        <f t="shared" ca="1" si="7"/>
        <v>1</v>
      </c>
      <c r="F55" t="b">
        <f t="shared" ca="1" si="7"/>
        <v>1</v>
      </c>
      <c r="G55" t="b">
        <f t="shared" ca="1" si="7"/>
        <v>1</v>
      </c>
      <c r="H55" t="b">
        <f t="shared" ca="1" si="7"/>
        <v>1</v>
      </c>
      <c r="I55" t="b">
        <f t="shared" ca="1" si="7"/>
        <v>1</v>
      </c>
    </row>
    <row r="56" spans="1:9">
      <c r="A56" t="s">
        <v>98</v>
      </c>
      <c r="C56" t="b">
        <f ca="1">IF(AND(C39&gt;0,C44=0,C7&lt;&gt;""),TRUE,FALSE)</f>
        <v>0</v>
      </c>
      <c r="D56" t="b">
        <f t="shared" ref="D56:I56" ca="1" si="8">IF(AND(D39&gt;0,D44=0,D7&lt;&gt;""),TRUE,FALSE)</f>
        <v>0</v>
      </c>
      <c r="E56" t="b">
        <f t="shared" ca="1" si="8"/>
        <v>0</v>
      </c>
      <c r="F56" t="b">
        <f t="shared" ca="1" si="8"/>
        <v>0</v>
      </c>
      <c r="G56" t="b">
        <f t="shared" ca="1" si="8"/>
        <v>0</v>
      </c>
      <c r="H56" t="b">
        <f t="shared" ca="1" si="8"/>
        <v>0</v>
      </c>
      <c r="I56" t="b">
        <f t="shared" ca="1" si="8"/>
        <v>0</v>
      </c>
    </row>
    <row r="58" spans="1:9">
      <c r="C58" t="b">
        <f ca="1">IFERROR(OR(C55:C56),FALSE)</f>
        <v>1</v>
      </c>
      <c r="D58" t="b">
        <f t="shared" ref="D58:I58" ca="1" si="9">IFERROR(OR(D55:D56),FALSE)</f>
        <v>1</v>
      </c>
      <c r="E58" t="b">
        <f t="shared" ca="1" si="9"/>
        <v>1</v>
      </c>
      <c r="F58" t="b">
        <f t="shared" ca="1" si="9"/>
        <v>1</v>
      </c>
      <c r="G58" t="b">
        <f t="shared" ca="1" si="9"/>
        <v>1</v>
      </c>
      <c r="H58" t="b">
        <f t="shared" ca="1" si="9"/>
        <v>1</v>
      </c>
      <c r="I58" t="b">
        <f t="shared" ca="1" si="9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XL-Test</vt:lpstr>
      <vt:lpstr>About</vt:lpstr>
      <vt:lpstr>DF!amb</vt:lpstr>
      <vt:lpstr>Kode_jawaban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setiadi</dc:creator>
  <cp:lastModifiedBy>Siti Rukoyah Al Munazalah</cp:lastModifiedBy>
  <dcterms:created xsi:type="dcterms:W3CDTF">2025-12-23T03:26:20Z</dcterms:created>
  <dcterms:modified xsi:type="dcterms:W3CDTF">2026-06-08T08:44:39Z</dcterms:modified>
</cp:coreProperties>
</file>