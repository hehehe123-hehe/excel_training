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-test" sheetId="1" r:id="rId5"/>
    <sheet state="visible" name="About" sheetId="2" r:id="rId6"/>
    <sheet state="hidden" name="DF" sheetId="3" r:id="rId7"/>
  </sheets>
  <definedNames>
    <definedName localSheetId="2" name="Saya">DF!$C$47</definedName>
    <definedName name="kode_jawaban">DF!$C$48</definedName>
  </definedNames>
  <calcPr/>
</workbook>
</file>

<file path=xl/sharedStrings.xml><?xml version="1.0" encoding="utf-8"?>
<sst xmlns="http://schemas.openxmlformats.org/spreadsheetml/2006/main" count="135" uniqueCount="108">
  <si>
    <t>KODE SOAL</t>
  </si>
  <si>
    <t>SBEE009</t>
  </si>
  <si>
    <t>KODE JAWABAN</t>
  </si>
  <si>
    <t>Intruksi</t>
  </si>
  <si>
    <r>
      <rPr>
        <rFont val="Aptos Narrow"/>
        <b/>
        <color rgb="FF00B050"/>
        <sz val="12.0"/>
      </rPr>
      <t>Easy Level</t>
    </r>
    <r>
      <rPr>
        <rFont val="Aptos Narrow"/>
        <b/>
        <color theme="1"/>
        <sz val="12.0"/>
      </rPr>
      <t xml:space="preserve"> - Latihan Soal Admin Kredir Perumahan</t>
    </r>
  </si>
  <si>
    <t>Soal  :</t>
  </si>
  <si>
    <t>Gunakan Fungsi Excel (Function) untuk menyelsaikan kasus dibawah ini, tidak disarankan menggunakan cara manual</t>
  </si>
  <si>
    <r>
      <rPr>
        <rFont val="Aptos Narrow"/>
        <color theme="1"/>
        <sz val="11.0"/>
      </rPr>
      <t xml:space="preserve">Isi </t>
    </r>
    <r>
      <rPr>
        <rFont val="Aptos Narrow"/>
        <b/>
        <color rgb="FF00B050"/>
        <sz val="11.0"/>
      </rPr>
      <t>Luas Tanah</t>
    </r>
    <r>
      <rPr>
        <rFont val="Aptos Narrow"/>
        <color theme="1"/>
        <sz val="11.0"/>
      </rPr>
      <t xml:space="preserve"> berdasarkan Kode dari </t>
    </r>
    <r>
      <rPr>
        <rFont val="Aptos Narrow"/>
        <b/>
        <color theme="5"/>
        <sz val="11.0"/>
      </rPr>
      <t>Table Rumah</t>
    </r>
  </si>
  <si>
    <r>
      <rPr>
        <rFont val="Aptos Narrow"/>
        <color theme="1"/>
        <sz val="11.0"/>
      </rPr>
      <t xml:space="preserve">isi </t>
    </r>
    <r>
      <rPr>
        <rFont val="Aptos Narrow"/>
        <b/>
        <color rgb="FF00B050"/>
        <sz val="11.0"/>
      </rPr>
      <t xml:space="preserve">Harga Jual </t>
    </r>
    <r>
      <rPr>
        <rFont val="Aptos Narrow"/>
        <color theme="1"/>
        <sz val="11.0"/>
      </rPr>
      <t xml:space="preserve">berdasarkan Kode dari </t>
    </r>
    <r>
      <rPr>
        <rFont val="Aptos Narrow"/>
        <b/>
        <color theme="5"/>
        <sz val="11.0"/>
      </rPr>
      <t>Table Rumah</t>
    </r>
  </si>
  <si>
    <t>Table Kredit</t>
  </si>
  <si>
    <r>
      <rPr>
        <rFont val="Aptos Narrow"/>
        <color theme="1"/>
        <sz val="11.0"/>
      </rPr>
      <t xml:space="preserve">isi </t>
    </r>
    <r>
      <rPr>
        <rFont val="Aptos Narrow"/>
        <b/>
        <color rgb="FF00B050"/>
        <sz val="11.0"/>
      </rPr>
      <t>Biaya Ppn</t>
    </r>
    <r>
      <rPr>
        <rFont val="Aptos Narrow"/>
        <color theme="1"/>
        <sz val="11.0"/>
      </rPr>
      <t xml:space="preserve"> berdasarkan Kode dari </t>
    </r>
    <r>
      <rPr>
        <rFont val="Aptos Narrow"/>
        <b/>
        <color theme="5"/>
        <sz val="11.0"/>
      </rPr>
      <t>Table Rumah</t>
    </r>
    <r>
      <rPr>
        <rFont val="Aptos Narrow"/>
        <color theme="1"/>
        <sz val="11.0"/>
      </rPr>
      <t xml:space="preserve"> dikali </t>
    </r>
    <r>
      <rPr>
        <rFont val="Aptos Narrow"/>
        <b/>
        <color rgb="FF00B050"/>
        <sz val="11.0"/>
      </rPr>
      <t>Harga jual</t>
    </r>
  </si>
  <si>
    <t>Kode</t>
  </si>
  <si>
    <t>RT60</t>
  </si>
  <si>
    <t>RT80</t>
  </si>
  <si>
    <t>R2L</t>
  </si>
  <si>
    <t>CL1</t>
  </si>
  <si>
    <t>CL2</t>
  </si>
  <si>
    <r>
      <rPr>
        <rFont val="Aptos Narrow"/>
        <color theme="1"/>
        <sz val="11.0"/>
      </rPr>
      <t xml:space="preserve">isi </t>
    </r>
    <r>
      <rPr>
        <rFont val="Aptos Narrow"/>
        <b/>
        <color rgb="FF00B050"/>
        <sz val="11.0"/>
      </rPr>
      <t>Total Harga Jual</t>
    </r>
    <r>
      <rPr>
        <rFont val="Aptos Narrow"/>
        <color theme="1"/>
        <sz val="11.0"/>
      </rPr>
      <t xml:space="preserve"> dari </t>
    </r>
    <r>
      <rPr>
        <rFont val="Aptos Narrow"/>
        <b/>
        <color rgb="FF00B050"/>
        <sz val="11.0"/>
      </rPr>
      <t>Harga Jual</t>
    </r>
    <r>
      <rPr>
        <rFont val="Aptos Narrow"/>
        <color theme="1"/>
        <sz val="11.0"/>
      </rPr>
      <t xml:space="preserve"> ditambah </t>
    </r>
    <r>
      <rPr>
        <rFont val="Aptos Narrow"/>
        <b/>
        <color rgb="FF00B050"/>
        <sz val="11.0"/>
      </rPr>
      <t>Biaya PPn</t>
    </r>
  </si>
  <si>
    <t>Uang Muka</t>
  </si>
  <si>
    <r>
      <rPr>
        <rFont val="Aptos Narrow"/>
        <color theme="1"/>
        <sz val="11.0"/>
      </rPr>
      <t xml:space="preserve">Isi </t>
    </r>
    <r>
      <rPr>
        <rFont val="Aptos Narrow"/>
        <b/>
        <color rgb="FF00B050"/>
        <sz val="11.0"/>
      </rPr>
      <t>Uang Muka</t>
    </r>
    <r>
      <rPr>
        <rFont val="Aptos Narrow"/>
        <color theme="1"/>
        <sz val="11.0"/>
      </rPr>
      <t xml:space="preserve"> berdasarkan kode dari </t>
    </r>
    <r>
      <rPr>
        <rFont val="Aptos Narrow"/>
        <b/>
        <color theme="5"/>
        <sz val="11.0"/>
      </rPr>
      <t>Table Kredi</t>
    </r>
    <r>
      <rPr>
        <rFont val="Aptos Narrow"/>
        <color theme="1"/>
        <sz val="11.0"/>
      </rPr>
      <t xml:space="preserve">t dikali </t>
    </r>
    <r>
      <rPr>
        <rFont val="Aptos Narrow"/>
        <b/>
        <color rgb="FF00B050"/>
        <sz val="11.0"/>
      </rPr>
      <t>Harga Jual</t>
    </r>
  </si>
  <si>
    <t>Bunga</t>
  </si>
  <si>
    <r>
      <rPr>
        <rFont val="Aptos Narrow"/>
        <b/>
        <color rgb="FF00B050"/>
        <sz val="11.0"/>
      </rPr>
      <t>Pokok Per Bulan</t>
    </r>
    <r>
      <rPr>
        <rFont val="Aptos Narrow"/>
        <color theme="1"/>
        <sz val="11.0"/>
      </rPr>
      <t xml:space="preserve"> didapat dari </t>
    </r>
    <r>
      <rPr>
        <rFont val="Aptos Narrow"/>
        <b/>
        <color rgb="FF00B050"/>
        <sz val="11.0"/>
      </rPr>
      <t>Harga Jual</t>
    </r>
    <r>
      <rPr>
        <rFont val="Aptos Narrow"/>
        <color theme="1"/>
        <sz val="11.0"/>
      </rPr>
      <t xml:space="preserve"> dikurangi </t>
    </r>
    <r>
      <rPr>
        <rFont val="Aptos Narrow"/>
        <b/>
        <color rgb="FF00B050"/>
        <sz val="11.0"/>
      </rPr>
      <t>Uang muka</t>
    </r>
    <r>
      <rPr>
        <rFont val="Aptos Narrow"/>
        <color theme="1"/>
        <sz val="11.0"/>
      </rPr>
      <t xml:space="preserve"> dibagi </t>
    </r>
    <r>
      <rPr>
        <rFont val="Aptos Narrow"/>
        <b/>
        <color rgb="FF00B050"/>
        <sz val="11.0"/>
      </rPr>
      <t>Lama Bulan</t>
    </r>
  </si>
  <si>
    <r>
      <rPr>
        <rFont val="Aptos Narrow"/>
        <b/>
        <color rgb="FF00B050"/>
        <sz val="11.0"/>
      </rPr>
      <t>Bunga Per Bulan</t>
    </r>
    <r>
      <rPr>
        <rFont val="Aptos Narrow"/>
        <color theme="1"/>
        <sz val="11.0"/>
      </rPr>
      <t xml:space="preserve"> didapat dari </t>
    </r>
    <r>
      <rPr>
        <rFont val="Aptos Narrow"/>
        <b/>
        <color theme="5"/>
        <sz val="11.0"/>
      </rPr>
      <t>Table Kredit</t>
    </r>
    <r>
      <rPr>
        <rFont val="Aptos Narrow"/>
        <color theme="1"/>
        <sz val="11.0"/>
      </rPr>
      <t xml:space="preserve"> dikali </t>
    </r>
    <r>
      <rPr>
        <rFont val="Aptos Narrow"/>
        <b/>
        <color rgb="FF00B050"/>
        <sz val="11.0"/>
      </rPr>
      <t>Harga Jual</t>
    </r>
    <r>
      <rPr>
        <rFont val="Aptos Narrow"/>
        <color theme="1"/>
        <sz val="11.0"/>
      </rPr>
      <t xml:space="preserve"> dibagi 12 Bulan</t>
    </r>
  </si>
  <si>
    <t>Table Rumah</t>
  </si>
  <si>
    <r>
      <rPr>
        <rFont val="Aptos Narrow"/>
        <b/>
        <color rgb="FF00B050"/>
        <sz val="11.0"/>
      </rPr>
      <t>Setoran Per Bulan</t>
    </r>
    <r>
      <rPr>
        <rFont val="Aptos Narrow"/>
        <color theme="1"/>
        <sz val="11.0"/>
      </rPr>
      <t xml:space="preserve"> didapat dari </t>
    </r>
    <r>
      <rPr>
        <rFont val="Aptos Narrow"/>
        <b/>
        <color rgb="FF00B050"/>
        <sz val="11.0"/>
      </rPr>
      <t>Pokok</t>
    </r>
    <r>
      <rPr>
        <rFont val="Aptos Narrow"/>
        <color theme="1"/>
        <sz val="11.0"/>
      </rPr>
      <t xml:space="preserve"> ditambah </t>
    </r>
    <r>
      <rPr>
        <rFont val="Aptos Narrow"/>
        <b/>
        <color rgb="FF00B050"/>
        <sz val="11.0"/>
      </rPr>
      <t>Bunga</t>
    </r>
  </si>
  <si>
    <t>Luas Tanah</t>
  </si>
  <si>
    <t>Harga Jual</t>
  </si>
  <si>
    <t>Biaya PPn</t>
  </si>
  <si>
    <r>
      <rPr>
        <rFont val="Aptos Narrow"/>
        <b/>
        <color rgb="FF00B050"/>
        <sz val="11.0"/>
      </rPr>
      <t>Total Harga kredit</t>
    </r>
    <r>
      <rPr>
        <rFont val="Aptos Narrow"/>
        <color theme="1"/>
        <sz val="11.0"/>
      </rPr>
      <t xml:space="preserve"> adalah </t>
    </r>
    <r>
      <rPr>
        <rFont val="Aptos Narrow"/>
        <b/>
        <color rgb="FF00B050"/>
        <sz val="11.0"/>
      </rPr>
      <t>Uang Muka</t>
    </r>
    <r>
      <rPr>
        <rFont val="Aptos Narrow"/>
        <color theme="1"/>
        <sz val="11.0"/>
      </rPr>
      <t xml:space="preserve"> ditambah </t>
    </r>
    <r>
      <rPr>
        <rFont val="Aptos Narrow"/>
        <b/>
        <color rgb="FF00B050"/>
        <sz val="11.0"/>
      </rPr>
      <t>Biaya PPn</t>
    </r>
    <r>
      <rPr>
        <rFont val="Aptos Narrow"/>
        <color theme="1"/>
        <sz val="11.0"/>
      </rPr>
      <t xml:space="preserve"> ditambah </t>
    </r>
    <r>
      <rPr>
        <rFont val="Aptos Narrow"/>
        <b/>
        <color rgb="FF00B050"/>
        <sz val="11.0"/>
      </rPr>
      <t>Setoran</t>
    </r>
    <r>
      <rPr>
        <rFont val="Aptos Narrow"/>
        <color theme="1"/>
        <sz val="11.0"/>
      </rPr>
      <t xml:space="preserve"> Selama kredit</t>
    </r>
  </si>
  <si>
    <r>
      <rPr>
        <rFont val="Aptos Narrow"/>
        <b/>
        <color rgb="FF00B050"/>
        <sz val="11.0"/>
      </rPr>
      <t>Tanggal Lunas</t>
    </r>
    <r>
      <rPr>
        <rFont val="Aptos Narrow"/>
        <color theme="1"/>
        <sz val="11.0"/>
      </rPr>
      <t xml:space="preserve"> didapatkan dari</t>
    </r>
    <r>
      <rPr>
        <rFont val="Aptos Narrow"/>
        <b/>
        <color rgb="FF00B050"/>
        <sz val="11.0"/>
      </rPr>
      <t xml:space="preserve"> Tanggal Akad</t>
    </r>
    <r>
      <rPr>
        <rFont val="Aptos Narrow"/>
        <color theme="1"/>
        <sz val="11.0"/>
      </rPr>
      <t xml:space="preserve"> ditambah </t>
    </r>
    <r>
      <rPr>
        <rFont val="Aptos Narrow"/>
        <b/>
        <color rgb="FF00B050"/>
        <sz val="11.0"/>
      </rPr>
      <t>Lama bulan</t>
    </r>
  </si>
  <si>
    <r>
      <rPr>
        <rFont val="Aptos Narrow"/>
        <b/>
        <i/>
        <color rgb="FF0070C0"/>
        <sz val="11.0"/>
      </rPr>
      <t>Sudah selesai mengerjakan?</t>
    </r>
    <r>
      <rPr>
        <rFont val="Aptos Narrow"/>
        <i/>
        <color rgb="FF0070C0"/>
        <sz val="11.0"/>
      </rPr>
      <t xml:space="preserve"> </t>
    </r>
  </si>
  <si>
    <t>kirim Kode Soal dan Kode Jawaban diatas ke alamat :  https://belajarexcel.id/xl-test/jawaban  untuk mengecek hasilnya</t>
  </si>
  <si>
    <t>atau klik tombol disamping</t>
  </si>
  <si>
    <t>DATA PENJUALAN KREDIT PERUMAHAN</t>
  </si>
  <si>
    <t>PT. BELAJAREXCEL.ID</t>
  </si>
  <si>
    <t>No</t>
  </si>
  <si>
    <t>Nama</t>
  </si>
  <si>
    <t>Biaya Ppn</t>
  </si>
  <si>
    <t>Total Harga Jual</t>
  </si>
  <si>
    <t>Lama Bulan</t>
  </si>
  <si>
    <t>Pokok 
Per bulan</t>
  </si>
  <si>
    <t>Bunga 
Per Bulan</t>
  </si>
  <si>
    <t>Angsuran
Per Bulan</t>
  </si>
  <si>
    <t>Total Harga Kredit</t>
  </si>
  <si>
    <t>Tanggal Akad</t>
  </si>
  <si>
    <t>Tanggal Lunas</t>
  </si>
  <si>
    <t>Contoh</t>
  </si>
  <si>
    <t>Leni Fitriani</t>
  </si>
  <si>
    <t>Indri Safitri</t>
  </si>
  <si>
    <t>Susi Susilawati</t>
  </si>
  <si>
    <t>Hendra Nugraha</t>
  </si>
  <si>
    <t>Silvia Ananda</t>
  </si>
  <si>
    <t>Lina Nurlaela</t>
  </si>
  <si>
    <t>Sarah Iskandar</t>
  </si>
  <si>
    <t>Erdian Angga</t>
  </si>
  <si>
    <t>Novi Navisa</t>
  </si>
  <si>
    <t>Setiadi Budiman</t>
  </si>
  <si>
    <t>Agus Somantri</t>
  </si>
  <si>
    <t>Indra Kurniawan</t>
  </si>
  <si>
    <t>Jajang Suhendar</t>
  </si>
  <si>
    <t>Wahyu Satria</t>
  </si>
  <si>
    <t>Diana Dewi</t>
  </si>
  <si>
    <t>Susanto Lim</t>
  </si>
  <si>
    <t>Yogas Akbar</t>
  </si>
  <si>
    <t>Dilarang mengubah Table, Menambah Table Baru atau Menambah Kolom Bantuan !!, Gunakan Table seperti yang sudah di sediakan soal.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</si>
  <si>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</si>
  <si>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</si>
  <si>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</si>
  <si>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</si>
  <si>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</si>
  <si>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</si>
  <si>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</si>
  <si>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</si>
  <si>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</si>
  <si>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</si>
  <si>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</si>
  <si>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</si>
  <si>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</si>
  <si>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</si>
  <si>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</si>
  <si>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</si>
  <si>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</si>
  <si>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</si>
  <si>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</si>
  <si>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</si>
  <si>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</si>
  <si>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</si>
  <si>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</si>
  <si>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</si>
  <si>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</si>
  <si>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</si>
  <si>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EI1</t>
  </si>
  <si>
    <t>Rnd</t>
  </si>
  <si>
    <t>Cek Kosong</t>
  </si>
  <si>
    <t>Cek Manual</t>
  </si>
  <si>
    <t>Cek Drag</t>
  </si>
  <si>
    <t>** V</t>
  </si>
  <si>
    <t>Formula</t>
  </si>
  <si>
    <t>Kurung</t>
  </si>
  <si>
    <t>**F</t>
  </si>
  <si>
    <t>SA</t>
  </si>
  <si>
    <t>Nilai</t>
  </si>
  <si>
    <t>Gabung'</t>
  </si>
  <si>
    <t>YA</t>
  </si>
  <si>
    <t>Normal</t>
  </si>
  <si>
    <t>Array</t>
  </si>
  <si>
    <t>Gabung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</si>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</sst>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0\ &quot;m&quot;"/>
    <numFmt numFmtId="166" formatCode="_-[$Rp-3809]* #,##0_-;\-[$Rp-3809]* #,##0_-;_-[$Rp-3809]* &quot;-&quot;??_-;_-@"/>
  </numFmts>
  <fonts count="35">
    <font>
      <sz val="11.0"/>
      <color theme="1"/>
      <name val="Aptos Narrow"/>
      <scheme val="minor"/>
    </font>
    <font>
      <b/>
      <sz val="12.0"/>
      <color theme="0"/>
      <name val="ROBOTECH GP"/>
    </font>
    <font>
      <b/>
      <sz val="14.0"/>
      <color theme="0"/>
      <name val="Roboto"/>
    </font>
    <font/>
    <font>
      <b/>
      <sz val="18.0"/>
      <color theme="0"/>
      <name val="Roboto"/>
    </font>
    <font>
      <b/>
      <sz val="18.0"/>
      <color theme="0"/>
      <name val="ROBOTECH GP"/>
    </font>
    <font>
      <sz val="12.0"/>
      <color theme="1"/>
      <name val="Aptos Narrow"/>
    </font>
    <font>
      <sz val="11.0"/>
      <color theme="1"/>
      <name val="Aptos Narrow"/>
    </font>
    <font>
      <b/>
      <sz val="12.0"/>
      <color theme="1"/>
      <name val="Aptos Narrow"/>
    </font>
    <font>
      <b/>
      <sz val="10.0"/>
      <color theme="1"/>
      <name val="Aptos Narrow"/>
    </font>
    <font>
      <b/>
      <sz val="10.0"/>
      <color rgb="FF00B050"/>
      <name val="Aptos Narrow"/>
    </font>
    <font>
      <i/>
      <sz val="11.0"/>
      <color rgb="FFA5A5A5"/>
      <name val="Aptos Narrow"/>
    </font>
    <font>
      <i/>
      <sz val="9.0"/>
      <color rgb="FF0F4861"/>
      <name val="Aptos Narrow"/>
    </font>
    <font>
      <b/>
      <sz val="11.0"/>
      <color rgb="FF0070C0"/>
      <name val="Aptos Narrow"/>
    </font>
    <font>
      <b/>
      <sz val="11.0"/>
      <color theme="5"/>
      <name val="Aptos Narrow"/>
    </font>
    <font>
      <sz val="11.0"/>
      <color theme="0"/>
      <name val="Aptos Narrow"/>
    </font>
    <font>
      <i/>
      <sz val="11.0"/>
      <color rgb="FF0070C0"/>
      <name val="Aptos Narrow"/>
    </font>
    <font>
      <sz val="14.0"/>
      <color theme="1"/>
      <name val="Aptos Narrow"/>
    </font>
    <font>
      <b/>
      <sz val="12.0"/>
      <color theme="0"/>
      <name val="Roboto"/>
    </font>
    <font>
      <sz val="9.0"/>
      <color theme="5"/>
      <name val="Aptos Narrow"/>
    </font>
    <font>
      <b/>
      <sz val="11.0"/>
      <color theme="0"/>
      <name val="ROBOTECH GP"/>
    </font>
    <font>
      <b/>
      <sz val="11.0"/>
      <color rgb="FF215E99"/>
      <name val="Aptos Narrow"/>
    </font>
    <font>
      <sz val="10.0"/>
      <color rgb="FF0070C0"/>
      <name val="Aptos Narrow"/>
    </font>
    <font>
      <sz val="9.0"/>
      <color rgb="FF0070C0"/>
      <name val="Aptos Narrow"/>
    </font>
    <font>
      <sz val="10.0"/>
      <color rgb="FF3D3D4E"/>
      <name val="Arial"/>
    </font>
    <font>
      <b/>
      <sz val="10.0"/>
      <color rgb="FF1D1F45"/>
      <name val="Arial"/>
    </font>
    <font>
      <sz val="10.0"/>
      <color rgb="FF1D1F45"/>
      <name val="Arial"/>
    </font>
    <font>
      <u/>
      <sz val="11.0"/>
      <color theme="10"/>
      <name val="Aptos Narrow"/>
    </font>
    <font>
      <b/>
      <sz val="11.0"/>
      <color theme="1"/>
      <name val="Aptos Narrow"/>
    </font>
    <font>
      <sz val="11.0"/>
      <color rgb="FF45B0E1"/>
      <name val="Aptos Narrow"/>
    </font>
    <font>
      <u/>
      <sz val="11.0"/>
      <color theme="10"/>
      <name val="Aptos Narrow"/>
    </font>
    <font>
      <b/>
      <sz val="10.0"/>
      <color rgb="FF0070C0"/>
      <name val="Aptos Narrow"/>
    </font>
    <font>
      <sz val="10.0"/>
      <color theme="0"/>
      <name val="Aptos Narrow"/>
    </font>
    <font>
      <u/>
      <sz val="11.0"/>
      <color theme="0"/>
      <name val="Aptos Narrow"/>
    </font>
    <font>
      <color theme="1"/>
      <name val="Aptos Narrow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A9085"/>
        <bgColor rgb="FF0A908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F4861"/>
        <bgColor rgb="FF0F4861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47D45A"/>
        <bgColor rgb="FF47D45A"/>
      </patternFill>
    </fill>
    <fill>
      <patternFill patternType="solid">
        <fgColor rgb="FF8ED873"/>
        <bgColor rgb="FF8ED873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rgb="FF00B050"/>
        <bgColor rgb="FF00B050"/>
      </patternFill>
    </fill>
  </fills>
  <borders count="21">
    <border/>
    <border>
      <left/>
      <right/>
      <top/>
      <bottom/>
    </border>
    <border>
      <right style="thin">
        <color rgb="FFFFC000"/>
      </right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F4861"/>
      </right>
      <top/>
      <bottom style="thin">
        <color theme="0"/>
      </bottom>
    </border>
    <border>
      <left style="thin">
        <color rgb="FF0F4861"/>
      </left>
      <right style="thin">
        <color rgb="FF0F4861"/>
      </right>
      <top style="thin">
        <color rgb="FF0F4861"/>
      </top>
      <bottom style="thin">
        <color rgb="FF0F4861"/>
      </bottom>
    </border>
    <border>
      <left style="thin">
        <color rgb="FF0F4861"/>
      </left>
      <right style="thin">
        <color rgb="FF000000"/>
      </right>
      <top style="thin">
        <color rgb="FF0F4861"/>
      </top>
      <bottom style="thin">
        <color rgb="FF0F4861"/>
      </bottom>
    </border>
    <border>
      <left/>
      <right style="thin">
        <color rgb="FF0F4861"/>
      </right>
      <top style="thin">
        <color theme="0"/>
      </top>
      <bottom style="thin">
        <color theme="0"/>
      </bottom>
    </border>
    <border>
      <left/>
      <right style="thin">
        <color rgb="FF0F4861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rgb="FF0F4861"/>
      </bottom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medium">
        <color rgb="FF0070C0"/>
      </right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2" fontId="2" numFmtId="164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left" vertical="center"/>
    </xf>
    <xf borderId="4" fillId="0" fontId="5" numFmtId="0" xfId="0" applyAlignment="1" applyBorder="1" applyFont="1">
      <alignment horizontal="center" vertical="center"/>
    </xf>
    <xf borderId="5" fillId="0" fontId="3" numFmtId="0" xfId="0" applyBorder="1" applyFont="1"/>
    <xf borderId="6" fillId="3" fontId="6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7" numFmtId="0" xfId="0" applyBorder="1" applyFont="1"/>
    <xf borderId="7" fillId="3" fontId="6" numFmtId="0" xfId="0" applyAlignment="1" applyBorder="1" applyFont="1">
      <alignment shrinkToFit="0" vertical="top" wrapText="1"/>
    </xf>
    <xf borderId="1" fillId="3" fontId="8" numFmtId="0" xfId="0" applyAlignment="1" applyBorder="1" applyFont="1">
      <alignment horizontal="left" vertical="top"/>
    </xf>
    <xf borderId="1" fillId="3" fontId="8" numFmtId="0" xfId="0" applyAlignment="1" applyBorder="1" applyFont="1">
      <alignment vertical="top"/>
    </xf>
    <xf borderId="1" fillId="3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right"/>
    </xf>
    <xf borderId="1" fillId="3" fontId="11" numFmtId="0" xfId="0" applyBorder="1" applyFont="1"/>
    <xf borderId="1" fillId="3" fontId="12" numFmtId="0" xfId="0" applyAlignment="1" applyBorder="1" applyFont="1">
      <alignment shrinkToFit="0" wrapText="1"/>
    </xf>
    <xf borderId="7" fillId="3" fontId="12" numFmtId="0" xfId="0" applyAlignment="1" applyBorder="1" applyFont="1">
      <alignment shrinkToFit="0" wrapText="1"/>
    </xf>
    <xf borderId="1" fillId="3" fontId="13" numFmtId="0" xfId="0" applyBorder="1" applyFont="1"/>
    <xf borderId="1" fillId="4" fontId="14" numFmtId="0" xfId="0" applyAlignment="1" applyBorder="1" applyFill="1" applyFont="1">
      <alignment horizontal="left"/>
    </xf>
    <xf borderId="7" fillId="3" fontId="7" numFmtId="0" xfId="0" applyBorder="1" applyFont="1"/>
    <xf borderId="8" fillId="5" fontId="15" numFmtId="0" xfId="0" applyAlignment="1" applyBorder="1" applyFill="1" applyFont="1">
      <alignment horizontal="center" vertical="center"/>
    </xf>
    <xf borderId="9" fillId="6" fontId="7" numFmtId="0" xfId="0" applyAlignment="1" applyBorder="1" applyFill="1" applyFont="1">
      <alignment horizontal="center"/>
    </xf>
    <xf borderId="10" fillId="6" fontId="7" numFmtId="0" xfId="0" applyAlignment="1" applyBorder="1" applyFont="1">
      <alignment horizontal="center"/>
    </xf>
    <xf borderId="11" fillId="5" fontId="15" numFmtId="0" xfId="0" applyAlignment="1" applyBorder="1" applyFont="1">
      <alignment horizontal="center" vertical="center"/>
    </xf>
    <xf borderId="9" fillId="7" fontId="7" numFmtId="10" xfId="0" applyAlignment="1" applyBorder="1" applyFill="1" applyFont="1" applyNumberFormat="1">
      <alignment horizontal="center"/>
    </xf>
    <xf borderId="10" fillId="7" fontId="7" numFmtId="10" xfId="0" applyAlignment="1" applyBorder="1" applyFont="1" applyNumberFormat="1">
      <alignment horizontal="center"/>
    </xf>
    <xf borderId="1" fillId="3" fontId="7" numFmtId="0" xfId="0" applyAlignment="1" applyBorder="1" applyFont="1">
      <alignment horizontal="left"/>
    </xf>
    <xf borderId="12" fillId="5" fontId="15" numFmtId="0" xfId="0" applyAlignment="1" applyBorder="1" applyFont="1">
      <alignment horizontal="center" vertical="center"/>
    </xf>
    <xf borderId="13" fillId="5" fontId="15" numFmtId="0" xfId="0" applyAlignment="1" applyBorder="1" applyFont="1">
      <alignment horizontal="center" vertical="center"/>
    </xf>
    <xf borderId="9" fillId="7" fontId="7" numFmtId="165" xfId="0" applyAlignment="1" applyBorder="1" applyFont="1" applyNumberFormat="1">
      <alignment horizontal="right"/>
    </xf>
    <xf borderId="9" fillId="7" fontId="7" numFmtId="166" xfId="0" applyBorder="1" applyFont="1" applyNumberFormat="1"/>
    <xf borderId="9" fillId="7" fontId="7" numFmtId="10" xfId="0" applyBorder="1" applyFont="1" applyNumberFormat="1"/>
    <xf borderId="1" fillId="3" fontId="13" numFmtId="0" xfId="0" applyAlignment="1" applyBorder="1" applyFont="1">
      <alignment horizontal="center" vertical="center"/>
    </xf>
    <xf borderId="1" fillId="3" fontId="16" numFmtId="0" xfId="0" applyBorder="1" applyFont="1"/>
    <xf borderId="1" fillId="8" fontId="7" numFmtId="0" xfId="0" applyBorder="1" applyFill="1" applyFont="1"/>
    <xf borderId="1" fillId="8" fontId="17" numFmtId="0" xfId="0" applyBorder="1" applyFont="1"/>
    <xf borderId="14" fillId="2" fontId="18" numFmtId="164" xfId="0" applyAlignment="1" applyBorder="1" applyFont="1" applyNumberFormat="1">
      <alignment horizontal="center" vertical="center"/>
    </xf>
    <xf borderId="0" fillId="0" fontId="19" numFmtId="0" xfId="0" applyFont="1"/>
    <xf borderId="15" fillId="9" fontId="7" numFmtId="0" xfId="0" applyAlignment="1" applyBorder="1" applyFill="1" applyFont="1">
      <alignment horizontal="center" shrinkToFit="0" vertical="center" wrapText="1"/>
    </xf>
    <xf borderId="15" fillId="10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15" fillId="7" fontId="7" numFmtId="0" xfId="0" applyAlignment="1" applyBorder="1" applyFont="1">
      <alignment horizontal="center"/>
    </xf>
    <xf borderId="15" fillId="7" fontId="7" numFmtId="0" xfId="0" applyAlignment="1" applyBorder="1" applyFont="1">
      <alignment horizontal="left"/>
    </xf>
    <xf borderId="15" fillId="7" fontId="7" numFmtId="165" xfId="0" applyBorder="1" applyFont="1" applyNumberFormat="1"/>
    <xf borderId="15" fillId="7" fontId="7" numFmtId="166" xfId="0" applyBorder="1" applyFont="1" applyNumberFormat="1"/>
    <xf borderId="15" fillId="7" fontId="7" numFmtId="0" xfId="0" applyAlignment="1" applyBorder="1" applyFont="1">
      <alignment horizontal="right"/>
    </xf>
    <xf borderId="15" fillId="7" fontId="7" numFmtId="14" xfId="0" applyAlignment="1" applyBorder="1" applyFont="1" applyNumberFormat="1">
      <alignment horizontal="right"/>
    </xf>
    <xf borderId="15" fillId="11" fontId="7" numFmtId="0" xfId="0" applyAlignment="1" applyBorder="1" applyFill="1" applyFont="1">
      <alignment horizontal="center" vertical="center"/>
    </xf>
    <xf borderId="15" fillId="11" fontId="7" numFmtId="0" xfId="0" applyAlignment="1" applyBorder="1" applyFont="1">
      <alignment horizontal="left"/>
    </xf>
    <xf borderId="15" fillId="11" fontId="7" numFmtId="0" xfId="0" applyAlignment="1" applyBorder="1" applyFont="1">
      <alignment horizontal="center"/>
    </xf>
    <xf borderId="15" fillId="12" fontId="7" numFmtId="165" xfId="0" applyBorder="1" applyFill="1" applyFont="1" applyNumberFormat="1"/>
    <xf borderId="15" fillId="12" fontId="7" numFmtId="166" xfId="0" applyBorder="1" applyFont="1" applyNumberFormat="1"/>
    <xf borderId="15" fillId="11" fontId="7" numFmtId="0" xfId="0" applyAlignment="1" applyBorder="1" applyFont="1">
      <alignment horizontal="right"/>
    </xf>
    <xf borderId="15" fillId="11" fontId="7" numFmtId="14" xfId="0" applyAlignment="1" applyBorder="1" applyFont="1" applyNumberFormat="1">
      <alignment horizontal="right"/>
    </xf>
    <xf borderId="15" fillId="12" fontId="7" numFmtId="14" xfId="0" applyAlignment="1" applyBorder="1" applyFont="1" applyNumberFormat="1">
      <alignment horizontal="right"/>
    </xf>
    <xf borderId="1" fillId="13" fontId="7" numFmtId="0" xfId="0" applyBorder="1" applyFill="1" applyFont="1"/>
    <xf borderId="0" fillId="0" fontId="20" numFmtId="0" xfId="0" applyAlignment="1" applyFont="1">
      <alignment horizontal="center" vertical="center"/>
    </xf>
    <xf borderId="0" fillId="0" fontId="7" numFmtId="0" xfId="0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5" fillId="0" fontId="21" numFmtId="0" xfId="0" applyBorder="1" applyFont="1"/>
    <xf borderId="18" fillId="0" fontId="22" numFmtId="0" xfId="0" applyAlignment="1" applyBorder="1" applyFont="1">
      <alignment horizontal="left"/>
    </xf>
    <xf borderId="19" fillId="0" fontId="3" numFmtId="0" xfId="0" applyBorder="1" applyFont="1"/>
    <xf borderId="18" fillId="0" fontId="23" numFmtId="0" xfId="0" applyAlignment="1" applyBorder="1" applyFont="1">
      <alignment horizontal="left"/>
    </xf>
    <xf borderId="15" fillId="0" fontId="23" numFmtId="0" xfId="0" applyAlignment="1" applyBorder="1" applyFont="1">
      <alignment horizontal="left"/>
    </xf>
    <xf borderId="15" fillId="0" fontId="23" numFmtId="0" xfId="0" applyBorder="1" applyFont="1"/>
    <xf borderId="0" fillId="0" fontId="24" numFmtId="0" xfId="0" applyAlignment="1" applyFont="1">
      <alignment horizontal="left" shrinkToFit="0" vertical="top" wrapText="1"/>
    </xf>
    <xf borderId="20" fillId="0" fontId="3" numFmtId="0" xfId="0" applyBorder="1" applyFont="1"/>
    <xf borderId="16" fillId="0" fontId="24" numFmtId="0" xfId="0" applyAlignment="1" applyBorder="1" applyFont="1">
      <alignment horizontal="left" shrinkToFit="0" vertical="top" wrapText="1"/>
    </xf>
    <xf borderId="0" fillId="0" fontId="25" numFmtId="0" xfId="0" applyAlignment="1" applyFont="1">
      <alignment horizontal="left" shrinkToFit="0" vertical="top" wrapText="1"/>
    </xf>
    <xf borderId="16" fillId="0" fontId="26" numFmtId="0" xfId="0" applyAlignment="1" applyBorder="1" applyFont="1">
      <alignment horizontal="left" shrinkToFit="0" vertical="top" wrapText="1"/>
    </xf>
    <xf borderId="15" fillId="0" fontId="27" numFmtId="0" xfId="0" applyAlignment="1" applyBorder="1" applyFont="1">
      <alignment vertical="top"/>
    </xf>
    <xf borderId="0" fillId="0" fontId="28" numFmtId="0" xfId="0" applyFont="1"/>
    <xf borderId="0" fillId="0" fontId="29" numFmtId="0" xfId="0" applyFont="1"/>
    <xf borderId="0" fillId="0" fontId="30" numFmtId="0" xfId="0" applyFont="1"/>
    <xf quotePrefix="1" borderId="0" fillId="0" fontId="29" numFmtId="0" xfId="0" applyFont="1"/>
    <xf borderId="4" fillId="0" fontId="20" numFmtId="0" xfId="0" applyAlignment="1" applyBorder="1" applyFont="1">
      <alignment horizontal="center" vertical="center"/>
    </xf>
    <xf borderId="1" fillId="2" fontId="7" numFmtId="0" xfId="0" applyBorder="1" applyFont="1"/>
    <xf borderId="1" fillId="2" fontId="31" numFmtId="0" xfId="0" applyBorder="1" applyFont="1"/>
    <xf borderId="1" fillId="2" fontId="15" numFmtId="0" xfId="0" applyBorder="1" applyFont="1"/>
    <xf borderId="1" fillId="2" fontId="32" numFmtId="0" xfId="0" applyBorder="1" applyFont="1"/>
    <xf borderId="1" fillId="2" fontId="33" numFmtId="0" xfId="0" applyBorder="1" applyFont="1"/>
    <xf borderId="0" fillId="0" fontId="34" numFmtId="0" xfId="0" applyFont="1"/>
    <xf borderId="0" fillId="0" fontId="34" numFmtId="165" xfId="0" applyFont="1" applyNumberFormat="1"/>
    <xf borderId="0" fillId="0" fontId="34" numFmtId="166" xfId="0" applyFont="1" applyNumberFormat="1"/>
    <xf borderId="0" fillId="0" fontId="7" numFmtId="14" xfId="0" applyFont="1" applyNumberFormat="1"/>
    <xf quotePrefix="1"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38100</xdr:rowOff>
    </xdr:from>
    <xdr:ext cx="1571625" cy="238125"/>
    <xdr:sp>
      <xdr:nvSpPr>
        <xdr:cNvPr id="3" name="Shape 3">
          <a:hlinkClick r:id="rId1"/>
        </xdr:cNvPr>
        <xdr:cNvSpPr/>
      </xdr:nvSpPr>
      <xdr:spPr>
        <a:xfrm>
          <a:off x="4569713" y="3670463"/>
          <a:ext cx="1552575" cy="2190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9050">
          <a:solidFill>
            <a:schemeClr val="accent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Cek hasil Jawaban</a:t>
          </a:r>
          <a:endParaRPr sz="1400"/>
        </a:p>
      </xdr:txBody>
    </xdr:sp>
    <xdr:clientData fLocksWithSheet="0"/>
  </xdr:oneCellAnchor>
  <xdr:oneCellAnchor>
    <xdr:from>
      <xdr:col>9</xdr:col>
      <xdr:colOff>1181100</xdr:colOff>
      <xdr:row>0</xdr:row>
      <xdr:rowOff>76200</xdr:rowOff>
    </xdr:from>
    <xdr:ext cx="933450" cy="285750"/>
    <xdr:sp>
      <xdr:nvSpPr>
        <xdr:cNvPr id="4" name="Shape 4"/>
        <xdr:cNvSpPr txBox="1"/>
      </xdr:nvSpPr>
      <xdr:spPr>
        <a:xfrm>
          <a:off x="4883566" y="3639898"/>
          <a:ext cx="924869" cy="28020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EASY</a:t>
          </a: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LEVEL</a:t>
          </a:r>
          <a:endParaRPr b="1"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2258675" cy="2752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12</xdr:row>
      <xdr:rowOff>9525</xdr:rowOff>
    </xdr:from>
    <xdr:ext cx="1628775" cy="638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0</xdr:row>
      <xdr:rowOff>0</xdr:rowOff>
    </xdr:from>
    <xdr:ext cx="2009775" cy="27527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47625</xdr:rowOff>
    </xdr:from>
    <xdr:ext cx="1552575" cy="581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25</xdr:row>
      <xdr:rowOff>47625</xdr:rowOff>
    </xdr:from>
    <xdr:ext cx="952500" cy="952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</xdr:row>
      <xdr:rowOff>0</xdr:rowOff>
    </xdr:from>
    <xdr:ext cx="1771650" cy="24288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excel.id/xl-test/" TargetMode="External"/><Relationship Id="rId2" Type="http://schemas.openxmlformats.org/officeDocument/2006/relationships/hyperlink" Target="https://setiadi.me/" TargetMode="External"/><Relationship Id="rId3" Type="http://schemas.openxmlformats.org/officeDocument/2006/relationships/hyperlink" Target="https://www.threads.com/@andisetiadi" TargetMode="External"/><Relationship Id="rId4" Type="http://schemas.openxmlformats.org/officeDocument/2006/relationships/hyperlink" Target="https://lynk.id/setiadi/page/jawaban-xl-test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5"/>
    <col customWidth="1" min="3" max="3" width="12.38"/>
    <col customWidth="1" min="4" max="4" width="11.38"/>
    <col customWidth="1" min="5" max="5" width="17.75"/>
    <col customWidth="1" min="6" max="6" width="16.5"/>
    <col customWidth="1" min="7" max="7" width="16.0"/>
    <col customWidth="1" min="8" max="8" width="11.5"/>
    <col customWidth="1" min="9" max="9" width="15.75"/>
    <col customWidth="1" min="10" max="10" width="19.5"/>
    <col customWidth="1" min="11" max="11" width="15.0"/>
    <col customWidth="1" min="12" max="12" width="13.13"/>
    <col customWidth="1" min="13" max="13" width="14.5"/>
    <col customWidth="1" min="14" max="14" width="13.5"/>
    <col customWidth="1" min="15" max="15" width="16.38"/>
    <col customWidth="1" min="16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A17" s="1" t="s">
        <v>0</v>
      </c>
      <c r="C17" s="2" t="s">
        <v>1</v>
      </c>
      <c r="E17" s="1" t="s">
        <v>2</v>
      </c>
      <c r="F17" s="3"/>
      <c r="G17" s="4" t="str">
        <f>kode_jawaban</f>
        <v>EI1|38-A32;3E-31C4;5A-38C7;12-7706F;63-1F8B;5F-1BC6;1C-1168;58-2D2E;19-A9E59;25-3880</v>
      </c>
      <c r="H17" s="5"/>
      <c r="I17" s="5"/>
      <c r="J17" s="5"/>
      <c r="K17" s="5"/>
      <c r="L17" s="5"/>
      <c r="M17" s="5"/>
    </row>
    <row r="18" ht="14.25" customHeight="1"/>
    <row r="19" ht="14.25" customHeight="1">
      <c r="A19" s="6" t="s">
        <v>3</v>
      </c>
      <c r="M19" s="7"/>
    </row>
    <row r="20" ht="14.25" customHeight="1">
      <c r="A20" s="8"/>
      <c r="B20" s="9"/>
      <c r="C20" s="9"/>
      <c r="D20" s="9"/>
      <c r="E20" s="9"/>
      <c r="F20" s="9"/>
      <c r="G20" s="9"/>
      <c r="H20" s="9"/>
      <c r="I20" s="9"/>
      <c r="J20" s="10"/>
      <c r="K20" s="10"/>
      <c r="L20" s="10"/>
      <c r="M20" s="11"/>
    </row>
    <row r="21" ht="14.25" customHeight="1">
      <c r="A21" s="10"/>
      <c r="B21" s="12" t="s">
        <v>4</v>
      </c>
      <c r="C21" s="10"/>
      <c r="D21" s="10"/>
      <c r="E21" s="9"/>
      <c r="F21" s="9"/>
      <c r="G21" s="9"/>
      <c r="H21" s="9"/>
      <c r="I21" s="9"/>
      <c r="J21" s="10"/>
      <c r="K21" s="10"/>
      <c r="L21" s="10"/>
      <c r="M21" s="11"/>
    </row>
    <row r="22" ht="14.25" customHeight="1">
      <c r="A22" s="10"/>
      <c r="B22" s="10"/>
      <c r="C22" s="13"/>
      <c r="D22" s="10"/>
      <c r="E22" s="9"/>
      <c r="F22" s="9"/>
      <c r="G22" s="9"/>
      <c r="H22" s="14"/>
      <c r="I22" s="9"/>
      <c r="J22" s="10"/>
      <c r="K22" s="10"/>
      <c r="L22" s="10"/>
      <c r="M22" s="11"/>
    </row>
    <row r="23" ht="14.25" customHeight="1">
      <c r="A23" s="10"/>
      <c r="B23" s="15" t="s">
        <v>5</v>
      </c>
      <c r="C23" s="16" t="s">
        <v>6</v>
      </c>
      <c r="D23" s="10"/>
      <c r="E23" s="10"/>
      <c r="F23" s="9"/>
      <c r="G23" s="10"/>
      <c r="H23" s="14"/>
      <c r="I23" s="17"/>
      <c r="J23" s="10"/>
      <c r="K23" s="10"/>
      <c r="L23" s="10"/>
      <c r="M23" s="18"/>
    </row>
    <row r="24" ht="14.25" customHeight="1">
      <c r="A24" s="10"/>
      <c r="B24" s="19">
        <v>1.0</v>
      </c>
      <c r="C24" s="10" t="s">
        <v>7</v>
      </c>
      <c r="D24" s="10"/>
      <c r="E24" s="10"/>
      <c r="F24" s="9"/>
      <c r="G24" s="10"/>
      <c r="H24" s="14"/>
      <c r="I24" s="17"/>
      <c r="J24" s="10"/>
      <c r="K24" s="10"/>
      <c r="L24" s="10"/>
      <c r="M24" s="18"/>
    </row>
    <row r="25" ht="14.25" customHeight="1">
      <c r="A25" s="10"/>
      <c r="B25" s="19">
        <v>2.0</v>
      </c>
      <c r="C25" s="10" t="s">
        <v>8</v>
      </c>
      <c r="D25" s="10"/>
      <c r="E25" s="10"/>
      <c r="F25" s="9"/>
      <c r="G25" s="10"/>
      <c r="H25" s="20" t="s">
        <v>9</v>
      </c>
      <c r="I25" s="10"/>
      <c r="J25" s="10"/>
      <c r="K25" s="10"/>
      <c r="L25" s="10"/>
      <c r="M25" s="21"/>
    </row>
    <row r="26" ht="14.25" customHeight="1">
      <c r="A26" s="10"/>
      <c r="B26" s="19">
        <v>3.0</v>
      </c>
      <c r="C26" s="10" t="s">
        <v>10</v>
      </c>
      <c r="D26" s="10"/>
      <c r="E26" s="10"/>
      <c r="F26" s="9"/>
      <c r="G26" s="10"/>
      <c r="H26" s="22" t="s">
        <v>11</v>
      </c>
      <c r="I26" s="23" t="s">
        <v>12</v>
      </c>
      <c r="J26" s="23" t="s">
        <v>13</v>
      </c>
      <c r="K26" s="23" t="s">
        <v>14</v>
      </c>
      <c r="L26" s="23" t="s">
        <v>15</v>
      </c>
      <c r="M26" s="24" t="s">
        <v>16</v>
      </c>
    </row>
    <row r="27" ht="14.25" customHeight="1">
      <c r="A27" s="10"/>
      <c r="B27" s="19">
        <v>4.0</v>
      </c>
      <c r="C27" s="10" t="s">
        <v>17</v>
      </c>
      <c r="D27" s="10"/>
      <c r="E27" s="10"/>
      <c r="F27" s="19"/>
      <c r="G27" s="10"/>
      <c r="H27" s="25" t="s">
        <v>18</v>
      </c>
      <c r="I27" s="26">
        <v>0.05</v>
      </c>
      <c r="J27" s="26">
        <v>0.1</v>
      </c>
      <c r="K27" s="26">
        <v>0.15</v>
      </c>
      <c r="L27" s="26">
        <v>0.2</v>
      </c>
      <c r="M27" s="27">
        <v>0.25</v>
      </c>
    </row>
    <row r="28" ht="14.25" customHeight="1">
      <c r="A28" s="10"/>
      <c r="B28" s="19">
        <v>5.0</v>
      </c>
      <c r="C28" s="10" t="s">
        <v>19</v>
      </c>
      <c r="D28" s="10"/>
      <c r="E28" s="10"/>
      <c r="F28" s="9"/>
      <c r="G28" s="28"/>
      <c r="H28" s="29" t="s">
        <v>20</v>
      </c>
      <c r="I28" s="26">
        <v>0.01</v>
      </c>
      <c r="J28" s="26">
        <v>0.02</v>
      </c>
      <c r="K28" s="26">
        <v>0.03</v>
      </c>
      <c r="L28" s="26">
        <v>0.04</v>
      </c>
      <c r="M28" s="27">
        <v>0.05</v>
      </c>
    </row>
    <row r="29" ht="14.25" customHeight="1">
      <c r="A29" s="10"/>
      <c r="B29" s="19">
        <v>6.0</v>
      </c>
      <c r="C29" s="10" t="s">
        <v>21</v>
      </c>
      <c r="D29" s="10"/>
      <c r="E29" s="10"/>
      <c r="F29" s="9"/>
      <c r="G29" s="28"/>
      <c r="H29" s="14"/>
      <c r="I29" s="17"/>
      <c r="J29" s="10"/>
      <c r="K29" s="10"/>
      <c r="L29" s="10"/>
      <c r="M29" s="18"/>
    </row>
    <row r="30" ht="14.25" customHeight="1">
      <c r="A30" s="10"/>
      <c r="B30" s="19">
        <v>7.0</v>
      </c>
      <c r="C30" s="10" t="s">
        <v>22</v>
      </c>
      <c r="D30" s="10"/>
      <c r="E30" s="10"/>
      <c r="F30" s="9"/>
      <c r="G30" s="28"/>
      <c r="H30" s="14"/>
      <c r="I30" s="20" t="s">
        <v>23</v>
      </c>
      <c r="J30" s="10"/>
      <c r="K30" s="10"/>
      <c r="L30" s="10"/>
      <c r="M30" s="18"/>
    </row>
    <row r="31" ht="14.25" customHeight="1">
      <c r="A31" s="10"/>
      <c r="B31" s="19">
        <v>8.0</v>
      </c>
      <c r="C31" s="10" t="s">
        <v>24</v>
      </c>
      <c r="D31" s="10"/>
      <c r="E31" s="10"/>
      <c r="F31" s="9"/>
      <c r="G31" s="28"/>
      <c r="H31" s="14"/>
      <c r="I31" s="30" t="s">
        <v>11</v>
      </c>
      <c r="J31" s="30" t="s">
        <v>25</v>
      </c>
      <c r="K31" s="30" t="s">
        <v>26</v>
      </c>
      <c r="L31" s="30" t="s">
        <v>27</v>
      </c>
      <c r="M31" s="18"/>
    </row>
    <row r="32" ht="14.25" customHeight="1">
      <c r="A32" s="10"/>
      <c r="B32" s="19">
        <v>9.0</v>
      </c>
      <c r="C32" s="10" t="s">
        <v>28</v>
      </c>
      <c r="D32" s="10"/>
      <c r="E32" s="10"/>
      <c r="F32" s="9"/>
      <c r="G32" s="10"/>
      <c r="H32" s="14"/>
      <c r="I32" s="23" t="s">
        <v>12</v>
      </c>
      <c r="J32" s="31">
        <v>60.0</v>
      </c>
      <c r="K32" s="32">
        <v>1.6E8</v>
      </c>
      <c r="L32" s="33">
        <v>0.025</v>
      </c>
      <c r="M32" s="18"/>
    </row>
    <row r="33" ht="14.25" customHeight="1">
      <c r="A33" s="10"/>
      <c r="B33" s="19">
        <v>10.0</v>
      </c>
      <c r="C33" s="10" t="s">
        <v>29</v>
      </c>
      <c r="D33" s="10"/>
      <c r="E33" s="10"/>
      <c r="F33" s="9"/>
      <c r="G33" s="10"/>
      <c r="H33" s="14"/>
      <c r="I33" s="23" t="s">
        <v>13</v>
      </c>
      <c r="J33" s="31">
        <v>80.0</v>
      </c>
      <c r="K33" s="32">
        <v>1.9E8</v>
      </c>
      <c r="L33" s="33">
        <v>0.025</v>
      </c>
      <c r="M33" s="18"/>
    </row>
    <row r="34" ht="14.25" customHeight="1">
      <c r="A34" s="10"/>
      <c r="B34" s="34"/>
      <c r="C34" s="10"/>
      <c r="D34" s="10"/>
      <c r="E34" s="10"/>
      <c r="F34" s="9"/>
      <c r="G34" s="10"/>
      <c r="H34" s="14"/>
      <c r="I34" s="23" t="s">
        <v>14</v>
      </c>
      <c r="J34" s="31">
        <v>100.0</v>
      </c>
      <c r="K34" s="32">
        <v>2.1E8</v>
      </c>
      <c r="L34" s="33">
        <v>0.03</v>
      </c>
      <c r="M34" s="11"/>
    </row>
    <row r="35" ht="14.25" customHeight="1">
      <c r="A35" s="10"/>
      <c r="B35" s="10"/>
      <c r="D35" s="10"/>
      <c r="E35" s="10"/>
      <c r="F35" s="9"/>
      <c r="G35" s="10"/>
      <c r="H35" s="14"/>
      <c r="I35" s="23" t="s">
        <v>15</v>
      </c>
      <c r="J35" s="31">
        <v>150.0</v>
      </c>
      <c r="K35" s="32">
        <v>2.5E8</v>
      </c>
      <c r="L35" s="33">
        <v>0.035</v>
      </c>
      <c r="M35" s="11"/>
    </row>
    <row r="36" ht="14.25" customHeight="1">
      <c r="A36" s="10"/>
      <c r="B36" s="10"/>
      <c r="C36" s="35" t="s">
        <v>30</v>
      </c>
      <c r="D36" s="10"/>
      <c r="E36" s="9"/>
      <c r="F36" s="9"/>
      <c r="G36" s="10"/>
      <c r="H36" s="14"/>
      <c r="I36" s="23" t="s">
        <v>16</v>
      </c>
      <c r="J36" s="31">
        <v>200.0</v>
      </c>
      <c r="K36" s="32">
        <v>3.5E8</v>
      </c>
      <c r="L36" s="33">
        <v>0.035</v>
      </c>
      <c r="M36" s="11"/>
    </row>
    <row r="37" ht="14.25" customHeight="1">
      <c r="A37" s="10"/>
      <c r="B37" s="10"/>
      <c r="C37" s="35" t="s">
        <v>31</v>
      </c>
      <c r="D37" s="10"/>
      <c r="E37" s="9"/>
      <c r="F37" s="9"/>
      <c r="G37" s="10"/>
      <c r="H37" s="14"/>
      <c r="I37" s="10"/>
      <c r="J37" s="10"/>
      <c r="K37" s="10"/>
      <c r="L37" s="10"/>
      <c r="M37" s="11"/>
    </row>
    <row r="38" ht="14.25" customHeight="1">
      <c r="A38" s="10"/>
      <c r="B38" s="10"/>
      <c r="C38" s="35" t="s">
        <v>32</v>
      </c>
      <c r="D38" s="10"/>
      <c r="E38" s="10"/>
      <c r="F38" s="10"/>
      <c r="G38" s="10"/>
      <c r="H38" s="10"/>
      <c r="I38" s="10"/>
      <c r="J38" s="10"/>
      <c r="K38" s="10"/>
      <c r="L38" s="10"/>
      <c r="M38" s="11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M39" s="11"/>
    </row>
    <row r="40" ht="14.25" customHeight="1">
      <c r="A40" s="6"/>
      <c r="M40" s="7"/>
    </row>
    <row r="41" ht="14.25" customHeight="1"/>
    <row r="42" ht="14.25" customHeight="1">
      <c r="A42" s="36"/>
      <c r="B42" s="37" t="s">
        <v>33</v>
      </c>
      <c r="C42" s="36"/>
      <c r="D42" s="36"/>
    </row>
    <row r="43" ht="14.25" customHeight="1">
      <c r="A43" s="36"/>
      <c r="B43" s="37" t="s">
        <v>34</v>
      </c>
      <c r="C43" s="36"/>
      <c r="D43" s="36"/>
    </row>
    <row r="44" ht="14.25" customHeight="1"/>
    <row r="45" ht="14.25" customHeight="1">
      <c r="D45" s="38">
        <v>1.0</v>
      </c>
      <c r="E45" s="38">
        <v>2.0</v>
      </c>
      <c r="F45" s="38">
        <v>3.0</v>
      </c>
      <c r="G45" s="38">
        <v>4.0</v>
      </c>
      <c r="I45" s="38">
        <v>5.0</v>
      </c>
      <c r="J45" s="38">
        <v>6.0</v>
      </c>
      <c r="K45" s="38">
        <v>7.0</v>
      </c>
      <c r="L45" s="38">
        <v>8.0</v>
      </c>
      <c r="M45" s="38">
        <v>9.0</v>
      </c>
      <c r="N45" s="39"/>
      <c r="O45" s="38">
        <v>10.0</v>
      </c>
    </row>
    <row r="46" ht="36.75" customHeight="1">
      <c r="A46" s="40" t="s">
        <v>35</v>
      </c>
      <c r="B46" s="40" t="s">
        <v>36</v>
      </c>
      <c r="C46" s="40" t="s">
        <v>11</v>
      </c>
      <c r="D46" s="41" t="s">
        <v>25</v>
      </c>
      <c r="E46" s="41" t="s">
        <v>26</v>
      </c>
      <c r="F46" s="41" t="s">
        <v>37</v>
      </c>
      <c r="G46" s="41" t="s">
        <v>38</v>
      </c>
      <c r="H46" s="40" t="s">
        <v>39</v>
      </c>
      <c r="I46" s="41" t="s">
        <v>18</v>
      </c>
      <c r="J46" s="41" t="s">
        <v>40</v>
      </c>
      <c r="K46" s="41" t="s">
        <v>41</v>
      </c>
      <c r="L46" s="41" t="s">
        <v>42</v>
      </c>
      <c r="M46" s="41" t="s">
        <v>43</v>
      </c>
      <c r="N46" s="40" t="s">
        <v>44</v>
      </c>
      <c r="O46" s="41" t="s">
        <v>45</v>
      </c>
      <c r="P46" s="42"/>
    </row>
    <row r="47" ht="19.5" customHeight="1">
      <c r="A47" s="43" t="s">
        <v>46</v>
      </c>
      <c r="B47" s="44" t="s">
        <v>47</v>
      </c>
      <c r="C47" s="43" t="s">
        <v>14</v>
      </c>
      <c r="D47" s="45">
        <v>100.0</v>
      </c>
      <c r="E47" s="46">
        <v>2.1E8</v>
      </c>
      <c r="F47" s="46">
        <v>6300000.0</v>
      </c>
      <c r="G47" s="46">
        <v>2.163E8</v>
      </c>
      <c r="H47" s="47">
        <v>120.0</v>
      </c>
      <c r="I47" s="46">
        <v>3.15E7</v>
      </c>
      <c r="J47" s="46">
        <v>1487500.0</v>
      </c>
      <c r="K47" s="46">
        <v>525000.0</v>
      </c>
      <c r="L47" s="46">
        <v>2012500.0</v>
      </c>
      <c r="M47" s="46">
        <v>2.793E8</v>
      </c>
      <c r="N47" s="48">
        <v>44575.0</v>
      </c>
      <c r="O47" s="48">
        <v>48227.0</v>
      </c>
    </row>
    <row r="48" ht="19.5" customHeight="1">
      <c r="A48" s="49">
        <v>1.0</v>
      </c>
      <c r="B48" s="50" t="s">
        <v>48</v>
      </c>
      <c r="C48" s="51" t="s">
        <v>16</v>
      </c>
      <c r="D48" s="52">
        <f t="shared" ref="D48:D63" si="1">VLOOKUP(C48,$I$32:$L$36,2,0)</f>
        <v>200</v>
      </c>
      <c r="E48" s="53">
        <f t="shared" ref="E48:E63" si="2">VLOOKUP(C48,$I$32:$L$36,3,0)</f>
        <v>350000000</v>
      </c>
      <c r="F48" s="53">
        <f t="shared" ref="F48:F63" si="3">VLOOKUP(C48,$I$32:$L$36,4,0)*E48</f>
        <v>12250000</v>
      </c>
      <c r="G48" s="53">
        <f t="shared" ref="G48:G63" si="4">E48+F48</f>
        <v>362250000</v>
      </c>
      <c r="H48" s="54">
        <v>60.0</v>
      </c>
      <c r="I48" s="53">
        <f t="shared" ref="I48:I63" si="5">HLOOKUP(C48,$I$26:$M$28,2,0)*E48</f>
        <v>87500000</v>
      </c>
      <c r="J48" s="53">
        <f t="shared" ref="J48:J63" si="6">(E48-I48)/H48</f>
        <v>4375000</v>
      </c>
      <c r="K48" s="53">
        <f t="shared" ref="K48:K63" si="7">HLOOKUP(C48,$I$26:$M$28,3,0)*E48/12</f>
        <v>1458333.333</v>
      </c>
      <c r="L48" s="53">
        <f t="shared" ref="L48:L63" si="8">J48+K48</f>
        <v>5833333.333</v>
      </c>
      <c r="M48" s="53">
        <f t="shared" ref="M48:M63" si="9">sum(J48:K48)*H48+I48+F48</f>
        <v>449750000</v>
      </c>
      <c r="N48" s="55">
        <v>44585.0</v>
      </c>
      <c r="O48" s="56">
        <f t="shared" ref="O48:O63" si="10">EDATE(N48,H48)</f>
        <v>46411</v>
      </c>
    </row>
    <row r="49" ht="19.5" customHeight="1">
      <c r="A49" s="49">
        <v>2.0</v>
      </c>
      <c r="B49" s="50" t="s">
        <v>49</v>
      </c>
      <c r="C49" s="51" t="s">
        <v>12</v>
      </c>
      <c r="D49" s="52">
        <f t="shared" si="1"/>
        <v>60</v>
      </c>
      <c r="E49" s="53">
        <f t="shared" si="2"/>
        <v>160000000</v>
      </c>
      <c r="F49" s="53">
        <f t="shared" si="3"/>
        <v>4000000</v>
      </c>
      <c r="G49" s="53">
        <f t="shared" si="4"/>
        <v>164000000</v>
      </c>
      <c r="H49" s="54">
        <v>180.0</v>
      </c>
      <c r="I49" s="53">
        <f t="shared" si="5"/>
        <v>8000000</v>
      </c>
      <c r="J49" s="53">
        <f t="shared" si="6"/>
        <v>844444.4444</v>
      </c>
      <c r="K49" s="53">
        <f t="shared" si="7"/>
        <v>133333.3333</v>
      </c>
      <c r="L49" s="53">
        <f t="shared" si="8"/>
        <v>977777.7778</v>
      </c>
      <c r="M49" s="53">
        <f t="shared" si="9"/>
        <v>188000000</v>
      </c>
      <c r="N49" s="55">
        <v>44632.0</v>
      </c>
      <c r="O49" s="56">
        <f t="shared" si="10"/>
        <v>50111</v>
      </c>
    </row>
    <row r="50" ht="19.5" customHeight="1">
      <c r="A50" s="49">
        <v>3.0</v>
      </c>
      <c r="B50" s="50" t="s">
        <v>50</v>
      </c>
      <c r="C50" s="51" t="s">
        <v>15</v>
      </c>
      <c r="D50" s="52">
        <f t="shared" si="1"/>
        <v>150</v>
      </c>
      <c r="E50" s="53">
        <f t="shared" si="2"/>
        <v>250000000</v>
      </c>
      <c r="F50" s="53">
        <f t="shared" si="3"/>
        <v>8750000</v>
      </c>
      <c r="G50" s="53">
        <f t="shared" si="4"/>
        <v>258750000</v>
      </c>
      <c r="H50" s="54">
        <v>132.0</v>
      </c>
      <c r="I50" s="53">
        <f t="shared" si="5"/>
        <v>50000000</v>
      </c>
      <c r="J50" s="53">
        <f t="shared" si="6"/>
        <v>1515151.515</v>
      </c>
      <c r="K50" s="53">
        <f t="shared" si="7"/>
        <v>833333.3333</v>
      </c>
      <c r="L50" s="53">
        <f t="shared" si="8"/>
        <v>2348484.848</v>
      </c>
      <c r="M50" s="53">
        <f t="shared" si="9"/>
        <v>368750000</v>
      </c>
      <c r="N50" s="55">
        <v>44614.0</v>
      </c>
      <c r="O50" s="56">
        <f t="shared" si="10"/>
        <v>48632</v>
      </c>
    </row>
    <row r="51" ht="19.5" customHeight="1">
      <c r="A51" s="49">
        <v>4.0</v>
      </c>
      <c r="B51" s="50" t="s">
        <v>51</v>
      </c>
      <c r="C51" s="51" t="s">
        <v>13</v>
      </c>
      <c r="D51" s="52">
        <f t="shared" si="1"/>
        <v>80</v>
      </c>
      <c r="E51" s="53">
        <f t="shared" si="2"/>
        <v>190000000</v>
      </c>
      <c r="F51" s="53">
        <f t="shared" si="3"/>
        <v>4750000</v>
      </c>
      <c r="G51" s="53">
        <f t="shared" si="4"/>
        <v>194750000</v>
      </c>
      <c r="H51" s="54">
        <v>156.0</v>
      </c>
      <c r="I51" s="53">
        <f t="shared" si="5"/>
        <v>19000000</v>
      </c>
      <c r="J51" s="53">
        <f t="shared" si="6"/>
        <v>1096153.846</v>
      </c>
      <c r="K51" s="53">
        <f t="shared" si="7"/>
        <v>316666.6667</v>
      </c>
      <c r="L51" s="53">
        <f t="shared" si="8"/>
        <v>1412820.513</v>
      </c>
      <c r="M51" s="53">
        <f t="shared" si="9"/>
        <v>244150000</v>
      </c>
      <c r="N51" s="55">
        <v>44678.0</v>
      </c>
      <c r="O51" s="56">
        <f t="shared" si="10"/>
        <v>49426</v>
      </c>
    </row>
    <row r="52" ht="19.5" customHeight="1">
      <c r="A52" s="49">
        <v>5.0</v>
      </c>
      <c r="B52" s="50" t="s">
        <v>52</v>
      </c>
      <c r="C52" s="51" t="s">
        <v>14</v>
      </c>
      <c r="D52" s="52">
        <f t="shared" si="1"/>
        <v>100</v>
      </c>
      <c r="E52" s="53">
        <f t="shared" si="2"/>
        <v>210000000</v>
      </c>
      <c r="F52" s="53">
        <f t="shared" si="3"/>
        <v>6300000</v>
      </c>
      <c r="G52" s="53">
        <f t="shared" si="4"/>
        <v>216300000</v>
      </c>
      <c r="H52" s="54">
        <v>144.0</v>
      </c>
      <c r="I52" s="53">
        <f t="shared" si="5"/>
        <v>31500000</v>
      </c>
      <c r="J52" s="53">
        <f t="shared" si="6"/>
        <v>1239583.333</v>
      </c>
      <c r="K52" s="53">
        <f t="shared" si="7"/>
        <v>525000</v>
      </c>
      <c r="L52" s="53">
        <f t="shared" si="8"/>
        <v>1764583.333</v>
      </c>
      <c r="M52" s="53">
        <f t="shared" si="9"/>
        <v>291900000</v>
      </c>
      <c r="N52" s="55">
        <v>44681.0</v>
      </c>
      <c r="O52" s="56">
        <f t="shared" si="10"/>
        <v>49064</v>
      </c>
    </row>
    <row r="53" ht="19.5" customHeight="1">
      <c r="A53" s="49">
        <v>6.0</v>
      </c>
      <c r="B53" s="50" t="s">
        <v>53</v>
      </c>
      <c r="C53" s="51" t="s">
        <v>12</v>
      </c>
      <c r="D53" s="52">
        <f t="shared" si="1"/>
        <v>60</v>
      </c>
      <c r="E53" s="53">
        <f t="shared" si="2"/>
        <v>160000000</v>
      </c>
      <c r="F53" s="53">
        <f t="shared" si="3"/>
        <v>4000000</v>
      </c>
      <c r="G53" s="53">
        <f t="shared" si="4"/>
        <v>164000000</v>
      </c>
      <c r="H53" s="54">
        <v>48.0</v>
      </c>
      <c r="I53" s="53">
        <f t="shared" si="5"/>
        <v>8000000</v>
      </c>
      <c r="J53" s="53">
        <f t="shared" si="6"/>
        <v>3166666.667</v>
      </c>
      <c r="K53" s="53">
        <f t="shared" si="7"/>
        <v>133333.3333</v>
      </c>
      <c r="L53" s="53">
        <f t="shared" si="8"/>
        <v>3300000</v>
      </c>
      <c r="M53" s="53">
        <f t="shared" si="9"/>
        <v>170400000</v>
      </c>
      <c r="N53" s="55">
        <v>44732.0</v>
      </c>
      <c r="O53" s="56">
        <f t="shared" si="10"/>
        <v>46193</v>
      </c>
    </row>
    <row r="54" ht="19.5" customHeight="1">
      <c r="A54" s="49">
        <v>7.0</v>
      </c>
      <c r="B54" s="50" t="s">
        <v>54</v>
      </c>
      <c r="C54" s="51" t="s">
        <v>13</v>
      </c>
      <c r="D54" s="52">
        <f t="shared" si="1"/>
        <v>80</v>
      </c>
      <c r="E54" s="53">
        <f t="shared" si="2"/>
        <v>190000000</v>
      </c>
      <c r="F54" s="53">
        <f t="shared" si="3"/>
        <v>4750000</v>
      </c>
      <c r="G54" s="53">
        <f t="shared" si="4"/>
        <v>194750000</v>
      </c>
      <c r="H54" s="54">
        <v>96.0</v>
      </c>
      <c r="I54" s="53">
        <f t="shared" si="5"/>
        <v>19000000</v>
      </c>
      <c r="J54" s="53">
        <f t="shared" si="6"/>
        <v>1781250</v>
      </c>
      <c r="K54" s="53">
        <f t="shared" si="7"/>
        <v>316666.6667</v>
      </c>
      <c r="L54" s="53">
        <f t="shared" si="8"/>
        <v>2097916.667</v>
      </c>
      <c r="M54" s="53">
        <f t="shared" si="9"/>
        <v>225150000</v>
      </c>
      <c r="N54" s="55">
        <v>44747.0</v>
      </c>
      <c r="O54" s="56">
        <f t="shared" si="10"/>
        <v>47669</v>
      </c>
    </row>
    <row r="55" ht="19.5" customHeight="1">
      <c r="A55" s="49">
        <v>8.0</v>
      </c>
      <c r="B55" s="50" t="s">
        <v>55</v>
      </c>
      <c r="C55" s="51" t="s">
        <v>16</v>
      </c>
      <c r="D55" s="52">
        <f t="shared" si="1"/>
        <v>200</v>
      </c>
      <c r="E55" s="53">
        <f t="shared" si="2"/>
        <v>350000000</v>
      </c>
      <c r="F55" s="53">
        <f t="shared" si="3"/>
        <v>12250000</v>
      </c>
      <c r="G55" s="53">
        <f t="shared" si="4"/>
        <v>362250000</v>
      </c>
      <c r="H55" s="54">
        <v>168.0</v>
      </c>
      <c r="I55" s="53">
        <f t="shared" si="5"/>
        <v>87500000</v>
      </c>
      <c r="J55" s="53">
        <f t="shared" si="6"/>
        <v>1562500</v>
      </c>
      <c r="K55" s="53">
        <f t="shared" si="7"/>
        <v>1458333.333</v>
      </c>
      <c r="L55" s="53">
        <f t="shared" si="8"/>
        <v>3020833.333</v>
      </c>
      <c r="M55" s="53">
        <f t="shared" si="9"/>
        <v>607250000</v>
      </c>
      <c r="N55" s="55">
        <v>44801.0</v>
      </c>
      <c r="O55" s="56">
        <f t="shared" si="10"/>
        <v>49915</v>
      </c>
    </row>
    <row r="56" ht="19.5" customHeight="1">
      <c r="A56" s="49">
        <v>9.0</v>
      </c>
      <c r="B56" s="50" t="s">
        <v>56</v>
      </c>
      <c r="C56" s="51" t="s">
        <v>15</v>
      </c>
      <c r="D56" s="52">
        <f t="shared" si="1"/>
        <v>150</v>
      </c>
      <c r="E56" s="53">
        <f t="shared" si="2"/>
        <v>250000000</v>
      </c>
      <c r="F56" s="53">
        <f t="shared" si="3"/>
        <v>8750000</v>
      </c>
      <c r="G56" s="53">
        <f t="shared" si="4"/>
        <v>258750000</v>
      </c>
      <c r="H56" s="54">
        <v>108.0</v>
      </c>
      <c r="I56" s="53">
        <f t="shared" si="5"/>
        <v>50000000</v>
      </c>
      <c r="J56" s="53">
        <f t="shared" si="6"/>
        <v>1851851.852</v>
      </c>
      <c r="K56" s="53">
        <f t="shared" si="7"/>
        <v>833333.3333</v>
      </c>
      <c r="L56" s="53">
        <f t="shared" si="8"/>
        <v>2685185.185</v>
      </c>
      <c r="M56" s="53">
        <f t="shared" si="9"/>
        <v>348750000</v>
      </c>
      <c r="N56" s="55">
        <v>44809.0</v>
      </c>
      <c r="O56" s="56">
        <f t="shared" si="10"/>
        <v>48096</v>
      </c>
    </row>
    <row r="57" ht="19.5" customHeight="1">
      <c r="A57" s="49">
        <v>10.0</v>
      </c>
      <c r="B57" s="50" t="s">
        <v>57</v>
      </c>
      <c r="C57" s="51" t="s">
        <v>14</v>
      </c>
      <c r="D57" s="52">
        <f t="shared" si="1"/>
        <v>100</v>
      </c>
      <c r="E57" s="53">
        <f t="shared" si="2"/>
        <v>210000000</v>
      </c>
      <c r="F57" s="53">
        <f t="shared" si="3"/>
        <v>6300000</v>
      </c>
      <c r="G57" s="53">
        <f t="shared" si="4"/>
        <v>216300000</v>
      </c>
      <c r="H57" s="54">
        <v>77.0</v>
      </c>
      <c r="I57" s="53">
        <f t="shared" si="5"/>
        <v>31500000</v>
      </c>
      <c r="J57" s="53">
        <f t="shared" si="6"/>
        <v>2318181.818</v>
      </c>
      <c r="K57" s="53">
        <f t="shared" si="7"/>
        <v>525000</v>
      </c>
      <c r="L57" s="53">
        <f t="shared" si="8"/>
        <v>2843181.818</v>
      </c>
      <c r="M57" s="53">
        <f t="shared" si="9"/>
        <v>256725000</v>
      </c>
      <c r="N57" s="55">
        <v>44605.0</v>
      </c>
      <c r="O57" s="56">
        <f t="shared" si="10"/>
        <v>46947</v>
      </c>
    </row>
    <row r="58" ht="19.5" customHeight="1">
      <c r="A58" s="49">
        <v>11.0</v>
      </c>
      <c r="B58" s="50" t="s">
        <v>58</v>
      </c>
      <c r="C58" s="51" t="s">
        <v>13</v>
      </c>
      <c r="D58" s="52">
        <f t="shared" si="1"/>
        <v>80</v>
      </c>
      <c r="E58" s="53">
        <f t="shared" si="2"/>
        <v>190000000</v>
      </c>
      <c r="F58" s="53">
        <f t="shared" si="3"/>
        <v>4750000</v>
      </c>
      <c r="G58" s="53">
        <f t="shared" si="4"/>
        <v>194750000</v>
      </c>
      <c r="H58" s="54">
        <v>150.0</v>
      </c>
      <c r="I58" s="53">
        <f t="shared" si="5"/>
        <v>19000000</v>
      </c>
      <c r="J58" s="53">
        <f t="shared" si="6"/>
        <v>1140000</v>
      </c>
      <c r="K58" s="53">
        <f t="shared" si="7"/>
        <v>316666.6667</v>
      </c>
      <c r="L58" s="53">
        <f t="shared" si="8"/>
        <v>1456666.667</v>
      </c>
      <c r="M58" s="53">
        <f t="shared" si="9"/>
        <v>242250000</v>
      </c>
      <c r="N58" s="55">
        <v>44648.0</v>
      </c>
      <c r="O58" s="56">
        <f t="shared" si="10"/>
        <v>49215</v>
      </c>
    </row>
    <row r="59" ht="19.5" customHeight="1">
      <c r="A59" s="49">
        <v>12.0</v>
      </c>
      <c r="B59" s="50" t="s">
        <v>59</v>
      </c>
      <c r="C59" s="51" t="s">
        <v>13</v>
      </c>
      <c r="D59" s="52">
        <f t="shared" si="1"/>
        <v>80</v>
      </c>
      <c r="E59" s="53">
        <f t="shared" si="2"/>
        <v>190000000</v>
      </c>
      <c r="F59" s="53">
        <f t="shared" si="3"/>
        <v>4750000</v>
      </c>
      <c r="G59" s="53">
        <f t="shared" si="4"/>
        <v>194750000</v>
      </c>
      <c r="H59" s="54">
        <v>240.0</v>
      </c>
      <c r="I59" s="53">
        <f t="shared" si="5"/>
        <v>19000000</v>
      </c>
      <c r="J59" s="53">
        <f t="shared" si="6"/>
        <v>712500</v>
      </c>
      <c r="K59" s="53">
        <f t="shared" si="7"/>
        <v>316666.6667</v>
      </c>
      <c r="L59" s="53">
        <f t="shared" si="8"/>
        <v>1029166.667</v>
      </c>
      <c r="M59" s="53">
        <f t="shared" si="9"/>
        <v>270750000</v>
      </c>
      <c r="N59" s="55">
        <v>44619.0</v>
      </c>
      <c r="O59" s="56">
        <f t="shared" si="10"/>
        <v>51924</v>
      </c>
    </row>
    <row r="60" ht="19.5" customHeight="1">
      <c r="A60" s="49">
        <v>13.0</v>
      </c>
      <c r="B60" s="50" t="s">
        <v>60</v>
      </c>
      <c r="C60" s="51" t="s">
        <v>15</v>
      </c>
      <c r="D60" s="52">
        <f t="shared" si="1"/>
        <v>150</v>
      </c>
      <c r="E60" s="53">
        <f t="shared" si="2"/>
        <v>250000000</v>
      </c>
      <c r="F60" s="53">
        <f t="shared" si="3"/>
        <v>8750000</v>
      </c>
      <c r="G60" s="53">
        <f t="shared" si="4"/>
        <v>258750000</v>
      </c>
      <c r="H60" s="54">
        <v>228.0</v>
      </c>
      <c r="I60" s="53">
        <f t="shared" si="5"/>
        <v>50000000</v>
      </c>
      <c r="J60" s="53">
        <f t="shared" si="6"/>
        <v>877192.9825</v>
      </c>
      <c r="K60" s="53">
        <f t="shared" si="7"/>
        <v>833333.3333</v>
      </c>
      <c r="L60" s="53">
        <f t="shared" si="8"/>
        <v>1710526.316</v>
      </c>
      <c r="M60" s="53">
        <f t="shared" si="9"/>
        <v>448750000</v>
      </c>
      <c r="N60" s="55">
        <v>44680.0</v>
      </c>
      <c r="O60" s="56">
        <f t="shared" si="10"/>
        <v>51620</v>
      </c>
    </row>
    <row r="61" ht="19.5" customHeight="1">
      <c r="A61" s="49">
        <v>14.0</v>
      </c>
      <c r="B61" s="50" t="s">
        <v>61</v>
      </c>
      <c r="C61" s="51" t="s">
        <v>16</v>
      </c>
      <c r="D61" s="52">
        <f t="shared" si="1"/>
        <v>200</v>
      </c>
      <c r="E61" s="53">
        <f t="shared" si="2"/>
        <v>350000000</v>
      </c>
      <c r="F61" s="53">
        <f t="shared" si="3"/>
        <v>12250000</v>
      </c>
      <c r="G61" s="53">
        <f t="shared" si="4"/>
        <v>362250000</v>
      </c>
      <c r="H61" s="54">
        <v>228.0</v>
      </c>
      <c r="I61" s="53">
        <f t="shared" si="5"/>
        <v>87500000</v>
      </c>
      <c r="J61" s="53">
        <f t="shared" si="6"/>
        <v>1151315.789</v>
      </c>
      <c r="K61" s="53">
        <f t="shared" si="7"/>
        <v>1458333.333</v>
      </c>
      <c r="L61" s="53">
        <f t="shared" si="8"/>
        <v>2609649.123</v>
      </c>
      <c r="M61" s="53">
        <f t="shared" si="9"/>
        <v>694750000</v>
      </c>
      <c r="N61" s="55">
        <v>44693.0</v>
      </c>
      <c r="O61" s="56">
        <f t="shared" si="10"/>
        <v>51633</v>
      </c>
    </row>
    <row r="62" ht="19.5" customHeight="1">
      <c r="A62" s="49">
        <v>15.0</v>
      </c>
      <c r="B62" s="50" t="s">
        <v>62</v>
      </c>
      <c r="C62" s="51" t="s">
        <v>16</v>
      </c>
      <c r="D62" s="52">
        <f t="shared" si="1"/>
        <v>200</v>
      </c>
      <c r="E62" s="53">
        <f t="shared" si="2"/>
        <v>350000000</v>
      </c>
      <c r="F62" s="53">
        <f t="shared" si="3"/>
        <v>12250000</v>
      </c>
      <c r="G62" s="53">
        <f t="shared" si="4"/>
        <v>362250000</v>
      </c>
      <c r="H62" s="54">
        <v>156.0</v>
      </c>
      <c r="I62" s="53">
        <f t="shared" si="5"/>
        <v>87500000</v>
      </c>
      <c r="J62" s="53">
        <f t="shared" si="6"/>
        <v>1682692.308</v>
      </c>
      <c r="K62" s="53">
        <f t="shared" si="7"/>
        <v>1458333.333</v>
      </c>
      <c r="L62" s="53">
        <f t="shared" si="8"/>
        <v>3141025.641</v>
      </c>
      <c r="M62" s="53">
        <f t="shared" si="9"/>
        <v>589750000</v>
      </c>
      <c r="N62" s="55">
        <v>44745.0</v>
      </c>
      <c r="O62" s="56">
        <f t="shared" si="10"/>
        <v>49493</v>
      </c>
    </row>
    <row r="63" ht="19.5" customHeight="1">
      <c r="A63" s="49">
        <v>16.0</v>
      </c>
      <c r="B63" s="50" t="s">
        <v>63</v>
      </c>
      <c r="C63" s="51" t="s">
        <v>13</v>
      </c>
      <c r="D63" s="52">
        <f t="shared" si="1"/>
        <v>80</v>
      </c>
      <c r="E63" s="53">
        <f t="shared" si="2"/>
        <v>190000000</v>
      </c>
      <c r="F63" s="53">
        <f t="shared" si="3"/>
        <v>4750000</v>
      </c>
      <c r="G63" s="53">
        <f t="shared" si="4"/>
        <v>194750000</v>
      </c>
      <c r="H63" s="54">
        <v>180.0</v>
      </c>
      <c r="I63" s="53">
        <f t="shared" si="5"/>
        <v>19000000</v>
      </c>
      <c r="J63" s="53">
        <f t="shared" si="6"/>
        <v>950000</v>
      </c>
      <c r="K63" s="53">
        <f t="shared" si="7"/>
        <v>316666.6667</v>
      </c>
      <c r="L63" s="53">
        <f t="shared" si="8"/>
        <v>1266666.667</v>
      </c>
      <c r="M63" s="53">
        <f t="shared" si="9"/>
        <v>251750000</v>
      </c>
      <c r="N63" s="55">
        <v>44771.0</v>
      </c>
      <c r="O63" s="56">
        <f t="shared" si="10"/>
        <v>50250</v>
      </c>
    </row>
    <row r="64" ht="6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</row>
    <row r="65" ht="14.25" customHeight="1"/>
    <row r="66" ht="14.25" customHeight="1"/>
    <row r="67" ht="14.25" customHeight="1"/>
    <row r="68" ht="14.25" customHeight="1">
      <c r="A68" s="58" t="s">
        <v>64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7:B17"/>
    <mergeCell ref="E17:F17"/>
    <mergeCell ref="A19:M19"/>
    <mergeCell ref="A40:M40"/>
    <mergeCell ref="A68:O6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0.0"/>
    <col customWidth="1" min="3" max="6" width="8.88"/>
    <col customWidth="1" min="7" max="7" width="4.38"/>
    <col customWidth="1" min="8" max="8" width="4.25"/>
    <col customWidth="1" min="9" max="9" width="8.88"/>
    <col customWidth="1" min="10" max="10" width="10.5"/>
    <col customWidth="1" min="11" max="11" width="9.38"/>
    <col customWidth="1" min="12" max="13" width="8.88"/>
    <col customWidth="1" min="14" max="14" width="26.5"/>
    <col customWidth="1" min="15" max="26" width="8.88"/>
  </cols>
  <sheetData>
    <row r="1" ht="14.25" customHeight="1">
      <c r="A1" s="59"/>
      <c r="B1" s="59"/>
      <c r="C1" s="59"/>
      <c r="D1" s="59"/>
      <c r="E1" s="59"/>
      <c r="F1" s="59"/>
      <c r="G1" s="59"/>
      <c r="H1" s="60"/>
      <c r="I1" s="60"/>
      <c r="J1" s="60"/>
      <c r="K1" s="60"/>
      <c r="L1" s="60"/>
      <c r="M1" s="60"/>
      <c r="N1" s="60"/>
      <c r="O1" s="60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4.25" customHeight="1">
      <c r="A2" s="59"/>
      <c r="B2" s="59"/>
      <c r="C2" s="59"/>
      <c r="D2" s="59"/>
      <c r="E2" s="59"/>
      <c r="F2" s="59"/>
      <c r="G2" s="59"/>
      <c r="H2" s="60"/>
      <c r="I2" s="60"/>
      <c r="J2" s="60"/>
      <c r="K2" s="60"/>
      <c r="L2" s="60"/>
      <c r="M2" s="60"/>
      <c r="N2" s="60"/>
      <c r="O2" s="60"/>
      <c r="P2" s="60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4.25" customHeight="1">
      <c r="A3" s="59"/>
      <c r="B3" s="59"/>
      <c r="C3" s="59"/>
      <c r="D3" s="59"/>
      <c r="E3" s="59"/>
      <c r="F3" s="59"/>
      <c r="G3" s="61"/>
      <c r="H3" s="62"/>
      <c r="I3" s="60"/>
      <c r="J3" s="60"/>
      <c r="K3" s="60"/>
      <c r="L3" s="60"/>
      <c r="M3" s="60"/>
      <c r="N3" s="60"/>
      <c r="O3" s="60"/>
      <c r="P3" s="60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4.25" customHeight="1">
      <c r="A4" s="59"/>
      <c r="B4" s="59"/>
      <c r="C4" s="59"/>
      <c r="D4" s="59"/>
      <c r="E4" s="59"/>
      <c r="F4" s="59"/>
      <c r="G4" s="61"/>
      <c r="H4" s="62"/>
      <c r="I4" s="60"/>
      <c r="J4" s="60"/>
      <c r="K4" s="60"/>
      <c r="L4" s="60"/>
      <c r="M4" s="60"/>
      <c r="N4" s="60"/>
      <c r="O4" s="60"/>
      <c r="P4" s="60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4.25" customHeight="1">
      <c r="A5" s="59"/>
      <c r="B5" s="59"/>
      <c r="C5" s="59"/>
      <c r="D5" s="59"/>
      <c r="E5" s="59"/>
      <c r="F5" s="59"/>
      <c r="G5" s="61"/>
      <c r="H5" s="62"/>
      <c r="I5" s="60"/>
      <c r="J5" s="60"/>
      <c r="K5" s="60"/>
      <c r="L5" s="60"/>
      <c r="M5" s="60"/>
      <c r="N5" s="60"/>
      <c r="O5" s="60"/>
      <c r="P5" s="60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4.25" customHeight="1">
      <c r="A6" s="59"/>
      <c r="B6" s="59"/>
      <c r="C6" s="59"/>
      <c r="D6" s="59"/>
      <c r="E6" s="59"/>
      <c r="F6" s="59"/>
      <c r="G6" s="61"/>
      <c r="H6" s="62"/>
      <c r="I6" s="60" t="s">
        <v>65</v>
      </c>
      <c r="J6" s="60"/>
      <c r="K6" s="60"/>
      <c r="L6" s="60"/>
      <c r="M6" s="60"/>
      <c r="N6" s="60"/>
      <c r="O6" s="60"/>
      <c r="P6" s="60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4.25" customHeight="1">
      <c r="A7" s="59"/>
      <c r="B7" s="59"/>
      <c r="C7" s="59"/>
      <c r="D7" s="59"/>
      <c r="E7" s="59"/>
      <c r="F7" s="59"/>
      <c r="G7" s="61"/>
      <c r="H7" s="62"/>
      <c r="I7" s="60" t="s">
        <v>66</v>
      </c>
      <c r="J7" s="60"/>
      <c r="K7" s="60"/>
      <c r="L7" s="60"/>
      <c r="M7" s="60"/>
      <c r="N7" s="60"/>
      <c r="O7" s="60"/>
      <c r="P7" s="60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4.25" customHeight="1">
      <c r="A8" s="59"/>
      <c r="B8" s="59"/>
      <c r="C8" s="59"/>
      <c r="D8" s="59"/>
      <c r="E8" s="59"/>
      <c r="F8" s="59"/>
      <c r="G8" s="61"/>
      <c r="H8" s="62"/>
      <c r="I8" s="60"/>
      <c r="J8" s="60"/>
      <c r="K8" s="60"/>
      <c r="L8" s="60"/>
      <c r="M8" s="60"/>
      <c r="N8" s="60"/>
      <c r="O8" s="60"/>
      <c r="P8" s="60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4.25" customHeight="1">
      <c r="A9" s="59"/>
      <c r="B9" s="59"/>
      <c r="C9" s="59"/>
      <c r="D9" s="59"/>
      <c r="E9" s="59"/>
      <c r="F9" s="59"/>
      <c r="G9" s="61"/>
      <c r="H9" s="62"/>
      <c r="I9" s="60"/>
      <c r="J9" s="60"/>
      <c r="K9" s="60"/>
      <c r="L9" s="60"/>
      <c r="M9" s="60"/>
      <c r="N9" s="60"/>
      <c r="O9" s="60"/>
      <c r="P9" s="60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4.25" customHeight="1">
      <c r="A10" s="59"/>
      <c r="B10" s="59"/>
      <c r="C10" s="59"/>
      <c r="D10" s="59"/>
      <c r="E10" s="59"/>
      <c r="F10" s="59"/>
      <c r="G10" s="61"/>
      <c r="H10" s="62"/>
      <c r="I10" s="60" t="s">
        <v>67</v>
      </c>
      <c r="J10" s="60"/>
      <c r="K10" s="60"/>
      <c r="L10" s="60"/>
      <c r="M10" s="60"/>
      <c r="N10" s="60"/>
      <c r="O10" s="60"/>
      <c r="P10" s="60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4.25" customHeight="1">
      <c r="A11" s="59"/>
      <c r="B11" s="59"/>
      <c r="C11" s="59"/>
      <c r="D11" s="59"/>
      <c r="E11" s="59"/>
      <c r="F11" s="59"/>
      <c r="G11" s="61"/>
      <c r="H11" s="62"/>
      <c r="I11" s="60"/>
      <c r="J11" s="60"/>
      <c r="K11" s="60"/>
      <c r="L11" s="60"/>
      <c r="M11" s="60"/>
      <c r="N11" s="60"/>
      <c r="O11" s="60"/>
      <c r="P11" s="60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4.25" customHeight="1">
      <c r="A12" s="59"/>
      <c r="B12" s="59"/>
      <c r="C12" s="59"/>
      <c r="D12" s="59"/>
      <c r="E12" s="59"/>
      <c r="F12" s="59"/>
      <c r="G12" s="61"/>
      <c r="H12" s="62"/>
      <c r="I12" s="63"/>
      <c r="J12" s="64" t="s">
        <v>68</v>
      </c>
      <c r="K12" s="65"/>
      <c r="L12" s="66" t="s">
        <v>69</v>
      </c>
      <c r="M12" s="65"/>
      <c r="N12" s="60"/>
      <c r="O12" s="60"/>
      <c r="P12" s="60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4.25" customHeight="1">
      <c r="A13" s="59"/>
      <c r="B13" s="59"/>
      <c r="C13" s="59"/>
      <c r="D13" s="59"/>
      <c r="E13" s="59"/>
      <c r="F13" s="59"/>
      <c r="G13" s="61"/>
      <c r="H13" s="62"/>
      <c r="I13" s="63"/>
      <c r="J13" s="64" t="s">
        <v>70</v>
      </c>
      <c r="K13" s="65"/>
      <c r="L13" s="67" t="s">
        <v>71</v>
      </c>
      <c r="M13" s="67"/>
      <c r="N13" s="60"/>
      <c r="O13" s="60"/>
      <c r="P13" s="60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4.25" customHeight="1">
      <c r="A14" s="59"/>
      <c r="B14" s="59"/>
      <c r="C14" s="59"/>
      <c r="D14" s="59"/>
      <c r="E14" s="59"/>
      <c r="F14" s="59"/>
      <c r="G14" s="61"/>
      <c r="H14" s="62"/>
      <c r="I14" s="63"/>
      <c r="J14" s="64" t="s">
        <v>72</v>
      </c>
      <c r="K14" s="65"/>
      <c r="L14" s="67" t="s">
        <v>73</v>
      </c>
      <c r="M14" s="68"/>
      <c r="N14" s="60"/>
      <c r="O14" s="60"/>
      <c r="P14" s="60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4.25" customHeight="1">
      <c r="A15" s="59"/>
      <c r="B15" s="59"/>
      <c r="C15" s="59"/>
      <c r="D15" s="59"/>
      <c r="E15" s="59"/>
      <c r="F15" s="59"/>
      <c r="G15" s="61"/>
      <c r="H15" s="62"/>
      <c r="I15" s="63"/>
      <c r="J15" s="64" t="s">
        <v>74</v>
      </c>
      <c r="K15" s="65"/>
      <c r="L15" s="67" t="s">
        <v>75</v>
      </c>
      <c r="M15" s="68"/>
      <c r="N15" s="60"/>
      <c r="O15" s="60"/>
      <c r="P15" s="60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4.25" customHeight="1">
      <c r="A16" s="59"/>
      <c r="B16" s="59"/>
      <c r="C16" s="59"/>
      <c r="D16" s="59"/>
      <c r="E16" s="59"/>
      <c r="F16" s="59"/>
      <c r="G16" s="61"/>
      <c r="H16" s="62"/>
      <c r="I16" s="63"/>
      <c r="J16" s="64" t="s">
        <v>76</v>
      </c>
      <c r="K16" s="65"/>
      <c r="L16" s="67" t="s">
        <v>77</v>
      </c>
      <c r="M16" s="68"/>
      <c r="N16" s="60"/>
      <c r="O16" s="60"/>
      <c r="P16" s="60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54.0" customHeight="1">
      <c r="A17" s="59"/>
      <c r="B17" s="69" t="s">
        <v>78</v>
      </c>
      <c r="F17" s="70"/>
      <c r="G17" s="71"/>
      <c r="H17" s="62"/>
      <c r="I17" s="60" t="s">
        <v>79</v>
      </c>
      <c r="J17" s="60"/>
      <c r="K17" s="60"/>
      <c r="L17" s="60"/>
      <c r="M17" s="60"/>
      <c r="N17" s="60"/>
      <c r="O17" s="60"/>
      <c r="P17" s="60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54.0" customHeight="1">
      <c r="A18" s="59"/>
      <c r="B18" s="72" t="s">
        <v>80</v>
      </c>
      <c r="F18" s="70"/>
      <c r="G18" s="73"/>
      <c r="H18" s="62"/>
      <c r="I18" s="74" t="s">
        <v>81</v>
      </c>
      <c r="J18" s="60"/>
      <c r="K18" s="60"/>
      <c r="L18" s="60"/>
      <c r="M18" s="60"/>
      <c r="N18" s="60"/>
      <c r="O18" s="60"/>
      <c r="P18" s="60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4.25" customHeight="1">
      <c r="A19" s="59"/>
      <c r="B19" s="75" t="s">
        <v>82</v>
      </c>
      <c r="C19" s="59"/>
      <c r="D19" s="59"/>
      <c r="E19" s="59"/>
      <c r="F19" s="59"/>
      <c r="G19" s="59"/>
      <c r="H19" s="60"/>
      <c r="I19" s="59"/>
      <c r="J19" s="60"/>
      <c r="K19" s="60"/>
      <c r="L19" s="60"/>
      <c r="M19" s="60"/>
      <c r="N19" s="60"/>
      <c r="O19" s="60"/>
      <c r="P19" s="60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4.25" customHeight="1">
      <c r="A20" s="59"/>
      <c r="B20" s="76" t="s">
        <v>83</v>
      </c>
      <c r="C20" s="77" t="s">
        <v>84</v>
      </c>
      <c r="D20" s="59"/>
      <c r="E20" s="59"/>
      <c r="F20" s="59"/>
      <c r="G20" s="59"/>
      <c r="H20" s="60"/>
      <c r="I20" s="59"/>
      <c r="J20" s="60"/>
      <c r="K20" s="60"/>
      <c r="L20" s="60"/>
      <c r="M20" s="60"/>
      <c r="N20" s="60"/>
      <c r="O20" s="60"/>
      <c r="P20" s="60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4.25" customHeight="1">
      <c r="A21" s="59"/>
      <c r="B21" s="78" t="s">
        <v>85</v>
      </c>
      <c r="C21" s="77" t="s">
        <v>86</v>
      </c>
      <c r="D21" s="59"/>
      <c r="E21" s="59"/>
      <c r="F21" s="59"/>
      <c r="G21" s="59"/>
      <c r="H21" s="60"/>
      <c r="I21" s="60"/>
      <c r="J21" s="60"/>
      <c r="K21" s="60"/>
      <c r="L21" s="60"/>
      <c r="M21" s="60"/>
      <c r="N21" s="60"/>
      <c r="O21" s="60"/>
      <c r="P21" s="60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4.25" customHeight="1">
      <c r="A22" s="59"/>
      <c r="B22" s="59"/>
      <c r="C22" s="59"/>
      <c r="D22" s="59"/>
      <c r="E22" s="59"/>
      <c r="F22" s="59"/>
      <c r="G22" s="59"/>
      <c r="H22" s="60"/>
      <c r="I22" s="60"/>
      <c r="J22" s="60"/>
      <c r="K22" s="60"/>
      <c r="L22" s="60"/>
      <c r="M22" s="60"/>
      <c r="N22" s="60"/>
      <c r="O22" s="60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4.2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60"/>
      <c r="O23" s="60"/>
      <c r="P23" s="60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4.2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  <c r="O24" s="60"/>
      <c r="P24" s="60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4.25" customHeight="1">
      <c r="A25" s="59"/>
      <c r="B25" s="79"/>
      <c r="J25" s="59"/>
      <c r="K25" s="59"/>
      <c r="L25" s="59"/>
      <c r="M25" s="59"/>
      <c r="N25" s="60"/>
      <c r="O25" s="60"/>
      <c r="P25" s="60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4.25" customHeight="1">
      <c r="A26" s="59"/>
      <c r="B26" s="80"/>
      <c r="C26" s="81"/>
      <c r="D26" s="80"/>
      <c r="E26" s="80"/>
      <c r="F26" s="80"/>
      <c r="G26" s="80"/>
      <c r="H26" s="80"/>
      <c r="I26" s="80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4.25" customHeight="1">
      <c r="A27" s="59"/>
      <c r="B27" s="80"/>
      <c r="C27" s="80"/>
      <c r="D27" s="82" t="s">
        <v>87</v>
      </c>
      <c r="E27" s="80"/>
      <c r="F27" s="80"/>
      <c r="G27" s="80"/>
      <c r="H27" s="80"/>
      <c r="I27" s="80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4.25" customHeight="1">
      <c r="A28" s="59"/>
      <c r="B28" s="80"/>
      <c r="C28" s="80"/>
      <c r="D28" s="83" t="s">
        <v>88</v>
      </c>
      <c r="E28" s="80"/>
      <c r="F28" s="80"/>
      <c r="G28" s="80"/>
      <c r="H28" s="80"/>
      <c r="I28" s="80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4.25" customHeight="1">
      <c r="A29" s="59"/>
      <c r="B29" s="80"/>
      <c r="C29" s="80"/>
      <c r="D29" s="84" t="s">
        <v>89</v>
      </c>
      <c r="E29" s="80"/>
      <c r="F29" s="80"/>
      <c r="G29" s="80"/>
      <c r="H29" s="80"/>
      <c r="I29" s="80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4.25" customHeight="1">
      <c r="A30" s="59"/>
      <c r="B30" s="80"/>
      <c r="C30" s="80"/>
      <c r="D30" s="80"/>
      <c r="E30" s="80"/>
      <c r="F30" s="80"/>
      <c r="G30" s="80"/>
      <c r="H30" s="80"/>
      <c r="I30" s="8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4.25" customHeight="1">
      <c r="A31" s="59"/>
      <c r="B31" s="80"/>
      <c r="C31" s="80"/>
      <c r="D31" s="80"/>
      <c r="E31" s="80"/>
      <c r="F31" s="80"/>
      <c r="G31" s="80"/>
      <c r="H31" s="80"/>
      <c r="I31" s="80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4.25" customHeight="1">
      <c r="A32" s="59"/>
      <c r="B32" s="7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4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4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4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4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4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4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4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4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4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4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4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4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4.2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4.2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4.2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4.2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4.2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4.2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4.2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4.2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4.2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4.2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4.2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4.2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4.2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4.2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4.2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4.2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4.2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4.2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4.2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4.2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4.2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4.2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4.2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4.2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4.2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4.2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4.2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4.2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4.2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4.2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4.2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4.2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4.2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4.2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4.2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4.2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4.2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4.2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4.2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4.2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4.2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4.2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4.2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4.2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4.2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4.2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4.2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4.2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4.2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4.2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4.2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4.2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4.2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4.2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4.2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4.2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4.2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4.2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4.2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4.2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4.2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4.2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4.2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4.2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4.2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4.2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4.2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4.2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4.2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4.2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4.2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4.2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4.2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4.2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4.2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4.2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4.2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4.2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4.2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4.2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4.2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4.2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4.2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4.2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4.2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4.2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4.2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4.2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4.2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4.2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4.2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4.2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4.2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4.2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4.2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4.2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4.2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4.2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4.2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4.2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4.2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4.2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4.2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4.2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4.2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4.2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4.2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4.2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4.2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4.2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4.2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4.2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4.2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4.2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4.2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4.2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4.2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4.2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4.2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4.2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4.2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4.2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4.2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4.2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4.2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4.2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4.2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4.2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4.2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4.2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4.2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4.2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4.2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4.2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4.2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4.2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4.2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4.2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4.2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4.2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4.2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4.2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4.2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4.2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4.2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4.2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4.2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4.2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4.2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4.2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4.2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4.2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4.2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4.2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4.2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4.2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4.2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4.2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4.2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4.2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4.2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4.2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4.2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4.2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4.2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4.2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4.2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4.2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4.2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4.2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4.2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4.2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4.2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4.2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4.2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4.2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4.2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4.2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4.2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4.2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4.2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4.2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4.2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4.2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4.2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4.2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4.2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4.2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4.2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4.2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4.2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4.2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4.2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4.2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4.2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4.2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4.2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4.2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4.2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4.2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4.2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4.2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4.2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4.2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4.2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4.2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4.2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4.2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4.2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4.2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4.2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4.2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4.2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4.2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4.2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4.2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4.2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4.2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4.2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4.2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4.2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4.2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4.2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4.2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4.2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4.2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4.2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4.2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4.2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4.2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4.2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4.2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4.2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4.2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4.2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4.2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4.2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4.2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4.2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4.2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4.2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4.2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4.2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4.2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4.2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4.2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4.2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4.2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4.2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4.2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4.2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4.2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4.2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4.2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4.2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4.2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4.2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4.2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4.2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4.2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4.2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4.2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4.2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4.2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4.2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4.2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4.2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4.2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4.2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4.2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4.2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4.2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4.2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4.2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4.2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4.2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4.2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4.2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4.2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4.2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4.2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4.2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4.2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4.2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4.2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4.2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4.2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4.2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4.2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4.2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4.2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4.2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4.2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4.2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4.2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4.2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4.2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4.2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4.2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4.2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4.2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4.2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4.2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4.2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4.2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4.2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4.2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4.2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4.2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4.2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4.2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4.2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4.2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4.2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4.2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4.2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4.2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4.2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4.2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4.2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4.2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4.2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4.2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4.2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4.2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4.2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4.2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4.2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4.2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4.2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4.2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4.2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4.2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4.2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4.2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4.2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4.2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4.2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4.2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4.2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4.2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4.2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4.2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4.2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4.2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4.2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4.2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4.2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4.2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4.2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4.2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4.2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4.2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4.2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4.2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4.2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4.2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4.2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4.2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4.2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4.2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4.2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4.2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4.2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4.2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4.2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4.2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4.2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4.2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4.2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4.2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4.2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4.2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4.2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4.2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4.2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4.2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4.2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4.2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4.2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4.2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4.2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4.2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4.2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4.2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4.2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4.2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4.2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4.2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4.2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4.2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4.2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4.2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4.2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4.2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4.2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4.2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4.2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4.2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4.2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4.2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4.2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4.2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4.2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4.2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4.2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4.2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4.2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4.2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4.2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4.2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4.2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4.2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4.2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4.2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4.2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4.2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4.2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4.2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4.2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4.2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4.2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4.2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4.2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4.2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4.2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4.2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4.2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4.2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4.2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4.2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4.2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4.2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4.2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4.2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4.2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4.2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4.2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4.2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4.2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4.2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4.2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4.2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4.2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4.2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4.2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4.2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4.2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4.2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4.2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4.2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4.2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4.2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4.2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4.2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4.2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4.2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4.2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4.2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4.2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4.2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4.2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4.2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4.2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4.2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4.2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4.2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4.2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4.2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4.2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4.2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4.2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4.2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4.2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4.2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4.2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4.2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4.2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4.2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4.2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4.2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4.2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4.2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4.2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4.2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4.2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4.2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4.2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4.2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4.2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4.2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4.2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4.2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4.2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4.2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4.2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4.2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4.2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4.2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4.2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4.2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4.2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4.2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4.2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4.2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4.2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4.2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4.2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4.2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4.2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4.2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4.2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4.2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4.2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4.2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4.2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4.2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4.2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4.2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4.2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4.2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4.2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4.2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4.2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4.2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4.2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4.2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4.2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4.2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4.2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4.2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4.2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4.2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4.2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4.2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4.2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4.2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4.2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4.2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4.2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4.2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4.2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4.2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4.2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4.2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4.2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4.2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4.2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4.2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4.2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4.2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4.2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4.2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4.2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4.2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4.2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4.2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4.2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4.2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4.2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4.2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4.2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4.2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4.2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4.2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4.2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4.2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4.2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4.2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4.2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4.2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4.2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4.2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4.2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4.2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4.2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4.2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4.2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4.2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4.2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4.2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4.2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4.2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4.2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4.2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4.2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4.2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4.2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4.2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4.2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4.2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4.2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4.2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4.2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4.2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4.2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4.2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4.2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4.2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4.2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4.2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4.2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4.2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4.2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4.2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4.2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4.2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4.2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4.2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4.2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4.2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4.2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4.2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4.2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4.2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4.2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4.2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4.2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4.2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4.2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4.2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4.2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4.2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4.2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4.2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4.2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4.2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4.2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4.2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4.2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4.2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4.2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4.2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4.2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4.2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4.2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4.2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4.2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4.2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4.2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4.2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4.2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4.2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4.2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4.2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4.2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4.2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4.2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4.2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4.2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4.2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4.2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4.2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4.2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4.2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4.2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4.2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4.2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4.2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4.2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4.2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4.2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4.2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4.2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4.2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4.2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4.2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4.2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4.2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4.2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4.2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4.2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4.2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4.2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4.2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4.2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4.2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4.2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4.2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4.2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4.2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4.2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4.2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4.2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4.2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4.2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4.2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4.2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4.2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4.2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4.2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4.2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4.2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4.2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4.2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4.2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4.2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4.2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4.2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4.2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4.2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4.2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4.2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4.2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4.2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4.2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4.2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4.2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4.2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4.2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4.2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4.2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4.2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4.2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4.2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4.2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4.2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4.2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4.2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4.2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4.2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4.2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4.2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4.2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4.2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4.2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4.2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4.2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4.2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4.2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4.2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4.2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4.2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4.2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4.2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4.2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4.2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4.2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4.2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4.2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4.2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4.2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4.2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4.2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4.2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4.2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4.2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4.2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4.2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4.2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4.2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4.2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4.2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4.2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4.2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4.2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4.2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4.2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4.2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4.2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4.2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4.2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4.2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4.2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4.2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4.2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4.2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4.2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4.2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4.2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4.2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10"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  <mergeCell ref="B17:F17"/>
  </mergeCells>
  <hyperlinks>
    <hyperlink r:id="rId1" ref="I18"/>
    <hyperlink r:id="rId2" ref="C20"/>
    <hyperlink r:id="rId3" ref="C21"/>
    <hyperlink r:id="rId4" ref="D2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5" width="10.0"/>
    <col customWidth="1" min="6" max="6" width="11.0"/>
    <col customWidth="1" min="7" max="7" width="15.25"/>
    <col customWidth="1" min="8" max="8" width="11.0"/>
    <col customWidth="1" min="9" max="10" width="8.63"/>
    <col customWidth="1" min="11" max="11" width="12.13"/>
    <col customWidth="1" min="12" max="12" width="11.5"/>
    <col customWidth="1" min="13" max="17" width="8.63"/>
    <col customWidth="1" min="18" max="18" width="42.5"/>
    <col customWidth="1" min="19" max="25" width="8.63"/>
    <col customWidth="1" min="26" max="26" width="17.75"/>
    <col customWidth="1" min="27" max="27" width="11.25"/>
  </cols>
  <sheetData>
    <row r="1" ht="14.25" customHeight="1">
      <c r="C1" s="85">
        <v>1.0</v>
      </c>
      <c r="D1" s="85">
        <v>2.0</v>
      </c>
      <c r="E1" s="85">
        <v>3.0</v>
      </c>
      <c r="F1" s="85">
        <v>4.0</v>
      </c>
      <c r="G1" s="85">
        <v>5.0</v>
      </c>
      <c r="H1" s="85">
        <v>6.0</v>
      </c>
      <c r="I1" s="85">
        <v>7.0</v>
      </c>
      <c r="J1" s="85">
        <v>8.0</v>
      </c>
      <c r="K1" s="85">
        <v>9.0</v>
      </c>
      <c r="L1" s="85">
        <v>10.0</v>
      </c>
      <c r="R1" s="85">
        <v>1.0</v>
      </c>
      <c r="S1" s="85">
        <v>2.0</v>
      </c>
      <c r="T1" s="85">
        <v>3.0</v>
      </c>
      <c r="U1" s="85">
        <v>4.0</v>
      </c>
      <c r="V1" s="85">
        <v>5.0</v>
      </c>
      <c r="W1" s="85">
        <v>6.0</v>
      </c>
      <c r="X1" s="85">
        <v>7.0</v>
      </c>
      <c r="Y1" s="85">
        <v>8.0</v>
      </c>
      <c r="Z1" s="85">
        <v>9.0</v>
      </c>
      <c r="AA1" s="85">
        <v>10.0</v>
      </c>
    </row>
    <row r="2" ht="14.25" customHeight="1">
      <c r="A2" s="85" t="s">
        <v>90</v>
      </c>
      <c r="B2" s="85">
        <v>1.0</v>
      </c>
      <c r="C2" s="86">
        <f>('XL-test'!D48)</f>
        <v>200</v>
      </c>
      <c r="D2" s="87">
        <f>('XL-test'!E48)</f>
        <v>350000000</v>
      </c>
      <c r="E2" s="87">
        <f>('XL-test'!F48)</f>
        <v>12250000</v>
      </c>
      <c r="F2" s="87">
        <f>('XL-test'!G48)</f>
        <v>362250000</v>
      </c>
      <c r="G2" s="87">
        <f>('XL-test'!I48)</f>
        <v>87500000</v>
      </c>
      <c r="H2" s="87">
        <f>('XL-test'!J48)</f>
        <v>4375000</v>
      </c>
      <c r="I2" s="87">
        <f>('XL-test'!K48)</f>
        <v>1458333.333</v>
      </c>
      <c r="J2" s="87">
        <f>('XL-test'!L48)</f>
        <v>5833333.333</v>
      </c>
      <c r="K2" s="87">
        <f>('XL-test'!M48)</f>
        <v>449750000</v>
      </c>
      <c r="L2" s="88">
        <f>('XL-test'!O48)</f>
        <v>46411</v>
      </c>
      <c r="Q2" s="85">
        <v>1.0</v>
      </c>
      <c r="R2" s="85" t="str">
        <f>FORMULATEXT('XL-test'!D48)</f>
        <v>=VLOOKUP(C48,$I$32:$L$36,2,0)</v>
      </c>
      <c r="S2" s="85" t="str">
        <f>FORMULATEXT('XL-test'!E48)</f>
        <v>=VLOOKUP(C48,$I$32:$L$36,3,0)</v>
      </c>
      <c r="T2" s="85" t="str">
        <f>FORMULATEXT('XL-test'!F48)</f>
        <v>=VLOOKUP(C48,$I$32:$L$36,4,0)*E48</v>
      </c>
      <c r="U2" s="85" t="str">
        <f>FORMULATEXT('XL-test'!G48)</f>
        <v>=E48+F48</v>
      </c>
      <c r="V2" s="85" t="str">
        <f>FORMULATEXT('XL-test'!I48)</f>
        <v>=HLOOKUP(C48,$I$26:$M$28,2,0)*E48</v>
      </c>
      <c r="W2" s="85" t="str">
        <f>FORMULATEXT('XL-test'!J48)</f>
        <v>=(E48-I48)/H48</v>
      </c>
      <c r="X2" s="85" t="str">
        <f>FORMULATEXT('XL-test'!K48)</f>
        <v>=HLOOKUP(C48,$I$26:$M$28,3,0)*E48/12</v>
      </c>
      <c r="Y2" s="85" t="str">
        <f>FORMULATEXT('XL-test'!L48)</f>
        <v>=J48+K48</v>
      </c>
      <c r="Z2" s="85" t="str">
        <f>FORMULATEXT('XL-test'!M48)</f>
        <v>=sum(J48:K48)*H48+I48+F48</v>
      </c>
      <c r="AA2" s="85" t="str">
        <f>FORMULATEXT('XL-test'!O48)</f>
        <v>=EDATE(N48,H48)</v>
      </c>
    </row>
    <row r="3" ht="14.25" customHeight="1">
      <c r="A3" s="85" t="s">
        <v>91</v>
      </c>
      <c r="B3" s="85">
        <v>2.0</v>
      </c>
      <c r="C3" s="86">
        <f>('XL-test'!D49)</f>
        <v>60</v>
      </c>
      <c r="D3" s="87">
        <f>('XL-test'!E49)</f>
        <v>160000000</v>
      </c>
      <c r="E3" s="87">
        <f>('XL-test'!F49)</f>
        <v>4000000</v>
      </c>
      <c r="F3" s="87">
        <f>('XL-test'!G49)</f>
        <v>164000000</v>
      </c>
      <c r="G3" s="87">
        <f>('XL-test'!I49)</f>
        <v>8000000</v>
      </c>
      <c r="H3" s="87">
        <f>('XL-test'!J49)</f>
        <v>844444.4444</v>
      </c>
      <c r="I3" s="87">
        <f>('XL-test'!K49)</f>
        <v>133333.3333</v>
      </c>
      <c r="J3" s="87">
        <f>('XL-test'!L49)</f>
        <v>977777.7778</v>
      </c>
      <c r="K3" s="87">
        <f>('XL-test'!M49)</f>
        <v>188000000</v>
      </c>
      <c r="L3" s="88">
        <f>('XL-test'!O49)</f>
        <v>50111</v>
      </c>
      <c r="Q3" s="85">
        <v>2.0</v>
      </c>
      <c r="R3" s="85" t="str">
        <f>FORMULATEXT('XL-test'!E48)</f>
        <v>=VLOOKUP(C48,$I$32:$L$36,3,0)</v>
      </c>
    </row>
    <row r="4" ht="14.25" customHeight="1">
      <c r="B4" s="85">
        <v>3.0</v>
      </c>
      <c r="C4" s="86">
        <f>('XL-test'!D50)</f>
        <v>150</v>
      </c>
      <c r="D4" s="87">
        <f>('XL-test'!E50)</f>
        <v>250000000</v>
      </c>
      <c r="E4" s="87">
        <f>('XL-test'!F50)</f>
        <v>8750000</v>
      </c>
      <c r="F4" s="87">
        <f>('XL-test'!G50)</f>
        <v>258750000</v>
      </c>
      <c r="G4" s="87">
        <f>('XL-test'!I50)</f>
        <v>50000000</v>
      </c>
      <c r="H4" s="87">
        <f>('XL-test'!J50)</f>
        <v>1515151.515</v>
      </c>
      <c r="I4" s="87">
        <f>('XL-test'!K50)</f>
        <v>833333.3333</v>
      </c>
      <c r="J4" s="87">
        <f>('XL-test'!L50)</f>
        <v>2348484.848</v>
      </c>
      <c r="K4" s="87">
        <f>('XL-test'!M50)</f>
        <v>368750000</v>
      </c>
      <c r="L4" s="88">
        <f>('XL-test'!O50)</f>
        <v>48632</v>
      </c>
      <c r="Q4" s="85">
        <v>3.0</v>
      </c>
      <c r="R4" s="85" t="str">
        <f>FORMULATEXT('XL-test'!F48)</f>
        <v>=VLOOKUP(C48,$I$32:$L$36,4,0)*E48</v>
      </c>
    </row>
    <row r="5" ht="14.25" customHeight="1">
      <c r="B5" s="85">
        <v>4.0</v>
      </c>
      <c r="C5" s="86">
        <f>('XL-test'!D51)</f>
        <v>80</v>
      </c>
      <c r="D5" s="87">
        <f>('XL-test'!E51)</f>
        <v>190000000</v>
      </c>
      <c r="E5" s="87">
        <f>('XL-test'!F51)</f>
        <v>4750000</v>
      </c>
      <c r="F5" s="87">
        <f>('XL-test'!G51)</f>
        <v>194750000</v>
      </c>
      <c r="G5" s="87">
        <f>('XL-test'!I51)</f>
        <v>19000000</v>
      </c>
      <c r="H5" s="87">
        <f>('XL-test'!J51)</f>
        <v>1096153.846</v>
      </c>
      <c r="I5" s="87">
        <f>('XL-test'!K51)</f>
        <v>316666.6667</v>
      </c>
      <c r="J5" s="87">
        <f>('XL-test'!L51)</f>
        <v>1412820.513</v>
      </c>
      <c r="K5" s="87">
        <f>('XL-test'!M51)</f>
        <v>244150000</v>
      </c>
      <c r="L5" s="88">
        <f>('XL-test'!O51)</f>
        <v>49426</v>
      </c>
      <c r="Q5" s="85">
        <v>4.0</v>
      </c>
      <c r="R5" s="85" t="str">
        <f>FORMULATEXT('XL-test'!G48)</f>
        <v>=E48+F48</v>
      </c>
    </row>
    <row r="6" ht="14.25" customHeight="1">
      <c r="B6" s="85">
        <v>5.0</v>
      </c>
      <c r="C6" s="86">
        <f>('XL-test'!D52)</f>
        <v>100</v>
      </c>
      <c r="D6" s="87">
        <f>('XL-test'!E52)</f>
        <v>210000000</v>
      </c>
      <c r="E6" s="87">
        <f>('XL-test'!F52)</f>
        <v>6300000</v>
      </c>
      <c r="F6" s="87">
        <f>('XL-test'!G52)</f>
        <v>216300000</v>
      </c>
      <c r="G6" s="87">
        <f>('XL-test'!I52)</f>
        <v>31500000</v>
      </c>
      <c r="H6" s="87">
        <f>('XL-test'!J52)</f>
        <v>1239583.333</v>
      </c>
      <c r="I6" s="87">
        <f>('XL-test'!K52)</f>
        <v>525000</v>
      </c>
      <c r="J6" s="87">
        <f>('XL-test'!L52)</f>
        <v>1764583.333</v>
      </c>
      <c r="K6" s="87">
        <f>('XL-test'!M52)</f>
        <v>291900000</v>
      </c>
      <c r="L6" s="88">
        <f>('XL-test'!O52)</f>
        <v>49064</v>
      </c>
      <c r="Q6" s="85">
        <v>5.0</v>
      </c>
      <c r="R6" s="85" t="str">
        <f>FORMULATEXT('XL-test'!I48)</f>
        <v>=HLOOKUP(C48,$I$26:$M$28,2,0)*E48</v>
      </c>
    </row>
    <row r="7" ht="14.25" customHeight="1">
      <c r="B7" s="85">
        <v>6.0</v>
      </c>
      <c r="C7" s="86">
        <f>('XL-test'!D53)</f>
        <v>60</v>
      </c>
      <c r="D7" s="87">
        <f>('XL-test'!E53)</f>
        <v>160000000</v>
      </c>
      <c r="E7" s="87">
        <f>('XL-test'!F53)</f>
        <v>4000000</v>
      </c>
      <c r="F7" s="87">
        <f>('XL-test'!G53)</f>
        <v>164000000</v>
      </c>
      <c r="G7" s="87">
        <f>('XL-test'!I53)</f>
        <v>8000000</v>
      </c>
      <c r="H7" s="87">
        <f>('XL-test'!J53)</f>
        <v>3166666.667</v>
      </c>
      <c r="I7" s="87">
        <f>('XL-test'!K53)</f>
        <v>133333.3333</v>
      </c>
      <c r="J7" s="87">
        <f>('XL-test'!L53)</f>
        <v>3300000</v>
      </c>
      <c r="K7" s="87">
        <f>('XL-test'!M53)</f>
        <v>170400000</v>
      </c>
      <c r="L7" s="88">
        <f>('XL-test'!O53)</f>
        <v>46193</v>
      </c>
      <c r="Q7" s="85">
        <v>6.0</v>
      </c>
      <c r="R7" s="85" t="str">
        <f>FORMULATEXT('XL-test'!J48)</f>
        <v>=(E48-I48)/H48</v>
      </c>
    </row>
    <row r="8" ht="14.25" customHeight="1">
      <c r="B8" s="85">
        <v>7.0</v>
      </c>
      <c r="C8" s="86">
        <f>('XL-test'!D54)</f>
        <v>80</v>
      </c>
      <c r="D8" s="87">
        <f>('XL-test'!E54)</f>
        <v>190000000</v>
      </c>
      <c r="E8" s="87">
        <f>('XL-test'!F54)</f>
        <v>4750000</v>
      </c>
      <c r="F8" s="87">
        <f>('XL-test'!G54)</f>
        <v>194750000</v>
      </c>
      <c r="G8" s="87">
        <f>('XL-test'!I54)</f>
        <v>19000000</v>
      </c>
      <c r="H8" s="87">
        <f>('XL-test'!J54)</f>
        <v>1781250</v>
      </c>
      <c r="I8" s="87">
        <f>('XL-test'!K54)</f>
        <v>316666.6667</v>
      </c>
      <c r="J8" s="87">
        <f>('XL-test'!L54)</f>
        <v>2097916.667</v>
      </c>
      <c r="K8" s="87">
        <f>('XL-test'!M54)</f>
        <v>225150000</v>
      </c>
      <c r="L8" s="88">
        <f>('XL-test'!O54)</f>
        <v>47669</v>
      </c>
      <c r="Q8" s="85">
        <v>7.0</v>
      </c>
      <c r="R8" s="85" t="str">
        <f>FORMULATEXT('XL-test'!K48)</f>
        <v>=HLOOKUP(C48,$I$26:$M$28,3,0)*E48/12</v>
      </c>
    </row>
    <row r="9" ht="14.25" customHeight="1">
      <c r="B9" s="85">
        <v>8.0</v>
      </c>
      <c r="C9" s="86">
        <f>('XL-test'!D55)</f>
        <v>200</v>
      </c>
      <c r="D9" s="87">
        <f>('XL-test'!E55)</f>
        <v>350000000</v>
      </c>
      <c r="E9" s="87">
        <f>('XL-test'!F55)</f>
        <v>12250000</v>
      </c>
      <c r="F9" s="87">
        <f>('XL-test'!G55)</f>
        <v>362250000</v>
      </c>
      <c r="G9" s="87">
        <f>('XL-test'!I55)</f>
        <v>87500000</v>
      </c>
      <c r="H9" s="87">
        <f>('XL-test'!J55)</f>
        <v>1562500</v>
      </c>
      <c r="I9" s="87">
        <f>('XL-test'!K55)</f>
        <v>1458333.333</v>
      </c>
      <c r="J9" s="87">
        <f>('XL-test'!L55)</f>
        <v>3020833.333</v>
      </c>
      <c r="K9" s="87">
        <f>('XL-test'!M55)</f>
        <v>607250000</v>
      </c>
      <c r="L9" s="88">
        <f>('XL-test'!O55)</f>
        <v>49915</v>
      </c>
      <c r="Q9" s="85">
        <v>8.0</v>
      </c>
      <c r="R9" s="85" t="str">
        <f>FORMULATEXT('XL-test'!L48)</f>
        <v>=J48+K48</v>
      </c>
    </row>
    <row r="10" ht="14.25" customHeight="1">
      <c r="B10" s="85">
        <v>9.0</v>
      </c>
      <c r="C10" s="86">
        <f>('XL-test'!D56)</f>
        <v>150</v>
      </c>
      <c r="D10" s="87">
        <f>('XL-test'!E56)</f>
        <v>250000000</v>
      </c>
      <c r="E10" s="87">
        <f>('XL-test'!F56)</f>
        <v>8750000</v>
      </c>
      <c r="F10" s="87">
        <f>('XL-test'!G56)</f>
        <v>258750000</v>
      </c>
      <c r="G10" s="87">
        <f>('XL-test'!I56)</f>
        <v>50000000</v>
      </c>
      <c r="H10" s="87">
        <f>('XL-test'!J56)</f>
        <v>1851851.852</v>
      </c>
      <c r="I10" s="87">
        <f>('XL-test'!K56)</f>
        <v>833333.3333</v>
      </c>
      <c r="J10" s="87">
        <f>('XL-test'!L56)</f>
        <v>2685185.185</v>
      </c>
      <c r="K10" s="87">
        <f>('XL-test'!M56)</f>
        <v>348750000</v>
      </c>
      <c r="L10" s="88">
        <f>('XL-test'!O56)</f>
        <v>48096</v>
      </c>
      <c r="Q10" s="85">
        <v>9.0</v>
      </c>
      <c r="R10" s="85" t="str">
        <f>FORMULATEXT('XL-test'!M48)</f>
        <v>=sum(J48:K48)*H48+I48+F48</v>
      </c>
    </row>
    <row r="11" ht="14.25" customHeight="1">
      <c r="B11" s="85">
        <v>10.0</v>
      </c>
      <c r="C11" s="86">
        <f>('XL-test'!D57)</f>
        <v>100</v>
      </c>
      <c r="D11" s="87">
        <f>('XL-test'!E57)</f>
        <v>210000000</v>
      </c>
      <c r="E11" s="87">
        <f>('XL-test'!F57)</f>
        <v>6300000</v>
      </c>
      <c r="F11" s="87">
        <f>('XL-test'!G57)</f>
        <v>216300000</v>
      </c>
      <c r="G11" s="87">
        <f>('XL-test'!I57)</f>
        <v>31500000</v>
      </c>
      <c r="H11" s="87">
        <f>('XL-test'!J57)</f>
        <v>2318181.818</v>
      </c>
      <c r="I11" s="87">
        <f>('XL-test'!K57)</f>
        <v>525000</v>
      </c>
      <c r="J11" s="87">
        <f>('XL-test'!L57)</f>
        <v>2843181.818</v>
      </c>
      <c r="K11" s="87">
        <f>('XL-test'!M57)</f>
        <v>256725000</v>
      </c>
      <c r="L11" s="88">
        <f>('XL-test'!O57)</f>
        <v>46947</v>
      </c>
      <c r="Q11" s="85">
        <v>10.0</v>
      </c>
      <c r="R11" s="85" t="str">
        <f>FORMULATEXT('XL-test'!O48)</f>
        <v>=EDATE(N48,H48)</v>
      </c>
    </row>
    <row r="12" ht="14.25" customHeight="1">
      <c r="B12" s="85">
        <v>11.0</v>
      </c>
      <c r="C12" s="86">
        <f>('XL-test'!D58)</f>
        <v>80</v>
      </c>
      <c r="D12" s="87">
        <f>('XL-test'!E58)</f>
        <v>190000000</v>
      </c>
      <c r="E12" s="87">
        <f>('XL-test'!F58)</f>
        <v>4750000</v>
      </c>
      <c r="F12" s="87">
        <f>('XL-test'!G58)</f>
        <v>194750000</v>
      </c>
      <c r="G12" s="87">
        <f>('XL-test'!I58)</f>
        <v>19000000</v>
      </c>
      <c r="H12" s="87">
        <f>('XL-test'!J58)</f>
        <v>1140000</v>
      </c>
      <c r="I12" s="87">
        <f>('XL-test'!K58)</f>
        <v>316666.6667</v>
      </c>
      <c r="J12" s="87">
        <f>('XL-test'!L58)</f>
        <v>1456666.667</v>
      </c>
      <c r="K12" s="87">
        <f>('XL-test'!M58)</f>
        <v>242250000</v>
      </c>
      <c r="L12" s="88">
        <f>('XL-test'!O58)</f>
        <v>49215</v>
      </c>
    </row>
    <row r="13" ht="14.25" customHeight="1">
      <c r="B13" s="85">
        <v>12.0</v>
      </c>
      <c r="C13" s="86">
        <f>('XL-test'!D59)</f>
        <v>80</v>
      </c>
      <c r="D13" s="87">
        <f>('XL-test'!E59)</f>
        <v>190000000</v>
      </c>
      <c r="E13" s="87">
        <f>('XL-test'!F59)</f>
        <v>4750000</v>
      </c>
      <c r="F13" s="87">
        <f>('XL-test'!G59)</f>
        <v>194750000</v>
      </c>
      <c r="G13" s="87">
        <f>('XL-test'!I59)</f>
        <v>19000000</v>
      </c>
      <c r="H13" s="87">
        <f>('XL-test'!J59)</f>
        <v>712500</v>
      </c>
      <c r="I13" s="87">
        <f>('XL-test'!K59)</f>
        <v>316666.6667</v>
      </c>
      <c r="J13" s="87">
        <f>('XL-test'!L59)</f>
        <v>1029166.667</v>
      </c>
      <c r="K13" s="87">
        <f>('XL-test'!M59)</f>
        <v>270750000</v>
      </c>
      <c r="L13" s="88">
        <f>('XL-test'!O59)</f>
        <v>51924</v>
      </c>
    </row>
    <row r="14" ht="14.25" customHeight="1">
      <c r="B14" s="85">
        <v>13.0</v>
      </c>
      <c r="C14" s="86">
        <f>('XL-test'!D60)</f>
        <v>150</v>
      </c>
      <c r="D14" s="87">
        <f>('XL-test'!E60)</f>
        <v>250000000</v>
      </c>
      <c r="E14" s="87">
        <f>('XL-test'!F60)</f>
        <v>8750000</v>
      </c>
      <c r="F14" s="87">
        <f>('XL-test'!G60)</f>
        <v>258750000</v>
      </c>
      <c r="G14" s="87">
        <f>('XL-test'!I60)</f>
        <v>50000000</v>
      </c>
      <c r="H14" s="87">
        <f>('XL-test'!J60)</f>
        <v>877192.9825</v>
      </c>
      <c r="I14" s="87">
        <f>('XL-test'!K60)</f>
        <v>833333.3333</v>
      </c>
      <c r="J14" s="87">
        <f>('XL-test'!L60)</f>
        <v>1710526.316</v>
      </c>
      <c r="K14" s="87">
        <f>('XL-test'!M60)</f>
        <v>448750000</v>
      </c>
      <c r="L14" s="88">
        <f>('XL-test'!O60)</f>
        <v>51620</v>
      </c>
    </row>
    <row r="15" ht="14.25" customHeight="1">
      <c r="B15" s="85">
        <v>14.0</v>
      </c>
      <c r="C15" s="86">
        <f>('XL-test'!D61)</f>
        <v>200</v>
      </c>
      <c r="D15" s="87">
        <f>('XL-test'!E61)</f>
        <v>350000000</v>
      </c>
      <c r="E15" s="87">
        <f>('XL-test'!F61)</f>
        <v>12250000</v>
      </c>
      <c r="F15" s="87">
        <f>('XL-test'!G61)</f>
        <v>362250000</v>
      </c>
      <c r="G15" s="87">
        <f>('XL-test'!I61)</f>
        <v>87500000</v>
      </c>
      <c r="H15" s="87">
        <f>('XL-test'!J61)</f>
        <v>1151315.789</v>
      </c>
      <c r="I15" s="87">
        <f>('XL-test'!K61)</f>
        <v>1458333.333</v>
      </c>
      <c r="J15" s="87">
        <f>('XL-test'!L61)</f>
        <v>2609649.123</v>
      </c>
      <c r="K15" s="87">
        <f>('XL-test'!M61)</f>
        <v>694750000</v>
      </c>
      <c r="L15" s="88">
        <f>('XL-test'!O61)</f>
        <v>51633</v>
      </c>
    </row>
    <row r="16" ht="14.25" customHeight="1">
      <c r="B16" s="85">
        <v>15.0</v>
      </c>
      <c r="C16" s="86">
        <f>('XL-test'!D62)</f>
        <v>200</v>
      </c>
      <c r="D16" s="87">
        <f>('XL-test'!E62)</f>
        <v>350000000</v>
      </c>
      <c r="E16" s="87">
        <f>('XL-test'!F62)</f>
        <v>12250000</v>
      </c>
      <c r="F16" s="87">
        <f>('XL-test'!G62)</f>
        <v>362250000</v>
      </c>
      <c r="G16" s="87">
        <f>('XL-test'!I62)</f>
        <v>87500000</v>
      </c>
      <c r="H16" s="87">
        <f>('XL-test'!J62)</f>
        <v>1682692.308</v>
      </c>
      <c r="I16" s="87">
        <f>('XL-test'!K62)</f>
        <v>1458333.333</v>
      </c>
      <c r="J16" s="87">
        <f>('XL-test'!L62)</f>
        <v>3141025.641</v>
      </c>
      <c r="K16" s="87">
        <f>('XL-test'!M62)</f>
        <v>589750000</v>
      </c>
      <c r="L16" s="88">
        <f>('XL-test'!O62)</f>
        <v>49493</v>
      </c>
    </row>
    <row r="17" ht="14.25" customHeight="1">
      <c r="B17" s="85">
        <v>16.0</v>
      </c>
      <c r="C17" s="86">
        <f>('XL-test'!D63)</f>
        <v>80</v>
      </c>
      <c r="D17" s="87">
        <f>('XL-test'!E63)</f>
        <v>190000000</v>
      </c>
      <c r="E17" s="87">
        <f>('XL-test'!F63)</f>
        <v>4750000</v>
      </c>
      <c r="F17" s="87">
        <f>('XL-test'!G63)</f>
        <v>194750000</v>
      </c>
      <c r="G17" s="87">
        <f>('XL-test'!I63)</f>
        <v>19000000</v>
      </c>
      <c r="H17" s="87">
        <f>('XL-test'!J63)</f>
        <v>950000</v>
      </c>
      <c r="I17" s="87">
        <f>('XL-test'!K63)</f>
        <v>316666.6667</v>
      </c>
      <c r="J17" s="87">
        <f>('XL-test'!L63)</f>
        <v>1266666.667</v>
      </c>
      <c r="K17" s="87">
        <f>('XL-test'!M63)</f>
        <v>251750000</v>
      </c>
      <c r="L17" s="88">
        <f>('XL-test'!O63)</f>
        <v>50250</v>
      </c>
    </row>
    <row r="18" ht="14.25" customHeight="1"/>
    <row r="19" ht="14.25" customHeight="1">
      <c r="C19" s="86">
        <f>SUM(C2:C17,C3,C6,C9,C12,C15)</f>
        <v>2610</v>
      </c>
      <c r="D19" s="85">
        <f>SUM(D2:D17)/1000000+(D5/100000)+(D9/100000)+(D13/100000)+(D3/100000)</f>
        <v>12740</v>
      </c>
      <c r="E19" s="85">
        <f t="shared" ref="E19:F19" si="1">SUM(E2:E17)/10000+(E5/10000)+(E9/10000)+(E13/10000)+(E3/10000)</f>
        <v>14535</v>
      </c>
      <c r="F19" s="85">
        <f t="shared" si="1"/>
        <v>487535</v>
      </c>
      <c r="G19" s="85">
        <f>SUM(G2:G17)/100000+(G5/100000)+(G9/100000)+(G13/100000)+(G3/100000)</f>
        <v>8075</v>
      </c>
      <c r="H19" s="85">
        <f t="shared" ref="H19:J19" si="2">LEFT(INT(SUM(H2:H17)),4)+RIGHT(INT(SUM(H2:H17)),4)</f>
        <v>7110</v>
      </c>
      <c r="I19" s="85">
        <f t="shared" si="2"/>
        <v>4456</v>
      </c>
      <c r="J19" s="85">
        <f t="shared" si="2"/>
        <v>11566</v>
      </c>
      <c r="K19" s="85">
        <f>INT(SUM(K2:K17)/10000+(K5/10000)+(K9/10000)+(K13/10000)+(K3/10000))</f>
        <v>695897</v>
      </c>
      <c r="L19" s="85">
        <f>LEFT(INT(SUM(L2:L17)),4)+RIGHT(INT(SUM(L2:L17)),4)</f>
        <v>14464</v>
      </c>
    </row>
    <row r="20" ht="14.25" customHeight="1"/>
    <row r="21" ht="14.25" customHeight="1">
      <c r="B21" s="85" t="s">
        <v>92</v>
      </c>
      <c r="C21" s="85">
        <v>5316.0</v>
      </c>
      <c r="D21" s="85">
        <v>5868.0</v>
      </c>
      <c r="E21" s="85">
        <v>8566.0</v>
      </c>
      <c r="F21" s="85">
        <v>1273.0</v>
      </c>
      <c r="G21" s="85">
        <v>9279.0</v>
      </c>
      <c r="H21" s="85">
        <v>8761.0</v>
      </c>
      <c r="I21" s="85">
        <v>1917.0</v>
      </c>
      <c r="J21" s="85">
        <v>7832.0</v>
      </c>
      <c r="K21" s="85">
        <v>1429.0</v>
      </c>
      <c r="L21" s="85">
        <v>2583.0</v>
      </c>
    </row>
    <row r="22" ht="14.25" customHeight="1"/>
    <row r="23" ht="14.25" customHeight="1">
      <c r="C23" s="85" t="str">
        <f t="shared" ref="C23:L23" si="3">DEC2HEX(C19)</f>
        <v>A32</v>
      </c>
      <c r="D23" s="85" t="str">
        <f t="shared" si="3"/>
        <v>31C4</v>
      </c>
      <c r="E23" s="85" t="str">
        <f t="shared" si="3"/>
        <v>38C7</v>
      </c>
      <c r="F23" s="85" t="str">
        <f t="shared" si="3"/>
        <v>7706F</v>
      </c>
      <c r="G23" s="85" t="str">
        <f t="shared" si="3"/>
        <v>1F8B</v>
      </c>
      <c r="H23" s="85" t="str">
        <f t="shared" si="3"/>
        <v>1BC6</v>
      </c>
      <c r="I23" s="85" t="str">
        <f t="shared" si="3"/>
        <v>1168</v>
      </c>
      <c r="J23" s="85" t="str">
        <f t="shared" si="3"/>
        <v>2D2E</v>
      </c>
      <c r="K23" s="85" t="str">
        <f t="shared" si="3"/>
        <v>A9E59</v>
      </c>
      <c r="L23" s="85" t="str">
        <f t="shared" si="3"/>
        <v>3880</v>
      </c>
    </row>
    <row r="24" ht="14.25" customHeight="1">
      <c r="C24" s="85" t="str">
        <f t="shared" ref="C24:L24" si="4">DEC2HEX(C21)</f>
        <v>14C4</v>
      </c>
      <c r="D24" s="85" t="str">
        <f t="shared" si="4"/>
        <v>16EC</v>
      </c>
      <c r="E24" s="85" t="str">
        <f t="shared" si="4"/>
        <v>2176</v>
      </c>
      <c r="F24" s="85" t="str">
        <f t="shared" si="4"/>
        <v>4F9</v>
      </c>
      <c r="G24" s="85" t="str">
        <f t="shared" si="4"/>
        <v>243F</v>
      </c>
      <c r="H24" s="85" t="str">
        <f t="shared" si="4"/>
        <v>2239</v>
      </c>
      <c r="I24" s="85" t="str">
        <f t="shared" si="4"/>
        <v>77D</v>
      </c>
      <c r="J24" s="85" t="str">
        <f t="shared" si="4"/>
        <v>1E98</v>
      </c>
      <c r="K24" s="85" t="str">
        <f t="shared" si="4"/>
        <v>595</v>
      </c>
      <c r="L24" s="85" t="str">
        <f t="shared" si="4"/>
        <v>A17</v>
      </c>
    </row>
    <row r="25" ht="14.25" customHeight="1"/>
    <row r="26" ht="14.25" customHeight="1">
      <c r="B26" s="85" t="b">
        <v>1</v>
      </c>
      <c r="C26" s="85" t="str">
        <f t="shared" ref="C26:L26" si="5">DEC2HEX(LEFT(C21,2)+COLUMN())</f>
        <v>38</v>
      </c>
      <c r="D26" s="85" t="str">
        <f t="shared" si="5"/>
        <v>3E</v>
      </c>
      <c r="E26" s="85" t="str">
        <f t="shared" si="5"/>
        <v>5A</v>
      </c>
      <c r="F26" s="85" t="str">
        <f t="shared" si="5"/>
        <v>12</v>
      </c>
      <c r="G26" s="85" t="str">
        <f t="shared" si="5"/>
        <v>63</v>
      </c>
      <c r="H26" s="85" t="str">
        <f t="shared" si="5"/>
        <v>5F</v>
      </c>
      <c r="I26" s="85" t="str">
        <f t="shared" si="5"/>
        <v>1C</v>
      </c>
      <c r="J26" s="85" t="str">
        <f t="shared" si="5"/>
        <v>58</v>
      </c>
      <c r="K26" s="85" t="str">
        <f t="shared" si="5"/>
        <v>19</v>
      </c>
      <c r="L26" s="85" t="str">
        <f t="shared" si="5"/>
        <v>25</v>
      </c>
    </row>
    <row r="27" ht="14.25" customHeight="1">
      <c r="B27" s="85" t="b">
        <v>0</v>
      </c>
      <c r="C27" s="85" t="str">
        <f t="shared" ref="C27:L27" si="6">DEC2HEX(RIGHT(C21,2)+COLUMN())</f>
        <v>13</v>
      </c>
      <c r="D27" s="85" t="str">
        <f t="shared" si="6"/>
        <v>48</v>
      </c>
      <c r="E27" s="85" t="str">
        <f t="shared" si="6"/>
        <v>47</v>
      </c>
      <c r="F27" s="85" t="str">
        <f t="shared" si="6"/>
        <v>4F</v>
      </c>
      <c r="G27" s="85" t="str">
        <f t="shared" si="6"/>
        <v>56</v>
      </c>
      <c r="H27" s="85" t="str">
        <f t="shared" si="6"/>
        <v>45</v>
      </c>
      <c r="I27" s="85" t="str">
        <f t="shared" si="6"/>
        <v>1A</v>
      </c>
      <c r="J27" s="85" t="str">
        <f t="shared" si="6"/>
        <v>2A</v>
      </c>
      <c r="K27" s="85" t="str">
        <f t="shared" si="6"/>
        <v>28</v>
      </c>
      <c r="L27" s="85" t="str">
        <f t="shared" si="6"/>
        <v>5F</v>
      </c>
    </row>
    <row r="28" ht="14.25" customHeight="1"/>
    <row r="29" ht="14.25" customHeight="1">
      <c r="B29" s="85" t="s">
        <v>93</v>
      </c>
      <c r="C29" s="85" t="b">
        <f t="shared" ref="C29:L29" si="7">NOT(OR(C2=0,C2=""))</f>
        <v>1</v>
      </c>
      <c r="D29" s="85" t="b">
        <f t="shared" si="7"/>
        <v>1</v>
      </c>
      <c r="E29" s="85" t="b">
        <f t="shared" si="7"/>
        <v>1</v>
      </c>
      <c r="F29" s="85" t="b">
        <f t="shared" si="7"/>
        <v>1</v>
      </c>
      <c r="G29" s="85" t="b">
        <f t="shared" si="7"/>
        <v>1</v>
      </c>
      <c r="H29" s="85" t="b">
        <f t="shared" si="7"/>
        <v>1</v>
      </c>
      <c r="I29" s="85" t="b">
        <f t="shared" si="7"/>
        <v>1</v>
      </c>
      <c r="J29" s="85" t="b">
        <f t="shared" si="7"/>
        <v>1</v>
      </c>
      <c r="K29" s="85" t="b">
        <f t="shared" si="7"/>
        <v>1</v>
      </c>
      <c r="L29" s="85" t="b">
        <f t="shared" si="7"/>
        <v>1</v>
      </c>
    </row>
    <row r="30" ht="14.25" customHeight="1">
      <c r="B30" s="85" t="s">
        <v>94</v>
      </c>
      <c r="C30" s="85" t="b">
        <f t="shared" ref="C30:E30" si="8">AND(ISNUMBER(FIND("=",R2)),ISNUMBER(FIND("(",R2)))</f>
        <v>1</v>
      </c>
      <c r="D30" s="85" t="b">
        <f t="shared" si="8"/>
        <v>1</v>
      </c>
      <c r="E30" s="85" t="b">
        <f t="shared" si="8"/>
        <v>1</v>
      </c>
      <c r="F30" s="85" t="b">
        <f>AND(ISNUMBER(FIND("=",U2)),ISNUMBER(FIND("+",U2)))</f>
        <v>1</v>
      </c>
      <c r="G30" s="85" t="b">
        <f t="shared" ref="G30:I30" si="9">AND(ISNUMBER(FIND("=",V2)),ISNUMBER(FIND("(",V2)))</f>
        <v>1</v>
      </c>
      <c r="H30" s="85" t="b">
        <f t="shared" si="9"/>
        <v>1</v>
      </c>
      <c r="I30" s="85" t="b">
        <f t="shared" si="9"/>
        <v>1</v>
      </c>
      <c r="J30" s="85" t="b">
        <f>AND(ISNUMBER(FIND("=",Y2)),ISNUMBER(FIND("+",Y2)))</f>
        <v>1</v>
      </c>
      <c r="K30" s="85" t="b">
        <f t="shared" ref="K30:L30" si="10">AND(ISNUMBER(FIND("=",Z2)),ISNUMBER(FIND("(",Z2)))</f>
        <v>1</v>
      </c>
      <c r="L30" s="85" t="b">
        <f t="shared" si="10"/>
        <v>1</v>
      </c>
    </row>
    <row r="31" ht="14.25" customHeight="1">
      <c r="B31" s="85" t="s">
        <v>95</v>
      </c>
      <c r="C31" s="85" t="b">
        <f t="shared" ref="C31:L31" si="11">C72</f>
        <v>1</v>
      </c>
      <c r="D31" s="85" t="b">
        <f t="shared" si="11"/>
        <v>1</v>
      </c>
      <c r="E31" s="85" t="b">
        <f t="shared" si="11"/>
        <v>1</v>
      </c>
      <c r="F31" s="85" t="b">
        <f t="shared" si="11"/>
        <v>1</v>
      </c>
      <c r="G31" s="85" t="b">
        <f t="shared" si="11"/>
        <v>1</v>
      </c>
      <c r="H31" s="85" t="b">
        <f t="shared" si="11"/>
        <v>1</v>
      </c>
      <c r="I31" s="85" t="b">
        <f t="shared" si="11"/>
        <v>1</v>
      </c>
      <c r="J31" s="85" t="b">
        <f t="shared" si="11"/>
        <v>1</v>
      </c>
      <c r="K31" s="85" t="b">
        <f t="shared" si="11"/>
        <v>1</v>
      </c>
      <c r="L31" s="85" t="b">
        <f t="shared" si="11"/>
        <v>1</v>
      </c>
    </row>
    <row r="32" ht="14.25" customHeight="1"/>
    <row r="33" ht="14.25" customHeight="1">
      <c r="B33" s="85" t="s">
        <v>96</v>
      </c>
      <c r="C33" s="85" t="b">
        <f t="shared" ref="C33:L33" si="12">AND(C29:C31)</f>
        <v>1</v>
      </c>
      <c r="D33" s="85" t="b">
        <f t="shared" si="12"/>
        <v>1</v>
      </c>
      <c r="E33" s="85" t="b">
        <f t="shared" si="12"/>
        <v>1</v>
      </c>
      <c r="F33" s="85" t="b">
        <f t="shared" si="12"/>
        <v>1</v>
      </c>
      <c r="G33" s="85" t="b">
        <f t="shared" si="12"/>
        <v>1</v>
      </c>
      <c r="H33" s="85" t="b">
        <f t="shared" si="12"/>
        <v>1</v>
      </c>
      <c r="I33" s="85" t="b">
        <f t="shared" si="12"/>
        <v>1</v>
      </c>
      <c r="J33" s="85" t="b">
        <f t="shared" si="12"/>
        <v>1</v>
      </c>
      <c r="K33" s="85" t="b">
        <f t="shared" si="12"/>
        <v>1</v>
      </c>
      <c r="L33" s="85" t="b">
        <f t="shared" si="12"/>
        <v>1</v>
      </c>
    </row>
    <row r="34" ht="14.25" customHeight="1"/>
    <row r="35" ht="14.25" customHeight="1">
      <c r="B35" s="85" t="s">
        <v>97</v>
      </c>
      <c r="C35" s="85" t="b">
        <f t="shared" ref="C35:E35" si="13">OR(ISNUMBER(FIND("LOOK",R2)),ISNUMBER(FIND("VLOOK",R2)))</f>
        <v>1</v>
      </c>
      <c r="D35" s="85" t="b">
        <f t="shared" si="13"/>
        <v>1</v>
      </c>
      <c r="E35" s="85" t="b">
        <f t="shared" si="13"/>
        <v>1</v>
      </c>
      <c r="F35" s="85" t="b">
        <f>OR(ISNUMBER(FIND("SUM",U2)),ISNUMBER(FIND("+",U2)))</f>
        <v>1</v>
      </c>
      <c r="G35" s="85" t="b">
        <f>OR(ISNUMBER(FIND("LOOK",V2)),ISNUMBER(FIND("HLOO",V2)))</f>
        <v>1</v>
      </c>
      <c r="H35" s="85" t="b">
        <f>AND(ISNUMBER(FIND("/",W2)),ISNUMBER(FIND("-",W2)))</f>
        <v>1</v>
      </c>
      <c r="I35" s="85" t="b">
        <f>OR(ISNUMBER(FIND("LOOK",X2)),ISNUMBER(FIND("HLOO",X2)))</f>
        <v>1</v>
      </c>
      <c r="J35" s="85" t="b">
        <f>OR(ISNUMBER(FIND("SUM",Y2)),ISNUMBER(FIND("+",Y2)))</f>
        <v>1</v>
      </c>
      <c r="K35" s="85" t="b">
        <f>AND(OR(ISNUMBER(FIND("SUM",Z2)),ISNUMBER(FIND("+",Z2))),ISNUMBER(FIND("*",Z2)))</f>
        <v>1</v>
      </c>
      <c r="L35" s="85" t="b">
        <f>ISNUMBER(FIND("EDA",AA2))</f>
        <v>1</v>
      </c>
    </row>
    <row r="36" ht="14.25" customHeight="1">
      <c r="B36" s="85" t="s">
        <v>98</v>
      </c>
      <c r="C36" s="85">
        <f t="shared" ref="C36:L36" si="14">IFERROR(LEN(R2)-LEN(SUBSTITUTE(R2,"(","")),99)</f>
        <v>1</v>
      </c>
      <c r="D36" s="85">
        <f t="shared" si="14"/>
        <v>1</v>
      </c>
      <c r="E36" s="85">
        <f t="shared" si="14"/>
        <v>1</v>
      </c>
      <c r="F36" s="85">
        <f t="shared" si="14"/>
        <v>0</v>
      </c>
      <c r="G36" s="85">
        <f t="shared" si="14"/>
        <v>1</v>
      </c>
      <c r="H36" s="85">
        <f t="shared" si="14"/>
        <v>1</v>
      </c>
      <c r="I36" s="85">
        <f t="shared" si="14"/>
        <v>1</v>
      </c>
      <c r="J36" s="85">
        <f t="shared" si="14"/>
        <v>0</v>
      </c>
      <c r="K36" s="85">
        <f t="shared" si="14"/>
        <v>1</v>
      </c>
      <c r="L36" s="85">
        <f t="shared" si="14"/>
        <v>1</v>
      </c>
    </row>
    <row r="37" ht="14.25" customHeight="1">
      <c r="C37" s="85">
        <v>1.0</v>
      </c>
      <c r="D37" s="85">
        <v>1.0</v>
      </c>
      <c r="E37" s="85">
        <v>1.0</v>
      </c>
      <c r="F37" s="85">
        <v>1.0</v>
      </c>
      <c r="G37" s="85">
        <v>1.0</v>
      </c>
      <c r="H37" s="85">
        <v>1.0</v>
      </c>
      <c r="I37" s="85">
        <v>1.0</v>
      </c>
      <c r="J37" s="85">
        <v>1.0</v>
      </c>
      <c r="K37" s="85">
        <v>1.0</v>
      </c>
      <c r="L37" s="85">
        <v>1.0</v>
      </c>
    </row>
    <row r="38" ht="14.25" customHeight="1"/>
    <row r="39" ht="14.25" customHeight="1">
      <c r="C39" s="85" t="b">
        <f t="shared" ref="C39:L39" si="15">C36&lt;=C37</f>
        <v>1</v>
      </c>
      <c r="D39" s="85" t="b">
        <f t="shared" si="15"/>
        <v>1</v>
      </c>
      <c r="E39" s="85" t="b">
        <f t="shared" si="15"/>
        <v>1</v>
      </c>
      <c r="F39" s="85" t="b">
        <f t="shared" si="15"/>
        <v>1</v>
      </c>
      <c r="G39" s="85" t="b">
        <f t="shared" si="15"/>
        <v>1</v>
      </c>
      <c r="H39" s="85" t="b">
        <f t="shared" si="15"/>
        <v>1</v>
      </c>
      <c r="I39" s="85" t="b">
        <f t="shared" si="15"/>
        <v>1</v>
      </c>
      <c r="J39" s="85" t="b">
        <f t="shared" si="15"/>
        <v>1</v>
      </c>
      <c r="K39" s="85" t="b">
        <f t="shared" si="15"/>
        <v>1</v>
      </c>
      <c r="L39" s="85" t="b">
        <f t="shared" si="15"/>
        <v>1</v>
      </c>
    </row>
    <row r="40" ht="14.25" customHeight="1"/>
    <row r="41" ht="14.25" customHeight="1">
      <c r="B41" s="85" t="s">
        <v>99</v>
      </c>
      <c r="C41" s="85" t="b">
        <f t="shared" ref="C41:L41" si="16">AND(C39,C35)</f>
        <v>1</v>
      </c>
      <c r="D41" s="85" t="b">
        <f t="shared" si="16"/>
        <v>1</v>
      </c>
      <c r="E41" s="85" t="b">
        <f t="shared" si="16"/>
        <v>1</v>
      </c>
      <c r="F41" s="85" t="b">
        <f t="shared" si="16"/>
        <v>1</v>
      </c>
      <c r="G41" s="85" t="b">
        <f t="shared" si="16"/>
        <v>1</v>
      </c>
      <c r="H41" s="85" t="b">
        <f t="shared" si="16"/>
        <v>1</v>
      </c>
      <c r="I41" s="85" t="b">
        <f t="shared" si="16"/>
        <v>1</v>
      </c>
      <c r="J41" s="85" t="b">
        <f t="shared" si="16"/>
        <v>1</v>
      </c>
      <c r="K41" s="85" t="b">
        <f t="shared" si="16"/>
        <v>1</v>
      </c>
      <c r="L41" s="85" t="b">
        <f t="shared" si="16"/>
        <v>1</v>
      </c>
    </row>
    <row r="42" ht="14.25" customHeight="1"/>
    <row r="43" ht="14.25" customHeight="1">
      <c r="P43" s="85" t="s">
        <v>100</v>
      </c>
    </row>
    <row r="44" ht="14.25" customHeight="1">
      <c r="B44" s="85" t="s">
        <v>101</v>
      </c>
      <c r="C44" s="85" t="str">
        <f t="shared" ref="C44:K44" si="17">IF(C41,C26,C27)&amp;"-"&amp;IF(C33,C23,C24)&amp;";"</f>
        <v>38-A32;</v>
      </c>
      <c r="D44" s="85" t="str">
        <f t="shared" si="17"/>
        <v>3E-31C4;</v>
      </c>
      <c r="E44" s="85" t="str">
        <f t="shared" si="17"/>
        <v>5A-38C7;</v>
      </c>
      <c r="F44" s="85" t="str">
        <f t="shared" si="17"/>
        <v>12-7706F;</v>
      </c>
      <c r="G44" s="85" t="str">
        <f t="shared" si="17"/>
        <v>63-1F8B;</v>
      </c>
      <c r="H44" s="85" t="str">
        <f t="shared" si="17"/>
        <v>5F-1BC6;</v>
      </c>
      <c r="I44" s="85" t="str">
        <f t="shared" si="17"/>
        <v>1C-1168;</v>
      </c>
      <c r="J44" s="85" t="str">
        <f t="shared" si="17"/>
        <v>58-2D2E;</v>
      </c>
      <c r="K44" s="85" t="str">
        <f t="shared" si="17"/>
        <v>19-A9E59;</v>
      </c>
      <c r="L44" s="85" t="str">
        <f>IF(L41,L26,L27)&amp;"-"&amp;IF(L33,L23,L24)</f>
        <v>25-3880</v>
      </c>
    </row>
    <row r="45" ht="14.25" customHeight="1"/>
    <row r="46" ht="14.25" customHeight="1">
      <c r="B46" s="85" t="s">
        <v>102</v>
      </c>
      <c r="C46" s="85" t="str">
        <f>A3&amp;"|"&amp;C44&amp;D44&amp;E44&amp;F44&amp;G44&amp;H44&amp;I44&amp;J44&amp;K44&amp;L44</f>
        <v>EI1|38-A32;3E-31C4;5A-38C7;12-7706F;63-1F8B;5F-1BC6;1C-1168;58-2D2E;19-A9E59;25-3880</v>
      </c>
    </row>
    <row r="47" ht="14.25" customHeight="1">
      <c r="C47" s="85" t="str">
        <f>C46</f>
        <v>EI1|38-A32;3E-31C4;5A-38C7;12-7706F;63-1F8B;5F-1BC6;1C-1168;58-2D2E;19-A9E59;25-3880</v>
      </c>
      <c r="P47" s="85" t="s">
        <v>103</v>
      </c>
    </row>
    <row r="48" ht="14.25" customHeight="1">
      <c r="C48" s="85" t="str">
        <f t="array" ref="C48">INDIRECT(P43&amp;P47)</f>
        <v>EI1|38-A32;3E-31C4;5A-38C7;12-7706F;63-1F8B;5F-1BC6;1C-1168;58-2D2E;19-A9E59;25-3880</v>
      </c>
    </row>
    <row r="49" ht="14.25" customHeight="1"/>
    <row r="50" ht="14.25" customHeight="1">
      <c r="C50" s="85">
        <v>1.0</v>
      </c>
      <c r="D50" s="85">
        <v>2.0</v>
      </c>
      <c r="E50" s="85">
        <v>3.0</v>
      </c>
      <c r="F50" s="85">
        <v>4.0</v>
      </c>
      <c r="G50" s="85">
        <v>5.0</v>
      </c>
      <c r="H50" s="85">
        <v>6.0</v>
      </c>
      <c r="I50" s="85">
        <v>7.0</v>
      </c>
      <c r="J50" s="85">
        <v>8.0</v>
      </c>
      <c r="K50" s="85">
        <v>9.0</v>
      </c>
      <c r="L50" s="85">
        <v>10.0</v>
      </c>
    </row>
    <row r="51" ht="14.25" customHeight="1">
      <c r="B51" s="85">
        <v>1.0</v>
      </c>
      <c r="C51" s="85">
        <f>IFERROR(LEN(FORMULATEXT('XL-test'!D48)),0)</f>
        <v>29</v>
      </c>
      <c r="D51" s="85">
        <f>IFERROR(LEN(FORMULATEXT('XL-test'!E48)),0)</f>
        <v>29</v>
      </c>
      <c r="E51" s="85">
        <f>IFERROR(LEN(FORMULATEXT('XL-test'!F48)),0)</f>
        <v>33</v>
      </c>
      <c r="F51" s="85">
        <f>IFERROR(LEN(FORMULATEXT('XL-test'!G48)),0)</f>
        <v>8</v>
      </c>
      <c r="G51" s="85">
        <f>IFERROR(LEN(FORMULATEXT('XL-test'!I48)),0)</f>
        <v>33</v>
      </c>
      <c r="H51" s="85">
        <f>IFERROR(LEN(FORMULATEXT('XL-test'!J48)),0)</f>
        <v>14</v>
      </c>
      <c r="I51" s="85">
        <f>IFERROR(LEN(FORMULATEXT('XL-test'!K48)),0)</f>
        <v>36</v>
      </c>
      <c r="J51" s="85">
        <f>IFERROR(LEN(FORMULATEXT('XL-test'!L48)),0)</f>
        <v>8</v>
      </c>
      <c r="K51" s="85">
        <f>IFERROR(LEN(FORMULATEXT('XL-test'!M48)),0)</f>
        <v>25</v>
      </c>
      <c r="L51" s="85">
        <f>IFERROR(LEN(FORMULATEXT('XL-test'!O48)),0)</f>
        <v>15</v>
      </c>
    </row>
    <row r="52" ht="14.25" customHeight="1">
      <c r="B52" s="85">
        <v>2.0</v>
      </c>
      <c r="C52" s="85">
        <f>IFERROR(LEN(FORMULATEXT('XL-test'!D49)),0)</f>
        <v>29</v>
      </c>
      <c r="D52" s="85">
        <f>IFERROR(LEN(FORMULATEXT('XL-test'!E49)),0)</f>
        <v>29</v>
      </c>
      <c r="E52" s="85">
        <f>IFERROR(LEN(FORMULATEXT('XL-test'!F49)),0)</f>
        <v>33</v>
      </c>
      <c r="F52" s="85">
        <f>IFERROR(LEN(FORMULATEXT('XL-test'!G49)),0)</f>
        <v>8</v>
      </c>
      <c r="G52" s="85">
        <f>IFERROR(LEN(FORMULATEXT('XL-test'!I49)),0)</f>
        <v>33</v>
      </c>
      <c r="H52" s="85">
        <f>IFERROR(LEN(FORMULATEXT('XL-test'!J49)),0)</f>
        <v>14</v>
      </c>
      <c r="I52" s="85">
        <f>IFERROR(LEN(FORMULATEXT('XL-test'!K49)),0)</f>
        <v>36</v>
      </c>
      <c r="J52" s="85">
        <f>IFERROR(LEN(FORMULATEXT('XL-test'!L49)),0)</f>
        <v>8</v>
      </c>
      <c r="K52" s="85">
        <f>IFERROR(LEN(FORMULATEXT('XL-test'!M49)),0)</f>
        <v>25</v>
      </c>
      <c r="L52" s="85">
        <f>IFERROR(LEN(FORMULATEXT('XL-test'!O49)),0)</f>
        <v>15</v>
      </c>
    </row>
    <row r="53" ht="14.25" customHeight="1">
      <c r="B53" s="85">
        <v>3.0</v>
      </c>
      <c r="C53" s="85">
        <f>IFERROR(LEN(FORMULATEXT('XL-test'!D50)),0)</f>
        <v>29</v>
      </c>
      <c r="D53" s="85">
        <f>IFERROR(LEN(FORMULATEXT('XL-test'!E50)),0)</f>
        <v>29</v>
      </c>
      <c r="E53" s="85">
        <f>IFERROR(LEN(FORMULATEXT('XL-test'!F50)),0)</f>
        <v>33</v>
      </c>
      <c r="F53" s="85">
        <f>IFERROR(LEN(FORMULATEXT('XL-test'!G50)),0)</f>
        <v>8</v>
      </c>
      <c r="G53" s="85">
        <f>IFERROR(LEN(FORMULATEXT('XL-test'!I50)),0)</f>
        <v>33</v>
      </c>
      <c r="H53" s="85">
        <f>IFERROR(LEN(FORMULATEXT('XL-test'!J50)),0)</f>
        <v>14</v>
      </c>
      <c r="I53" s="85">
        <f>IFERROR(LEN(FORMULATEXT('XL-test'!K50)),0)</f>
        <v>36</v>
      </c>
      <c r="J53" s="85">
        <f>IFERROR(LEN(FORMULATEXT('XL-test'!L50)),0)</f>
        <v>8</v>
      </c>
      <c r="K53" s="85">
        <f>IFERROR(LEN(FORMULATEXT('XL-test'!M50)),0)</f>
        <v>25</v>
      </c>
      <c r="L53" s="85">
        <f>IFERROR(LEN(FORMULATEXT('XL-test'!O50)),0)</f>
        <v>15</v>
      </c>
    </row>
    <row r="54" ht="14.25" customHeight="1">
      <c r="B54" s="85">
        <v>4.0</v>
      </c>
      <c r="C54" s="85">
        <f>IFERROR(LEN(FORMULATEXT('XL-test'!D51)),0)</f>
        <v>29</v>
      </c>
      <c r="D54" s="85">
        <f>IFERROR(LEN(FORMULATEXT('XL-test'!E51)),0)</f>
        <v>29</v>
      </c>
      <c r="E54" s="85">
        <f>IFERROR(LEN(FORMULATEXT('XL-test'!F51)),0)</f>
        <v>33</v>
      </c>
      <c r="F54" s="85">
        <f>IFERROR(LEN(FORMULATEXT('XL-test'!G51)),0)</f>
        <v>8</v>
      </c>
      <c r="G54" s="85">
        <f>IFERROR(LEN(FORMULATEXT('XL-test'!I51)),0)</f>
        <v>33</v>
      </c>
      <c r="H54" s="85">
        <f>IFERROR(LEN(FORMULATEXT('XL-test'!J51)),0)</f>
        <v>14</v>
      </c>
      <c r="I54" s="85">
        <f>IFERROR(LEN(FORMULATEXT('XL-test'!K51)),0)</f>
        <v>36</v>
      </c>
      <c r="J54" s="85">
        <f>IFERROR(LEN(FORMULATEXT('XL-test'!L51)),0)</f>
        <v>8</v>
      </c>
      <c r="K54" s="85">
        <f>IFERROR(LEN(FORMULATEXT('XL-test'!M51)),0)</f>
        <v>25</v>
      </c>
      <c r="L54" s="85">
        <f>IFERROR(LEN(FORMULATEXT('XL-test'!O51)),0)</f>
        <v>15</v>
      </c>
    </row>
    <row r="55" ht="14.25" customHeight="1">
      <c r="B55" s="85">
        <v>5.0</v>
      </c>
      <c r="C55" s="85">
        <f>IFERROR(LEN(FORMULATEXT('XL-test'!D52)),0)</f>
        <v>29</v>
      </c>
      <c r="D55" s="85">
        <f>IFERROR(LEN(FORMULATEXT('XL-test'!E52)),0)</f>
        <v>29</v>
      </c>
      <c r="E55" s="85">
        <f>IFERROR(LEN(FORMULATEXT('XL-test'!F52)),0)</f>
        <v>33</v>
      </c>
      <c r="F55" s="85">
        <f>IFERROR(LEN(FORMULATEXT('XL-test'!G52)),0)</f>
        <v>8</v>
      </c>
      <c r="G55" s="85">
        <f>IFERROR(LEN(FORMULATEXT('XL-test'!I52)),0)</f>
        <v>33</v>
      </c>
      <c r="H55" s="85">
        <f>IFERROR(LEN(FORMULATEXT('XL-test'!J52)),0)</f>
        <v>14</v>
      </c>
      <c r="I55" s="85">
        <f>IFERROR(LEN(FORMULATEXT('XL-test'!K52)),0)</f>
        <v>36</v>
      </c>
      <c r="J55" s="85">
        <f>IFERROR(LEN(FORMULATEXT('XL-test'!L52)),0)</f>
        <v>8</v>
      </c>
      <c r="K55" s="85">
        <f>IFERROR(LEN(FORMULATEXT('XL-test'!M52)),0)</f>
        <v>25</v>
      </c>
      <c r="L55" s="85">
        <f>IFERROR(LEN(FORMULATEXT('XL-test'!O52)),0)</f>
        <v>15</v>
      </c>
    </row>
    <row r="56" ht="14.25" customHeight="1">
      <c r="B56" s="85">
        <v>6.0</v>
      </c>
      <c r="C56" s="85">
        <f>IFERROR(LEN(FORMULATEXT('XL-test'!D53)),0)</f>
        <v>29</v>
      </c>
      <c r="D56" s="85">
        <f>IFERROR(LEN(FORMULATEXT('XL-test'!E53)),0)</f>
        <v>29</v>
      </c>
      <c r="E56" s="85">
        <f>IFERROR(LEN(FORMULATEXT('XL-test'!F53)),0)</f>
        <v>33</v>
      </c>
      <c r="F56" s="85">
        <f>IFERROR(LEN(FORMULATEXT('XL-test'!G53)),0)</f>
        <v>8</v>
      </c>
      <c r="G56" s="85">
        <f>IFERROR(LEN(FORMULATEXT('XL-test'!I53)),0)</f>
        <v>33</v>
      </c>
      <c r="H56" s="85">
        <f>IFERROR(LEN(FORMULATEXT('XL-test'!J53)),0)</f>
        <v>14</v>
      </c>
      <c r="I56" s="85">
        <f>IFERROR(LEN(FORMULATEXT('XL-test'!K53)),0)</f>
        <v>36</v>
      </c>
      <c r="J56" s="85">
        <f>IFERROR(LEN(FORMULATEXT('XL-test'!L53)),0)</f>
        <v>8</v>
      </c>
      <c r="K56" s="85">
        <f>IFERROR(LEN(FORMULATEXT('XL-test'!M53)),0)</f>
        <v>25</v>
      </c>
      <c r="L56" s="85">
        <f>IFERROR(LEN(FORMULATEXT('XL-test'!O53)),0)</f>
        <v>15</v>
      </c>
    </row>
    <row r="57" ht="14.25" customHeight="1">
      <c r="B57" s="85">
        <v>7.0</v>
      </c>
      <c r="C57" s="85">
        <f>IFERROR(LEN(FORMULATEXT('XL-test'!D54)),0)</f>
        <v>29</v>
      </c>
      <c r="D57" s="85">
        <f>IFERROR(LEN(FORMULATEXT('XL-test'!E54)),0)</f>
        <v>29</v>
      </c>
      <c r="E57" s="85">
        <f>IFERROR(LEN(FORMULATEXT('XL-test'!F54)),0)</f>
        <v>33</v>
      </c>
      <c r="F57" s="85">
        <f>IFERROR(LEN(FORMULATEXT('XL-test'!G54)),0)</f>
        <v>8</v>
      </c>
      <c r="G57" s="85">
        <f>IFERROR(LEN(FORMULATEXT('XL-test'!I54)),0)</f>
        <v>33</v>
      </c>
      <c r="H57" s="85">
        <f>IFERROR(LEN(FORMULATEXT('XL-test'!J54)),0)</f>
        <v>14</v>
      </c>
      <c r="I57" s="85">
        <f>IFERROR(LEN(FORMULATEXT('XL-test'!K54)),0)</f>
        <v>36</v>
      </c>
      <c r="J57" s="85">
        <f>IFERROR(LEN(FORMULATEXT('XL-test'!L54)),0)</f>
        <v>8</v>
      </c>
      <c r="K57" s="85">
        <f>IFERROR(LEN(FORMULATEXT('XL-test'!M54)),0)</f>
        <v>25</v>
      </c>
      <c r="L57" s="85">
        <f>IFERROR(LEN(FORMULATEXT('XL-test'!O54)),0)</f>
        <v>15</v>
      </c>
    </row>
    <row r="58" ht="14.25" customHeight="1">
      <c r="B58" s="85">
        <v>8.0</v>
      </c>
      <c r="C58" s="85">
        <f>IFERROR(LEN(FORMULATEXT('XL-test'!D55)),0)</f>
        <v>29</v>
      </c>
      <c r="D58" s="85">
        <f>IFERROR(LEN(FORMULATEXT('XL-test'!E55)),0)</f>
        <v>29</v>
      </c>
      <c r="E58" s="85">
        <f>IFERROR(LEN(FORMULATEXT('XL-test'!F55)),0)</f>
        <v>33</v>
      </c>
      <c r="F58" s="85">
        <f>IFERROR(LEN(FORMULATEXT('XL-test'!G55)),0)</f>
        <v>8</v>
      </c>
      <c r="G58" s="85">
        <f>IFERROR(LEN(FORMULATEXT('XL-test'!I55)),0)</f>
        <v>33</v>
      </c>
      <c r="H58" s="85">
        <f>IFERROR(LEN(FORMULATEXT('XL-test'!J55)),0)</f>
        <v>14</v>
      </c>
      <c r="I58" s="85">
        <f>IFERROR(LEN(FORMULATEXT('XL-test'!K55)),0)</f>
        <v>36</v>
      </c>
      <c r="J58" s="85">
        <f>IFERROR(LEN(FORMULATEXT('XL-test'!L55)),0)</f>
        <v>8</v>
      </c>
      <c r="K58" s="85">
        <f>IFERROR(LEN(FORMULATEXT('XL-test'!M55)),0)</f>
        <v>25</v>
      </c>
      <c r="L58" s="85">
        <f>IFERROR(LEN(FORMULATEXT('XL-test'!O55)),0)</f>
        <v>15</v>
      </c>
    </row>
    <row r="59" ht="14.25" customHeight="1">
      <c r="B59" s="85">
        <v>9.0</v>
      </c>
      <c r="C59" s="85">
        <f>IFERROR(LEN(FORMULATEXT('XL-test'!D56)),0)</f>
        <v>29</v>
      </c>
      <c r="D59" s="85">
        <f>IFERROR(LEN(FORMULATEXT('XL-test'!E56)),0)</f>
        <v>29</v>
      </c>
      <c r="E59" s="85">
        <f>IFERROR(LEN(FORMULATEXT('XL-test'!F56)),0)</f>
        <v>33</v>
      </c>
      <c r="F59" s="85">
        <f>IFERROR(LEN(FORMULATEXT('XL-test'!G56)),0)</f>
        <v>8</v>
      </c>
      <c r="G59" s="85">
        <f>IFERROR(LEN(FORMULATEXT('XL-test'!I56)),0)</f>
        <v>33</v>
      </c>
      <c r="H59" s="85">
        <f>IFERROR(LEN(FORMULATEXT('XL-test'!J56)),0)</f>
        <v>14</v>
      </c>
      <c r="I59" s="85">
        <f>IFERROR(LEN(FORMULATEXT('XL-test'!K56)),0)</f>
        <v>36</v>
      </c>
      <c r="J59" s="85">
        <f>IFERROR(LEN(FORMULATEXT('XL-test'!L56)),0)</f>
        <v>8</v>
      </c>
      <c r="K59" s="85">
        <f>IFERROR(LEN(FORMULATEXT('XL-test'!M56)),0)</f>
        <v>25</v>
      </c>
      <c r="L59" s="85">
        <f>IFERROR(LEN(FORMULATEXT('XL-test'!O56)),0)</f>
        <v>15</v>
      </c>
    </row>
    <row r="60" ht="14.25" customHeight="1">
      <c r="B60" s="85">
        <v>10.0</v>
      </c>
      <c r="C60" s="85">
        <f>IFERROR(LEN(FORMULATEXT('XL-test'!D57)),0)</f>
        <v>29</v>
      </c>
      <c r="D60" s="85">
        <f>IFERROR(LEN(FORMULATEXT('XL-test'!E57)),0)</f>
        <v>29</v>
      </c>
      <c r="E60" s="85">
        <f>IFERROR(LEN(FORMULATEXT('XL-test'!F57)),0)</f>
        <v>33</v>
      </c>
      <c r="F60" s="85">
        <f>IFERROR(LEN(FORMULATEXT('XL-test'!G57)),0)</f>
        <v>8</v>
      </c>
      <c r="G60" s="85">
        <f>IFERROR(LEN(FORMULATEXT('XL-test'!I57)),0)</f>
        <v>33</v>
      </c>
      <c r="H60" s="85">
        <f>IFERROR(LEN(FORMULATEXT('XL-test'!J57)),0)</f>
        <v>14</v>
      </c>
      <c r="I60" s="85">
        <f>IFERROR(LEN(FORMULATEXT('XL-test'!K57)),0)</f>
        <v>36</v>
      </c>
      <c r="J60" s="85">
        <f>IFERROR(LEN(FORMULATEXT('XL-test'!L57)),0)</f>
        <v>8</v>
      </c>
      <c r="K60" s="85">
        <f>IFERROR(LEN(FORMULATEXT('XL-test'!M57)),0)</f>
        <v>25</v>
      </c>
      <c r="L60" s="85">
        <f>IFERROR(LEN(FORMULATEXT('XL-test'!O57)),0)</f>
        <v>15</v>
      </c>
    </row>
    <row r="61" ht="14.25" customHeight="1">
      <c r="B61" s="85">
        <v>11.0</v>
      </c>
      <c r="C61" s="85">
        <f>IFERROR(LEN(FORMULATEXT('XL-test'!D58)),0)</f>
        <v>29</v>
      </c>
      <c r="D61" s="85">
        <f>IFERROR(LEN(FORMULATEXT('XL-test'!E58)),0)</f>
        <v>29</v>
      </c>
      <c r="E61" s="85">
        <f>IFERROR(LEN(FORMULATEXT('XL-test'!F58)),0)</f>
        <v>33</v>
      </c>
      <c r="F61" s="85">
        <f>IFERROR(LEN(FORMULATEXT('XL-test'!G58)),0)</f>
        <v>8</v>
      </c>
      <c r="G61" s="85">
        <f>IFERROR(LEN(FORMULATEXT('XL-test'!I58)),0)</f>
        <v>33</v>
      </c>
      <c r="H61" s="85">
        <f>IFERROR(LEN(FORMULATEXT('XL-test'!J58)),0)</f>
        <v>14</v>
      </c>
      <c r="I61" s="85">
        <f>IFERROR(LEN(FORMULATEXT('XL-test'!K58)),0)</f>
        <v>36</v>
      </c>
      <c r="J61" s="85">
        <f>IFERROR(LEN(FORMULATEXT('XL-test'!L58)),0)</f>
        <v>8</v>
      </c>
      <c r="K61" s="85">
        <f>IFERROR(LEN(FORMULATEXT('XL-test'!M58)),0)</f>
        <v>25</v>
      </c>
      <c r="L61" s="85">
        <f>IFERROR(LEN(FORMULATEXT('XL-test'!O58)),0)</f>
        <v>15</v>
      </c>
    </row>
    <row r="62" ht="14.25" customHeight="1">
      <c r="B62" s="85">
        <v>12.0</v>
      </c>
      <c r="C62" s="85">
        <f>IFERROR(LEN(FORMULATEXT('XL-test'!D59)),0)</f>
        <v>29</v>
      </c>
      <c r="D62" s="85">
        <f>IFERROR(LEN(FORMULATEXT('XL-test'!E59)),0)</f>
        <v>29</v>
      </c>
      <c r="E62" s="85">
        <f>IFERROR(LEN(FORMULATEXT('XL-test'!F59)),0)</f>
        <v>33</v>
      </c>
      <c r="F62" s="85">
        <f>IFERROR(LEN(FORMULATEXT('XL-test'!G59)),0)</f>
        <v>8</v>
      </c>
      <c r="G62" s="85">
        <f>IFERROR(LEN(FORMULATEXT('XL-test'!I59)),0)</f>
        <v>33</v>
      </c>
      <c r="H62" s="85">
        <f>IFERROR(LEN(FORMULATEXT('XL-test'!J59)),0)</f>
        <v>14</v>
      </c>
      <c r="I62" s="85">
        <f>IFERROR(LEN(FORMULATEXT('XL-test'!K59)),0)</f>
        <v>36</v>
      </c>
      <c r="J62" s="85">
        <f>IFERROR(LEN(FORMULATEXT('XL-test'!L59)),0)</f>
        <v>8</v>
      </c>
      <c r="K62" s="85">
        <f>IFERROR(LEN(FORMULATEXT('XL-test'!M59)),0)</f>
        <v>25</v>
      </c>
      <c r="L62" s="85">
        <f>IFERROR(LEN(FORMULATEXT('XL-test'!O59)),0)</f>
        <v>15</v>
      </c>
    </row>
    <row r="63" ht="14.25" customHeight="1">
      <c r="B63" s="85">
        <v>13.0</v>
      </c>
      <c r="C63" s="85">
        <f>IFERROR(LEN(FORMULATEXT('XL-test'!D60)),0)</f>
        <v>29</v>
      </c>
      <c r="D63" s="85">
        <f>IFERROR(LEN(FORMULATEXT('XL-test'!E60)),0)</f>
        <v>29</v>
      </c>
      <c r="E63" s="85">
        <f>IFERROR(LEN(FORMULATEXT('XL-test'!F60)),0)</f>
        <v>33</v>
      </c>
      <c r="F63" s="85">
        <f>IFERROR(LEN(FORMULATEXT('XL-test'!G60)),0)</f>
        <v>8</v>
      </c>
      <c r="G63" s="85">
        <f>IFERROR(LEN(FORMULATEXT('XL-test'!I60)),0)</f>
        <v>33</v>
      </c>
      <c r="H63" s="85">
        <f>IFERROR(LEN(FORMULATEXT('XL-test'!J60)),0)</f>
        <v>14</v>
      </c>
      <c r="I63" s="85">
        <f>IFERROR(LEN(FORMULATEXT('XL-test'!K60)),0)</f>
        <v>36</v>
      </c>
      <c r="J63" s="85">
        <f>IFERROR(LEN(FORMULATEXT('XL-test'!L60)),0)</f>
        <v>8</v>
      </c>
      <c r="K63" s="85">
        <f>IFERROR(LEN(FORMULATEXT('XL-test'!M60)),0)</f>
        <v>25</v>
      </c>
      <c r="L63" s="85">
        <f>IFERROR(LEN(FORMULATEXT('XL-test'!O60)),0)</f>
        <v>15</v>
      </c>
    </row>
    <row r="64" ht="14.25" customHeight="1">
      <c r="B64" s="85">
        <v>14.0</v>
      </c>
      <c r="C64" s="85">
        <f>IFERROR(LEN(FORMULATEXT('XL-test'!D61)),0)</f>
        <v>29</v>
      </c>
      <c r="D64" s="85">
        <f>IFERROR(LEN(FORMULATEXT('XL-test'!E61)),0)</f>
        <v>29</v>
      </c>
      <c r="E64" s="85">
        <f>IFERROR(LEN(FORMULATEXT('XL-test'!F61)),0)</f>
        <v>33</v>
      </c>
      <c r="F64" s="85">
        <f>IFERROR(LEN(FORMULATEXT('XL-test'!G61)),0)</f>
        <v>8</v>
      </c>
      <c r="G64" s="85">
        <f>IFERROR(LEN(FORMULATEXT('XL-test'!I61)),0)</f>
        <v>33</v>
      </c>
      <c r="H64" s="85">
        <f>IFERROR(LEN(FORMULATEXT('XL-test'!J61)),0)</f>
        <v>14</v>
      </c>
      <c r="I64" s="85">
        <f>IFERROR(LEN(FORMULATEXT('XL-test'!K61)),0)</f>
        <v>36</v>
      </c>
      <c r="J64" s="85">
        <f>IFERROR(LEN(FORMULATEXT('XL-test'!L61)),0)</f>
        <v>8</v>
      </c>
      <c r="K64" s="85">
        <f>IFERROR(LEN(FORMULATEXT('XL-test'!M61)),0)</f>
        <v>25</v>
      </c>
      <c r="L64" s="85">
        <f>IFERROR(LEN(FORMULATEXT('XL-test'!O61)),0)</f>
        <v>15</v>
      </c>
    </row>
    <row r="65" ht="14.25" customHeight="1">
      <c r="B65" s="85">
        <v>15.0</v>
      </c>
      <c r="C65" s="85">
        <f>IFERROR(LEN(FORMULATEXT('XL-test'!D62)),0)</f>
        <v>29</v>
      </c>
      <c r="D65" s="85">
        <f>IFERROR(LEN(FORMULATEXT('XL-test'!E62)),0)</f>
        <v>29</v>
      </c>
      <c r="E65" s="85">
        <f>IFERROR(LEN(FORMULATEXT('XL-test'!F62)),0)</f>
        <v>33</v>
      </c>
      <c r="F65" s="85">
        <f>IFERROR(LEN(FORMULATEXT('XL-test'!G62)),0)</f>
        <v>8</v>
      </c>
      <c r="G65" s="85">
        <f>IFERROR(LEN(FORMULATEXT('XL-test'!I62)),0)</f>
        <v>33</v>
      </c>
      <c r="H65" s="85">
        <f>IFERROR(LEN(FORMULATEXT('XL-test'!J62)),0)</f>
        <v>14</v>
      </c>
      <c r="I65" s="85">
        <f>IFERROR(LEN(FORMULATEXT('XL-test'!K62)),0)</f>
        <v>36</v>
      </c>
      <c r="J65" s="85">
        <f>IFERROR(LEN(FORMULATEXT('XL-test'!L62)),0)</f>
        <v>8</v>
      </c>
      <c r="K65" s="85">
        <f>IFERROR(LEN(FORMULATEXT('XL-test'!M62)),0)</f>
        <v>25</v>
      </c>
      <c r="L65" s="85">
        <f>IFERROR(LEN(FORMULATEXT('XL-test'!O62)),0)</f>
        <v>15</v>
      </c>
    </row>
    <row r="66" ht="14.25" customHeight="1">
      <c r="B66" s="85">
        <v>16.0</v>
      </c>
      <c r="C66" s="85">
        <f>IFERROR(LEN(FORMULATEXT('XL-test'!D63)),0)</f>
        <v>29</v>
      </c>
      <c r="D66" s="85">
        <f>IFERROR(LEN(FORMULATEXT('XL-test'!E63)),0)</f>
        <v>29</v>
      </c>
      <c r="E66" s="85">
        <f>IFERROR(LEN(FORMULATEXT('XL-test'!F63)),0)</f>
        <v>33</v>
      </c>
      <c r="F66" s="85">
        <f>IFERROR(LEN(FORMULATEXT('XL-test'!G63)),0)</f>
        <v>8</v>
      </c>
      <c r="G66" s="85">
        <f>IFERROR(LEN(FORMULATEXT('XL-test'!I63)),0)</f>
        <v>33</v>
      </c>
      <c r="H66" s="85">
        <f>IFERROR(LEN(FORMULATEXT('XL-test'!J63)),0)</f>
        <v>14</v>
      </c>
      <c r="I66" s="85">
        <f>IFERROR(LEN(FORMULATEXT('XL-test'!K63)),0)</f>
        <v>36</v>
      </c>
      <c r="J66" s="85">
        <f>IFERROR(LEN(FORMULATEXT('XL-test'!L63)),0)</f>
        <v>8</v>
      </c>
      <c r="K66" s="85">
        <f>IFERROR(LEN(FORMULATEXT('XL-test'!M63)),0)</f>
        <v>25</v>
      </c>
      <c r="L66" s="85">
        <f>IFERROR(LEN(FORMULATEXT('XL-test'!O63)),0)</f>
        <v>15</v>
      </c>
    </row>
    <row r="67" ht="14.25" customHeight="1"/>
    <row r="68" ht="14.25" customHeight="1"/>
    <row r="69" ht="14.25" customHeight="1">
      <c r="B69" s="85" t="s">
        <v>104</v>
      </c>
      <c r="C69" s="85" t="b">
        <f t="shared" ref="C69:L69" si="18">AVERAGE(C51:C66)=C51</f>
        <v>1</v>
      </c>
      <c r="D69" s="85" t="b">
        <f t="shared" si="18"/>
        <v>1</v>
      </c>
      <c r="E69" s="85" t="b">
        <f t="shared" si="18"/>
        <v>1</v>
      </c>
      <c r="F69" s="85" t="b">
        <f t="shared" si="18"/>
        <v>1</v>
      </c>
      <c r="G69" s="85" t="b">
        <f t="shared" si="18"/>
        <v>1</v>
      </c>
      <c r="H69" s="85" t="b">
        <f t="shared" si="18"/>
        <v>1</v>
      </c>
      <c r="I69" s="85" t="b">
        <f t="shared" si="18"/>
        <v>1</v>
      </c>
      <c r="J69" s="85" t="b">
        <f t="shared" si="18"/>
        <v>1</v>
      </c>
      <c r="K69" s="85" t="b">
        <f t="shared" si="18"/>
        <v>1</v>
      </c>
      <c r="L69" s="85" t="b">
        <f t="shared" si="18"/>
        <v>1</v>
      </c>
    </row>
    <row r="70" ht="14.25" customHeight="1">
      <c r="B70" s="85" t="s">
        <v>105</v>
      </c>
      <c r="C70" s="85" t="b">
        <f t="shared" ref="C70:L70" si="19">AND(C51&gt;0,C56=0,C7&gt;0)</f>
        <v>0</v>
      </c>
      <c r="D70" s="85" t="b">
        <f t="shared" si="19"/>
        <v>0</v>
      </c>
      <c r="E70" s="85" t="b">
        <f t="shared" si="19"/>
        <v>0</v>
      </c>
      <c r="F70" s="85" t="b">
        <f t="shared" si="19"/>
        <v>0</v>
      </c>
      <c r="G70" s="85" t="b">
        <f t="shared" si="19"/>
        <v>0</v>
      </c>
      <c r="H70" s="85" t="b">
        <f t="shared" si="19"/>
        <v>0</v>
      </c>
      <c r="I70" s="85" t="b">
        <f t="shared" si="19"/>
        <v>0</v>
      </c>
      <c r="J70" s="85" t="b">
        <f t="shared" si="19"/>
        <v>0</v>
      </c>
      <c r="K70" s="85" t="b">
        <f t="shared" si="19"/>
        <v>0</v>
      </c>
      <c r="L70" s="85" t="b">
        <f t="shared" si="19"/>
        <v>0</v>
      </c>
    </row>
    <row r="71" ht="14.25" customHeight="1"/>
    <row r="72" ht="14.25" customHeight="1">
      <c r="B72" s="85" t="s">
        <v>106</v>
      </c>
      <c r="C72" s="85" t="b">
        <f t="shared" ref="C72:L72" si="20">IFERROR(OR(C69:C70),FALSE)</f>
        <v>1</v>
      </c>
      <c r="D72" s="85" t="b">
        <f t="shared" si="20"/>
        <v>1</v>
      </c>
      <c r="E72" s="85" t="b">
        <f t="shared" si="20"/>
        <v>1</v>
      </c>
      <c r="F72" s="85" t="b">
        <f t="shared" si="20"/>
        <v>1</v>
      </c>
      <c r="G72" s="85" t="b">
        <f t="shared" si="20"/>
        <v>1</v>
      </c>
      <c r="H72" s="85" t="b">
        <f t="shared" si="20"/>
        <v>1</v>
      </c>
      <c r="I72" s="85" t="b">
        <f t="shared" si="20"/>
        <v>1</v>
      </c>
      <c r="J72" s="85" t="b">
        <f t="shared" si="20"/>
        <v>1</v>
      </c>
      <c r="K72" s="85" t="b">
        <f t="shared" si="20"/>
        <v>1</v>
      </c>
      <c r="L72" s="85" t="b">
        <f t="shared" si="20"/>
        <v>1</v>
      </c>
    </row>
    <row r="73" ht="14.25" customHeight="1">
      <c r="B73" s="89" t="s">
        <v>107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