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13_ncr:1_{53FF66A3-78BA-4243-9531-09294B8686C6}" xr6:coauthVersionLast="47" xr6:coauthVersionMax="47" xr10:uidLastSave="{00000000-0000-0000-0000-000000000000}"/>
  <workbookProtection workbookAlgorithmName="SHA-512" workbookHashValue="OjOIYUZo9A3u30Wz5FAx55izCILvm1tr8EFYT1MNKkOwMR9jHKUkqM1OKGs8IAMlejZuHi3tNHHGh6piH/vwkg==" workbookSaltValue="hOAYD+JNhB/kNABcmVCtjA==" workbookSpinCount="100000" lockStructure="1"/>
  <bookViews>
    <workbookView xWindow="-120" yWindow="-120" windowWidth="20730" windowHeight="11760" xr2:uid="{F08B91E5-40EB-42D3-8CF4-57CB1FF39E77}"/>
  </bookViews>
  <sheets>
    <sheet name="XL-Test" sheetId="1" r:id="rId1"/>
    <sheet name="About" sheetId="3" r:id="rId2"/>
    <sheet name="DF" sheetId="2" state="veryHidden" r:id="rId3"/>
  </sheets>
  <definedNames>
    <definedName name="kode_jawaban">DF!$O$40</definedName>
    <definedName name="sayaa" localSheetId="2">DF!$O$36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50" i="1"/>
  <c r="I51" i="1"/>
  <c r="I52" i="1"/>
  <c r="I53" i="1"/>
  <c r="I54" i="1"/>
  <c r="I55" i="1"/>
  <c r="I56" i="1"/>
  <c r="I57" i="1"/>
  <c r="I58" i="1"/>
  <c r="I59" i="1"/>
  <c r="I60" i="1"/>
  <c r="I61" i="1"/>
  <c r="I48" i="1"/>
  <c r="D49" i="1" a="1"/>
  <c r="D49" i="1" s="1"/>
  <c r="E49" i="1"/>
  <c r="H49" i="1" s="1"/>
  <c r="F49" i="1"/>
  <c r="G49" i="1"/>
  <c r="J49" i="1"/>
  <c r="K49" i="1" s="1"/>
  <c r="D50" i="1" a="1"/>
  <c r="D50" i="1" s="1"/>
  <c r="E50" i="1"/>
  <c r="F50" i="1"/>
  <c r="G50" i="1"/>
  <c r="H50" i="1" s="1"/>
  <c r="J50" i="1"/>
  <c r="L50" i="1" s="1"/>
  <c r="M50" i="1" s="1"/>
  <c r="K50" i="1"/>
  <c r="D51" i="1" a="1"/>
  <c r="D51" i="1"/>
  <c r="E51" i="1"/>
  <c r="F51" i="1"/>
  <c r="G51" i="1"/>
  <c r="H51" i="1"/>
  <c r="J51" i="1"/>
  <c r="K51" i="1"/>
  <c r="L51" i="1"/>
  <c r="M51" i="1" s="1"/>
  <c r="D52" i="1" a="1"/>
  <c r="D52" i="1"/>
  <c r="E52" i="1"/>
  <c r="H52" i="1" s="1"/>
  <c r="M52" i="1" s="1"/>
  <c r="F52" i="1"/>
  <c r="G52" i="1"/>
  <c r="J52" i="1"/>
  <c r="K52" i="1" s="1"/>
  <c r="L52" i="1"/>
  <c r="D53" i="1" a="1"/>
  <c r="D53" i="1" s="1"/>
  <c r="E53" i="1"/>
  <c r="H53" i="1" s="1"/>
  <c r="F53" i="1"/>
  <c r="G53" i="1"/>
  <c r="J53" i="1"/>
  <c r="K53" i="1" s="1"/>
  <c r="D54" i="1" a="1"/>
  <c r="D54" i="1" s="1"/>
  <c r="E54" i="1"/>
  <c r="F54" i="1"/>
  <c r="H54" i="1" s="1"/>
  <c r="G54" i="1"/>
  <c r="J54" i="1"/>
  <c r="L54" i="1" s="1"/>
  <c r="K54" i="1"/>
  <c r="D55" i="1" a="1"/>
  <c r="D55" i="1"/>
  <c r="E55" i="1"/>
  <c r="F55" i="1"/>
  <c r="G55" i="1"/>
  <c r="H55" i="1"/>
  <c r="J55" i="1"/>
  <c r="K55" i="1"/>
  <c r="L55" i="1"/>
  <c r="M55" i="1" s="1"/>
  <c r="D56" i="1" a="1"/>
  <c r="D56" i="1"/>
  <c r="E56" i="1"/>
  <c r="H56" i="1" s="1"/>
  <c r="M56" i="1" s="1"/>
  <c r="F56" i="1"/>
  <c r="G56" i="1"/>
  <c r="J56" i="1"/>
  <c r="K56" i="1"/>
  <c r="L56" i="1"/>
  <c r="D57" i="1" a="1"/>
  <c r="D57" i="1" s="1"/>
  <c r="E57" i="1"/>
  <c r="H57" i="1" s="1"/>
  <c r="F57" i="1"/>
  <c r="G57" i="1"/>
  <c r="J57" i="1"/>
  <c r="K57" i="1" s="1"/>
  <c r="D58" i="1" a="1"/>
  <c r="D58" i="1" s="1"/>
  <c r="E58" i="1"/>
  <c r="F58" i="1"/>
  <c r="H58" i="1" s="1"/>
  <c r="G58" i="1"/>
  <c r="J58" i="1"/>
  <c r="L58" i="1" s="1"/>
  <c r="K58" i="1"/>
  <c r="D59" i="1" a="1"/>
  <c r="D59" i="1"/>
  <c r="E59" i="1"/>
  <c r="F59" i="1"/>
  <c r="G59" i="1"/>
  <c r="H59" i="1"/>
  <c r="J59" i="1"/>
  <c r="K59" i="1"/>
  <c r="L59" i="1"/>
  <c r="M59" i="1" s="1"/>
  <c r="D60" i="1" a="1"/>
  <c r="D60" i="1"/>
  <c r="E60" i="1"/>
  <c r="H60" i="1" s="1"/>
  <c r="M60" i="1" s="1"/>
  <c r="F60" i="1"/>
  <c r="G60" i="1"/>
  <c r="J60" i="1"/>
  <c r="K60" i="1"/>
  <c r="L60" i="1"/>
  <c r="D61" i="1" a="1"/>
  <c r="D61" i="1" s="1"/>
  <c r="E61" i="1"/>
  <c r="H61" i="1" s="1"/>
  <c r="F61" i="1"/>
  <c r="G61" i="1"/>
  <c r="J61" i="1"/>
  <c r="K61" i="1" s="1"/>
  <c r="M48" i="1"/>
  <c r="L48" i="1"/>
  <c r="K48" i="1"/>
  <c r="J48" i="1"/>
  <c r="H48" i="1"/>
  <c r="G48" i="1"/>
  <c r="F48" i="1"/>
  <c r="E48" i="1"/>
  <c r="D48" i="1" a="1"/>
  <c r="D48" i="1" s="1"/>
  <c r="M58" i="1" l="1"/>
  <c r="M54" i="1"/>
  <c r="L61" i="1"/>
  <c r="M61" i="1" s="1"/>
  <c r="L57" i="1"/>
  <c r="M57" i="1" s="1"/>
  <c r="L53" i="1"/>
  <c r="M53" i="1" s="1"/>
  <c r="L49" i="1"/>
  <c r="M49" i="1" s="1"/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" i="2"/>
  <c r="F3" i="2"/>
  <c r="F5" i="2"/>
  <c r="F6" i="2"/>
  <c r="F8" i="2"/>
  <c r="F9" i="2"/>
  <c r="E10" i="2"/>
  <c r="E11" i="2"/>
  <c r="E12" i="2"/>
  <c r="E13" i="2"/>
  <c r="E14" i="2"/>
  <c r="D1" i="2"/>
  <c r="D25" i="2" s="1"/>
  <c r="C1" i="2"/>
  <c r="C25" i="2" s="1"/>
  <c r="C2" i="2"/>
  <c r="D2" i="2"/>
  <c r="C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E1" i="2"/>
  <c r="B34" i="2"/>
  <c r="B33" i="2"/>
  <c r="F43" i="2"/>
  <c r="J43" i="2"/>
  <c r="E44" i="2"/>
  <c r="I44" i="2"/>
  <c r="D45" i="2"/>
  <c r="H45" i="2"/>
  <c r="L45" i="2"/>
  <c r="G46" i="2"/>
  <c r="K46" i="2"/>
  <c r="J47" i="2"/>
  <c r="E48" i="2"/>
  <c r="H49" i="2"/>
  <c r="L49" i="2"/>
  <c r="J51" i="2"/>
  <c r="I52" i="2"/>
  <c r="H53" i="2"/>
  <c r="G54" i="2"/>
  <c r="J55" i="2"/>
  <c r="I56" i="2"/>
  <c r="C52" i="2"/>
  <c r="W1" i="2"/>
  <c r="G43" i="2"/>
  <c r="K43" i="2"/>
  <c r="F44" i="2"/>
  <c r="J44" i="2"/>
  <c r="E45" i="2"/>
  <c r="I45" i="2"/>
  <c r="D46" i="2"/>
  <c r="H46" i="2"/>
  <c r="L46" i="2"/>
  <c r="G47" i="2"/>
  <c r="K47" i="2"/>
  <c r="F48" i="2"/>
  <c r="J48" i="2"/>
  <c r="E49" i="2"/>
  <c r="I49" i="2"/>
  <c r="D50" i="2"/>
  <c r="H50" i="2"/>
  <c r="L50" i="2"/>
  <c r="G51" i="2"/>
  <c r="K51" i="2"/>
  <c r="F52" i="2"/>
  <c r="J52" i="2"/>
  <c r="E53" i="2"/>
  <c r="I53" i="2"/>
  <c r="D54" i="2"/>
  <c r="H54" i="2"/>
  <c r="L54" i="2"/>
  <c r="G55" i="2"/>
  <c r="K55" i="2"/>
  <c r="F56" i="2"/>
  <c r="J56" i="2"/>
  <c r="C45" i="2"/>
  <c r="C49" i="2"/>
  <c r="C53" i="2"/>
  <c r="C43" i="2"/>
  <c r="P1" i="2"/>
  <c r="T1" i="2"/>
  <c r="X1" i="2"/>
  <c r="O5" i="2"/>
  <c r="O9" i="2"/>
  <c r="O10" i="2"/>
  <c r="I43" i="2"/>
  <c r="H44" i="2"/>
  <c r="G45" i="2"/>
  <c r="K45" i="2"/>
  <c r="J46" i="2"/>
  <c r="E47" i="2"/>
  <c r="D48" i="2"/>
  <c r="L48" i="2"/>
  <c r="K49" i="2"/>
  <c r="F50" i="2"/>
  <c r="E51" i="2"/>
  <c r="D52" i="2"/>
  <c r="H52" i="2"/>
  <c r="G53" i="2"/>
  <c r="F54" i="2"/>
  <c r="E55" i="2"/>
  <c r="D56" i="2"/>
  <c r="H56" i="2"/>
  <c r="L56" i="2"/>
  <c r="C51" i="2"/>
  <c r="C55" i="2"/>
  <c r="R1" i="2"/>
  <c r="O3" i="2"/>
  <c r="O7" i="2"/>
  <c r="F47" i="2"/>
  <c r="D49" i="2"/>
  <c r="G50" i="2"/>
  <c r="F51" i="2"/>
  <c r="E52" i="2"/>
  <c r="D53" i="2"/>
  <c r="L53" i="2"/>
  <c r="F55" i="2"/>
  <c r="E56" i="2"/>
  <c r="C48" i="2"/>
  <c r="S1" i="2"/>
  <c r="O8" i="2"/>
  <c r="D43" i="2"/>
  <c r="H43" i="2"/>
  <c r="L43" i="2"/>
  <c r="G44" i="2"/>
  <c r="K44" i="2"/>
  <c r="F45" i="2"/>
  <c r="J45" i="2"/>
  <c r="E46" i="2"/>
  <c r="I46" i="2"/>
  <c r="D47" i="2"/>
  <c r="H47" i="2"/>
  <c r="L47" i="2"/>
  <c r="G48" i="2"/>
  <c r="K48" i="2"/>
  <c r="F49" i="2"/>
  <c r="J49" i="2"/>
  <c r="E50" i="2"/>
  <c r="I50" i="2"/>
  <c r="D51" i="2"/>
  <c r="H51" i="2"/>
  <c r="L51" i="2"/>
  <c r="G52" i="2"/>
  <c r="K52" i="2"/>
  <c r="F53" i="2"/>
  <c r="J53" i="2"/>
  <c r="E54" i="2"/>
  <c r="I54" i="2"/>
  <c r="D55" i="2"/>
  <c r="H55" i="2"/>
  <c r="L55" i="2"/>
  <c r="G56" i="2"/>
  <c r="K56" i="2"/>
  <c r="C46" i="2"/>
  <c r="C50" i="2"/>
  <c r="C54" i="2"/>
  <c r="Q1" i="2"/>
  <c r="U1" i="2"/>
  <c r="O2" i="2"/>
  <c r="O6" i="2"/>
  <c r="E43" i="2"/>
  <c r="D44" i="2"/>
  <c r="L44" i="2"/>
  <c r="F46" i="2"/>
  <c r="I47" i="2"/>
  <c r="H48" i="2"/>
  <c r="G49" i="2"/>
  <c r="J50" i="2"/>
  <c r="I51" i="2"/>
  <c r="L52" i="2"/>
  <c r="K53" i="2"/>
  <c r="J54" i="2"/>
  <c r="I55" i="2"/>
  <c r="C47" i="2"/>
  <c r="V1" i="2"/>
  <c r="O1" i="2"/>
  <c r="I48" i="2"/>
  <c r="K50" i="2"/>
  <c r="K54" i="2"/>
  <c r="C44" i="2"/>
  <c r="C56" i="2"/>
  <c r="O4" i="2"/>
  <c r="F29" i="2" l="1"/>
  <c r="F60" i="2"/>
  <c r="F61" i="2" s="1"/>
  <c r="H29" i="2"/>
  <c r="D29" i="2"/>
  <c r="I40" i="2"/>
  <c r="E40" i="2"/>
  <c r="E27" i="2" s="1"/>
  <c r="C60" i="2"/>
  <c r="C61" i="2" s="1"/>
  <c r="I60" i="2"/>
  <c r="I61" i="2" s="1"/>
  <c r="E60" i="2"/>
  <c r="E61" i="2" s="1"/>
  <c r="J29" i="2"/>
  <c r="I29" i="2"/>
  <c r="E29" i="2"/>
  <c r="F40" i="2"/>
  <c r="J60" i="2"/>
  <c r="J61" i="2" s="1"/>
  <c r="L29" i="2"/>
  <c r="K29" i="2"/>
  <c r="G29" i="2"/>
  <c r="H40" i="2"/>
  <c r="H27" i="2" s="1"/>
  <c r="D40" i="2"/>
  <c r="L60" i="2"/>
  <c r="L61" i="2" s="1"/>
  <c r="H60" i="2"/>
  <c r="H61" i="2" s="1"/>
  <c r="D60" i="2"/>
  <c r="D61" i="2" s="1"/>
  <c r="K60" i="2"/>
  <c r="K61" i="2" s="1"/>
  <c r="G60" i="2"/>
  <c r="G61" i="2" s="1"/>
  <c r="H25" i="2"/>
  <c r="H17" i="2"/>
  <c r="J14" i="2"/>
  <c r="I13" i="2"/>
  <c r="J13" i="2"/>
  <c r="J12" i="2"/>
  <c r="J11" i="2"/>
  <c r="J10" i="2"/>
  <c r="J9" i="2"/>
  <c r="J8" i="2"/>
  <c r="I8" i="2"/>
  <c r="J7" i="2"/>
  <c r="I7" i="2"/>
  <c r="J6" i="2"/>
  <c r="I6" i="2"/>
  <c r="J5" i="2"/>
  <c r="I5" i="2"/>
  <c r="J4" i="2"/>
  <c r="J64" i="2" s="1"/>
  <c r="J3" i="2"/>
  <c r="I2" i="2"/>
  <c r="J2" i="2"/>
  <c r="I1" i="2"/>
  <c r="I25" i="2" s="1"/>
  <c r="J1" i="2"/>
  <c r="F13" i="2"/>
  <c r="G13" i="2"/>
  <c r="E2" i="2"/>
  <c r="E3" i="2"/>
  <c r="G3" i="2"/>
  <c r="E4" i="2"/>
  <c r="E64" i="2" s="1"/>
  <c r="G4" i="2"/>
  <c r="G64" i="2" s="1"/>
  <c r="E5" i="2"/>
  <c r="G5" i="2"/>
  <c r="E6" i="2"/>
  <c r="G6" i="2"/>
  <c r="E7" i="2"/>
  <c r="E8" i="2"/>
  <c r="G8" i="2"/>
  <c r="E9" i="2"/>
  <c r="G9" i="2"/>
  <c r="C40" i="2"/>
  <c r="C27" i="2" s="1"/>
  <c r="D3" i="2"/>
  <c r="D17" i="2" s="1"/>
  <c r="I3" i="2"/>
  <c r="F4" i="2"/>
  <c r="F64" i="2" s="1"/>
  <c r="I4" i="2"/>
  <c r="I64" i="2" s="1"/>
  <c r="F7" i="2"/>
  <c r="I9" i="2"/>
  <c r="F10" i="2"/>
  <c r="G10" i="2"/>
  <c r="I10" i="2"/>
  <c r="G11" i="2"/>
  <c r="F11" i="2"/>
  <c r="I11" i="2"/>
  <c r="F12" i="2"/>
  <c r="G12" i="2"/>
  <c r="I12" i="2"/>
  <c r="F14" i="2"/>
  <c r="G14" i="2"/>
  <c r="I14" i="2"/>
  <c r="E25" i="2"/>
  <c r="C17" i="2"/>
  <c r="D58" i="2"/>
  <c r="D59" i="2" s="1"/>
  <c r="D64" i="2"/>
  <c r="E58" i="2"/>
  <c r="E59" i="2" s="1"/>
  <c r="E62" i="2" s="1"/>
  <c r="F58" i="2"/>
  <c r="F59" i="2" s="1"/>
  <c r="F62" i="2" s="1"/>
  <c r="G58" i="2"/>
  <c r="G59" i="2" s="1"/>
  <c r="H58" i="2"/>
  <c r="H59" i="2" s="1"/>
  <c r="H62" i="2" s="1"/>
  <c r="H64" i="2"/>
  <c r="I58" i="2"/>
  <c r="I59" i="2" s="1"/>
  <c r="I62" i="2" s="1"/>
  <c r="J58" i="2"/>
  <c r="J59" i="2" s="1"/>
  <c r="K58" i="2"/>
  <c r="K59" i="2" s="1"/>
  <c r="L58" i="2"/>
  <c r="L59" i="2" s="1"/>
  <c r="C58" i="2"/>
  <c r="C59" i="2" s="1"/>
  <c r="C62" i="2" s="1"/>
  <c r="C64" i="2"/>
  <c r="D36" i="2"/>
  <c r="D38" i="2" s="1"/>
  <c r="D27" i="2"/>
  <c r="E36" i="2"/>
  <c r="E38" i="2" s="1"/>
  <c r="F36" i="2"/>
  <c r="F38" i="2" s="1"/>
  <c r="F27" i="2"/>
  <c r="G36" i="2"/>
  <c r="G38" i="2" s="1"/>
  <c r="H36" i="2"/>
  <c r="H38" i="2" s="1"/>
  <c r="I36" i="2"/>
  <c r="I38" i="2" s="1"/>
  <c r="J36" i="2"/>
  <c r="J38" i="2" s="1"/>
  <c r="K36" i="2"/>
  <c r="K38" i="2" s="1"/>
  <c r="L36" i="2"/>
  <c r="L38" i="2" s="1"/>
  <c r="L27" i="2"/>
  <c r="C36" i="2"/>
  <c r="C38" i="2" s="1"/>
  <c r="F2" i="2"/>
  <c r="F1" i="2"/>
  <c r="I27" i="2"/>
  <c r="C29" i="2"/>
  <c r="K62" i="2" l="1"/>
  <c r="J62" i="2"/>
  <c r="J66" i="2" s="1"/>
  <c r="J26" i="2" s="1"/>
  <c r="D62" i="2"/>
  <c r="D66" i="2" s="1"/>
  <c r="D26" i="2" s="1"/>
  <c r="D20" i="2" s="1"/>
  <c r="L62" i="2"/>
  <c r="G62" i="2"/>
  <c r="E17" i="2"/>
  <c r="E23" i="2" s="1"/>
  <c r="L9" i="2"/>
  <c r="L4" i="2"/>
  <c r="L64" i="2" s="1"/>
  <c r="L66" i="2" s="1"/>
  <c r="L26" i="2" s="1"/>
  <c r="L3" i="2"/>
  <c r="L13" i="2"/>
  <c r="K13" i="2"/>
  <c r="L8" i="2"/>
  <c r="K8" i="2"/>
  <c r="L7" i="2"/>
  <c r="K7" i="2"/>
  <c r="L6" i="2"/>
  <c r="K6" i="2"/>
  <c r="L2" i="2"/>
  <c r="K2" i="2"/>
  <c r="L10" i="2"/>
  <c r="K10" i="2"/>
  <c r="L5" i="2"/>
  <c r="K5" i="2"/>
  <c r="I17" i="2"/>
  <c r="K3" i="2"/>
  <c r="K4" i="2"/>
  <c r="K64" i="2" s="1"/>
  <c r="K66" i="2" s="1"/>
  <c r="K26" i="2" s="1"/>
  <c r="G7" i="2"/>
  <c r="K9" i="2"/>
  <c r="K11" i="2"/>
  <c r="L11" i="2"/>
  <c r="K12" i="2"/>
  <c r="L12" i="2"/>
  <c r="K14" i="2"/>
  <c r="L14" i="2"/>
  <c r="L1" i="2"/>
  <c r="K1" i="2"/>
  <c r="J25" i="2"/>
  <c r="J17" i="2"/>
  <c r="J40" i="2"/>
  <c r="J27" i="2" s="1"/>
  <c r="E22" i="2"/>
  <c r="C23" i="2"/>
  <c r="C22" i="2"/>
  <c r="D23" i="2"/>
  <c r="D22" i="2"/>
  <c r="H23" i="2"/>
  <c r="H22" i="2"/>
  <c r="F17" i="2"/>
  <c r="F25" i="2"/>
  <c r="E66" i="2"/>
  <c r="E26" i="2" s="1"/>
  <c r="G66" i="2"/>
  <c r="G26" i="2" s="1"/>
  <c r="I66" i="2"/>
  <c r="I26" i="2" s="1"/>
  <c r="F66" i="2"/>
  <c r="F26" i="2" s="1"/>
  <c r="H66" i="2"/>
  <c r="H26" i="2" s="1"/>
  <c r="H20" i="2" s="1"/>
  <c r="C66" i="2"/>
  <c r="C26" i="2" s="1"/>
  <c r="C20" i="2" s="1"/>
  <c r="G2" i="2"/>
  <c r="G1" i="2"/>
  <c r="L17" i="2" l="1"/>
  <c r="E20" i="2"/>
  <c r="E31" i="2"/>
  <c r="I20" i="2"/>
  <c r="J20" i="2"/>
  <c r="D31" i="2"/>
  <c r="H31" i="2"/>
  <c r="I23" i="2"/>
  <c r="I22" i="2"/>
  <c r="K17" i="2"/>
  <c r="K25" i="2"/>
  <c r="K40" i="2"/>
  <c r="K27" i="2" s="1"/>
  <c r="J22" i="2"/>
  <c r="J23" i="2"/>
  <c r="C31" i="2"/>
  <c r="F23" i="2"/>
  <c r="F22" i="2"/>
  <c r="F20" i="2"/>
  <c r="G17" i="2"/>
  <c r="G40" i="2"/>
  <c r="G27" i="2" s="1"/>
  <c r="G25" i="2"/>
  <c r="L25" i="2"/>
  <c r="I31" i="2" l="1"/>
  <c r="J31" i="2"/>
  <c r="L20" i="2"/>
  <c r="K22" i="2"/>
  <c r="K23" i="2"/>
  <c r="K20" i="2"/>
  <c r="F31" i="2"/>
  <c r="G23" i="2"/>
  <c r="G22" i="2"/>
  <c r="L23" i="2"/>
  <c r="L22" i="2"/>
  <c r="G20" i="2"/>
  <c r="L31" i="2" l="1"/>
  <c r="K31" i="2"/>
  <c r="G31" i="2"/>
  <c r="C33" i="2" l="1"/>
  <c r="O36" i="2" s="1"/>
  <c r="O40" i="2" a="1"/>
  <c r="O40" i="2" l="1"/>
  <c r="F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<sst xmlns="http://schemas.openxmlformats.org/spreadsheetml/2006/main" count="122" uniqueCount="119">
  <si>
    <t>KODE SOAL</t>
  </si>
  <si>
    <t>KODE JAWABAN</t>
  </si>
  <si>
    <t>DF</t>
  </si>
  <si>
    <t>RND</t>
  </si>
  <si>
    <t>V</t>
  </si>
  <si>
    <t>B-004/2024/08/22</t>
  </si>
  <si>
    <t>B-007/2024/08/25</t>
  </si>
  <si>
    <t xml:space="preserve">      B-003/2024/08/21    </t>
  </si>
  <si>
    <t xml:space="preserve">            B-006/2024/08/24</t>
  </si>
  <si>
    <t xml:space="preserve">S-009/2024/08/27     </t>
  </si>
  <si>
    <t>Kode Surat</t>
  </si>
  <si>
    <t xml:space="preserve">   aNdi sApUtRa</t>
  </si>
  <si>
    <t xml:space="preserve">bUDi sANtoSo   </t>
  </si>
  <si>
    <t xml:space="preserve">   CiTra dEwi   </t>
  </si>
  <si>
    <t>dIaN prAseTyo</t>
  </si>
  <si>
    <t xml:space="preserve">   ekO waHyUdi</t>
  </si>
  <si>
    <t xml:space="preserve">fiTRi aNJaNi   </t>
  </si>
  <si>
    <t xml:space="preserve">   gAlIh pErMAnA   </t>
  </si>
  <si>
    <t>heNdRA gUnAwAn</t>
  </si>
  <si>
    <t xml:space="preserve">   iNdAh sARi</t>
  </si>
  <si>
    <t xml:space="preserve">joKo sUSiLo   </t>
  </si>
  <si>
    <t xml:space="preserve">   KaRTiKa pUtRi   </t>
  </si>
  <si>
    <t>lEstAri AyU</t>
  </si>
  <si>
    <t xml:space="preserve">   muHAmMad RiZkY   </t>
  </si>
  <si>
    <t xml:space="preserve">naDiA kUsUmA   </t>
  </si>
  <si>
    <r>
      <t xml:space="preserve">Isi kolom </t>
    </r>
    <r>
      <rPr>
        <b/>
        <sz val="11"/>
        <color theme="1"/>
        <rFont val="Aptos Narrow"/>
        <family val="2"/>
        <scheme val="minor"/>
      </rPr>
      <t>Tanggal Surat</t>
    </r>
    <r>
      <rPr>
        <sz val="11"/>
        <color theme="1"/>
        <rFont val="Aptos Narrow"/>
        <family val="2"/>
        <scheme val="minor"/>
      </rPr>
      <t xml:space="preserve"> berdasarkan kode surat diambil dari 2 karakter ke terakhir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</si>
  <si>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Panjang Karakter</t>
    </r>
    <r>
      <rPr>
        <sz val="11"/>
        <color theme="1"/>
        <rFont val="Aptos Narrow"/>
        <family val="2"/>
        <scheme val="minor"/>
      </rPr>
      <t xml:space="preserve"> dengan jumlah hurup yang ada pada nama peserta termasuk sepasi diantara nama</t>
    </r>
  </si>
  <si>
    <t>Nama Peserta Raw</t>
  </si>
  <si>
    <r>
      <t xml:space="preserve">isi kolom </t>
    </r>
    <r>
      <rPr>
        <b/>
        <sz val="11"/>
        <color theme="1"/>
        <rFont val="Aptos Narrow"/>
        <family val="2"/>
        <scheme val="minor"/>
      </rPr>
      <t>Nama Peserta</t>
    </r>
    <r>
      <rPr>
        <sz val="11"/>
        <color theme="1"/>
        <rFont val="Aptos Narrow"/>
        <family val="2"/>
        <scheme val="minor"/>
      </rPr>
      <t xml:space="preserve"> dengan nama peserta raw yang sudah dirapihkan dalam bentuk Proper Case (Hurup Pertama Hurup Besar)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</si>
  <si>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Inisial Nama</t>
    </r>
    <r>
      <rPr>
        <sz val="11"/>
        <color theme="1"/>
        <rFont val="Aptos Narrow"/>
        <family val="2"/>
        <scheme val="minor"/>
      </rPr>
      <t xml:space="preserve"> dengan Inisial dari Nama Peserta yang diambil dari hurup pertama, contoh: </t>
    </r>
    <r>
      <rPr>
        <b/>
        <sz val="11"/>
        <color theme="1"/>
        <rFont val="Aptos Narrow"/>
        <family val="2"/>
        <scheme val="minor"/>
      </rPr>
      <t>AS</t>
    </r>
    <r>
      <rPr>
        <sz val="11"/>
        <color theme="1"/>
        <rFont val="Aptos Narrow"/>
        <family val="2"/>
        <scheme val="minor"/>
      </rPr>
      <t xml:space="preserve"> untuk </t>
    </r>
    <r>
      <rPr>
        <b/>
        <sz val="11"/>
        <color theme="1"/>
        <rFont val="Aptos Narrow"/>
        <family val="2"/>
        <scheme val="minor"/>
      </rPr>
      <t>Andi Saputra</t>
    </r>
  </si>
  <si>
    <t>S-005/2024/07/23</t>
  </si>
  <si>
    <t xml:space="preserve">R-008/2024/08/02        </t>
  </si>
  <si>
    <t>SBEE010</t>
  </si>
  <si>
    <t>Cek Fungsi</t>
  </si>
  <si>
    <t>Harusnya</t>
  </si>
  <si>
    <t>Cek Wajib</t>
  </si>
  <si>
    <t>**</t>
  </si>
  <si>
    <t>Value</t>
  </si>
  <si>
    <t xml:space="preserve">    B-010/2025/06/28</t>
  </si>
  <si>
    <t>B-011/2025/08/29</t>
  </si>
  <si>
    <t xml:space="preserve">                   R-012/2025/08/29  </t>
  </si>
  <si>
    <t xml:space="preserve">S-013/2025/08/30   </t>
  </si>
  <si>
    <t xml:space="preserve">S-014/2025/11/30   </t>
  </si>
  <si>
    <t>B-001/2023/08/19</t>
  </si>
  <si>
    <t xml:space="preserve">                   R-002/2023/04/20    </t>
  </si>
  <si>
    <t>Cek Manual</t>
  </si>
  <si>
    <t>Cek Formula</t>
  </si>
  <si>
    <t>No</t>
  </si>
  <si>
    <t>AV1</t>
  </si>
  <si>
    <t>AV2</t>
  </si>
  <si>
    <t>B Man</t>
  </si>
  <si>
    <t>Array</t>
  </si>
  <si>
    <t>Cek kosong</t>
  </si>
  <si>
    <t>Cek Tarik</t>
  </si>
  <si>
    <t>F Value</t>
  </si>
  <si>
    <t>***</t>
  </si>
  <si>
    <t>Intruksi</t>
  </si>
  <si>
    <t>Soal  :</t>
  </si>
  <si>
    <t>Gunakan Fungsi Excel (Function) untuk menyelsaikan kasus dibawah ini, tidak disarankan menggunakan cara manual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</si>
  <si>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</si>
  <si>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</si>
  <si>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Fungsi Text dan String</t>
    </r>
  </si>
  <si>
    <t>Dilarang mengubah Table atau Menambah Table Baru!!, Gunakan Table seperti yang sudah di sediakan soal, tidak ada kesalahan pada Table soal!!.</t>
  </si>
  <si>
    <t>Status Jenis Surat</t>
  </si>
  <si>
    <t>Tahun Surat</t>
  </si>
  <si>
    <t>Bulan Surat</t>
  </si>
  <si>
    <t>Tanggal Surat</t>
  </si>
  <si>
    <t>Tanggal</t>
  </si>
  <si>
    <t>Kode Surat Final</t>
  </si>
  <si>
    <t>Nama Peserta</t>
  </si>
  <si>
    <t>Panjang Karakter</t>
  </si>
  <si>
    <t>Inisial Nama</t>
  </si>
  <si>
    <t>Inisial &amp; Tanggal</t>
  </si>
  <si>
    <t>Contoh</t>
  </si>
  <si>
    <t xml:space="preserve">      S-099/2024/11/25</t>
  </si>
  <si>
    <t xml:space="preserve">    rIzKA NuGRaHa</t>
  </si>
  <si>
    <r>
      <rPr>
        <b/>
        <sz val="11"/>
        <color rgb="FF00B050"/>
        <rFont val="Aptos Narrow"/>
        <family val="2"/>
        <scheme val="minor"/>
      </rPr>
      <t>Status Jenis Surat</t>
    </r>
    <r>
      <rPr>
        <sz val="11"/>
        <color theme="1"/>
        <rFont val="Aptos Narrow"/>
        <family val="2"/>
        <scheme val="minor"/>
      </rPr>
      <t xml:space="preserve"> diisi berdasarkan hurup pertama kode surat, jika B = Biasa; R = Rahasia; S=Segera</t>
    </r>
  </si>
  <si>
    <r>
      <t xml:space="preserve">Isi kolom </t>
    </r>
    <r>
      <rPr>
        <b/>
        <sz val="11"/>
        <color theme="6" tint="-0.249977111117893"/>
        <rFont val="Aptos Narrow"/>
        <family val="2"/>
        <scheme val="minor"/>
      </rPr>
      <t>Tahun Surat</t>
    </r>
    <r>
      <rPr>
        <sz val="11"/>
        <color theme="1"/>
        <rFont val="Aptos Narrow"/>
        <family val="2"/>
        <scheme val="minor"/>
      </rPr>
      <t xml:space="preserve"> berdasarkan kode surat diambil dari karakter ke 7 sampai karakter ke 10</t>
    </r>
  </si>
  <si>
    <r>
      <t xml:space="preserve">Isi kolom </t>
    </r>
    <r>
      <rPr>
        <b/>
        <sz val="11"/>
        <color theme="6" tint="0.39997558519241921"/>
        <rFont val="Aptos Narrow"/>
        <family val="2"/>
        <scheme val="minor"/>
      </rPr>
      <t>Bulan Surat</t>
    </r>
    <r>
      <rPr>
        <sz val="11"/>
        <color theme="1"/>
        <rFont val="Aptos Narrow"/>
        <family val="2"/>
        <scheme val="minor"/>
      </rPr>
      <t xml:space="preserve"> berdasarkan kode surat diambil dari karakter ke 12 sampai karakter ke 13</t>
    </r>
  </si>
  <si>
    <t>say</t>
  </si>
  <si>
    <t>aa</t>
  </si>
  <si>
    <t>EJ5</t>
  </si>
  <si>
    <t>Jangan diubah</t>
  </si>
  <si>
    <r>
      <t xml:space="preserve">Isi kolom </t>
    </r>
    <r>
      <rPr>
        <b/>
        <sz val="11"/>
        <color theme="1"/>
        <rFont val="Aptos Narrow"/>
        <family val="2"/>
        <scheme val="minor"/>
      </rPr>
      <t>Kode Surat Final</t>
    </r>
    <r>
      <rPr>
        <sz val="11"/>
        <color theme="1"/>
        <rFont val="Aptos Narrow"/>
        <family val="2"/>
        <scheme val="minor"/>
      </rPr>
      <t xml:space="preserve">  yang diambil dari kode surat dengan ketentuan setelah nomor tambahkan huruf FL</t>
    </r>
  </si>
  <si>
    <r>
      <t>Gabungkan Inisial dan juga tanggal dalam format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Inisial-DDMMMYYYY</t>
    </r>
    <r>
      <rPr>
        <sz val="11"/>
        <color theme="1"/>
        <rFont val="Aptos Narrow"/>
        <family val="2"/>
        <scheme val="minor"/>
      </rPr>
      <t xml:space="preserve"> dimana bulan harus berbahasa Indonesia, contoh : </t>
    </r>
    <r>
      <rPr>
        <b/>
        <sz val="11"/>
        <color rgb="FF0070C0"/>
        <rFont val="Aptos Narrow"/>
        <family val="2"/>
        <scheme val="minor"/>
      </rPr>
      <t>AS-19AGU2024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</si>
  <si>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</si>
  <si>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</si>
  <si>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</si>
  <si>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</si>
  <si>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</si>
  <si>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</si>
  <si>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</si>
  <si>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</si>
  <si>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</si>
  <si>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</si>
  <si>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</si>
  <si>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</si>
  <si>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</si>
  <si>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</si>
  <si>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</si>
  <si>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</si>
  <si>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</si>
  <si>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</si>
  <si>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</si>
  <si>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</si>
  <si>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</si>
  <si>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</si>
  <si>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</si>
  <si>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</si>
  <si>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</si>
  <si>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Segera</t>
  </si>
  <si>
    <t>2024</t>
  </si>
  <si>
    <t>11</t>
  </si>
  <si>
    <t>25</t>
  </si>
  <si>
    <t>S-099FL/2024/11/25</t>
  </si>
  <si>
    <t>Rizka Nugraha</t>
  </si>
  <si>
    <t>RN</t>
  </si>
  <si>
    <t>RN-25NOV2024</t>
  </si>
  <si>
    <r>
      <t xml:space="preserve">Isi </t>
    </r>
    <r>
      <rPr>
        <b/>
        <sz val="11"/>
        <color theme="1"/>
        <rFont val="Aptos Narrow"/>
        <family val="2"/>
        <scheme val="minor"/>
      </rPr>
      <t>Tanggal</t>
    </r>
    <r>
      <rPr>
        <sz val="11"/>
        <color theme="1"/>
        <rFont val="Aptos Narrow"/>
        <family val="2"/>
        <scheme val="minor"/>
      </rPr>
      <t xml:space="preserve"> dengan Tangal yang </t>
    </r>
    <r>
      <rPr>
        <b/>
        <sz val="11"/>
        <color rgb="FF00B050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didapat dari gabungan  Tahun surat, bulan surat dan tanggal surat dengan FormatCells </t>
    </r>
    <r>
      <rPr>
        <b/>
        <sz val="11"/>
        <color rgb="FF0070C0"/>
        <rFont val="Aptos Narrow"/>
        <family val="2"/>
        <scheme val="minor"/>
      </rPr>
      <t>dd-mmm-yyyy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</si>
</sst>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-mmm\-yyyy"/>
    <numFmt numFmtId="167" formatCode="#,##0;\(#,##0\);\-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theme="1"/>
      <name val="Arial Unicode MS"/>
    </font>
    <font>
      <b/>
      <i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sz val="11"/>
      <color theme="0"/>
      <name val="ROBOTECH GP"/>
      <family val="2"/>
    </font>
    <font>
      <b/>
      <sz val="12"/>
      <color theme="0"/>
      <name val="Roboto"/>
    </font>
    <font>
      <b/>
      <sz val="11"/>
      <color theme="6" tint="-0.249977111117893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0"/>
      <color theme="0"/>
      <name val="ROBOTECH GP"/>
      <family val="2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8">
    <xf numFmtId="0" fontId="0" fillId="0" borderId="0" xfId="0"/>
    <xf numFmtId="0" fontId="0" fillId="3" borderId="1" xfId="0" applyFill="1" applyBorder="1" applyAlignment="1">
      <alignment horizontal="center" vertical="center"/>
    </xf>
    <xf numFmtId="165" fontId="0" fillId="4" borderId="1" xfId="1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0" fillId="4" borderId="1" xfId="0" applyNumberFormat="1" applyFill="1" applyBorder="1"/>
    <xf numFmtId="1" fontId="0" fillId="0" borderId="0" xfId="0" applyNumberFormat="1"/>
    <xf numFmtId="0" fontId="8" fillId="0" borderId="0" xfId="0" applyFont="1"/>
    <xf numFmtId="0" fontId="0" fillId="3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indent="2"/>
    </xf>
    <xf numFmtId="166" fontId="0" fillId="4" borderId="1" xfId="0" applyNumberFormat="1" applyFill="1" applyBorder="1" applyAlignment="1">
      <alignment horizontal="right" indent="2"/>
    </xf>
    <xf numFmtId="165" fontId="0" fillId="4" borderId="1" xfId="0" applyNumberFormat="1" applyFill="1" applyBorder="1" applyAlignment="1">
      <alignment horizontal="center"/>
    </xf>
    <xf numFmtId="167" fontId="12" fillId="6" borderId="0" xfId="0" applyNumberFormat="1" applyFont="1" applyFill="1" applyAlignment="1">
      <alignment horizontal="center" vertical="center"/>
    </xf>
    <xf numFmtId="167" fontId="12" fillId="6" borderId="2" xfId="0" applyNumberFormat="1" applyFont="1" applyFill="1" applyBorder="1" applyAlignment="1">
      <alignment horizontal="left" vertical="center"/>
    </xf>
    <xf numFmtId="167" fontId="13" fillId="6" borderId="0" xfId="0" applyNumberFormat="1" applyFont="1" applyFill="1" applyAlignment="1">
      <alignment horizontal="left" vertical="center"/>
    </xf>
    <xf numFmtId="0" fontId="15" fillId="7" borderId="6" xfId="0" applyFont="1" applyFill="1" applyBorder="1" applyAlignment="1">
      <alignment vertical="top" wrapText="1"/>
    </xf>
    <xf numFmtId="0" fontId="15" fillId="7" borderId="0" xfId="0" applyFont="1" applyFill="1" applyAlignment="1">
      <alignment vertical="top" wrapText="1"/>
    </xf>
    <xf numFmtId="0" fontId="15" fillId="7" borderId="7" xfId="0" applyFont="1" applyFill="1" applyBorder="1" applyAlignment="1">
      <alignment vertical="top" wrapText="1"/>
    </xf>
    <xf numFmtId="0" fontId="15" fillId="7" borderId="8" xfId="0" applyFont="1" applyFill="1" applyBorder="1" applyAlignment="1">
      <alignment vertical="top" wrapText="1"/>
    </xf>
    <xf numFmtId="0" fontId="0" fillId="7" borderId="0" xfId="0" applyFill="1"/>
    <xf numFmtId="0" fontId="16" fillId="7" borderId="0" xfId="0" applyFont="1" applyFill="1" applyAlignment="1">
      <alignment horizontal="left" vertical="top"/>
    </xf>
    <xf numFmtId="0" fontId="15" fillId="7" borderId="9" xfId="0" applyFont="1" applyFill="1" applyBorder="1" applyAlignment="1">
      <alignment vertical="top" wrapText="1"/>
    </xf>
    <xf numFmtId="0" fontId="16" fillId="7" borderId="0" xfId="0" applyFont="1" applyFill="1" applyAlignment="1">
      <alignment vertical="top"/>
    </xf>
    <xf numFmtId="0" fontId="18" fillId="7" borderId="0" xfId="0" applyFont="1" applyFill="1" applyAlignment="1">
      <alignment horizontal="right"/>
    </xf>
    <xf numFmtId="0" fontId="19" fillId="7" borderId="0" xfId="0" applyFont="1" applyFill="1" applyAlignment="1">
      <alignment vertical="top"/>
    </xf>
    <xf numFmtId="0" fontId="4" fillId="7" borderId="0" xfId="0" applyFont="1" applyFill="1" applyAlignment="1">
      <alignment horizontal="center" vertical="center"/>
    </xf>
    <xf numFmtId="0" fontId="10" fillId="7" borderId="0" xfId="0" applyFont="1" applyFill="1"/>
    <xf numFmtId="0" fontId="15" fillId="7" borderId="4" xfId="0" applyFont="1" applyFill="1" applyBorder="1" applyAlignment="1">
      <alignment vertical="top" wrapText="1"/>
    </xf>
    <xf numFmtId="0" fontId="15" fillId="7" borderId="5" xfId="0" applyFont="1" applyFill="1" applyBorder="1" applyAlignment="1">
      <alignment vertical="top" wrapText="1"/>
    </xf>
    <xf numFmtId="0" fontId="11" fillId="5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167" fontId="21" fillId="6" borderId="1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1" fillId="0" borderId="0" xfId="2"/>
    <xf numFmtId="0" fontId="1" fillId="0" borderId="1" xfId="2" applyBorder="1"/>
    <xf numFmtId="0" fontId="1" fillId="0" borderId="12" xfId="2" applyBorder="1"/>
    <xf numFmtId="0" fontId="1" fillId="0" borderId="13" xfId="2" applyBorder="1"/>
    <xf numFmtId="0" fontId="26" fillId="0" borderId="1" xfId="2" applyFont="1" applyBorder="1"/>
    <xf numFmtId="0" fontId="28" fillId="0" borderId="1" xfId="2" applyFont="1" applyBorder="1" applyAlignment="1">
      <alignment horizontal="left"/>
    </xf>
    <xf numFmtId="0" fontId="28" fillId="0" borderId="1" xfId="2" applyFont="1" applyBorder="1"/>
    <xf numFmtId="0" fontId="29" fillId="0" borderId="12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6" fillId="0" borderId="1" xfId="3" applyBorder="1" applyAlignment="1">
      <alignment vertical="top"/>
    </xf>
    <xf numFmtId="0" fontId="3" fillId="0" borderId="0" xfId="2" applyFont="1"/>
    <xf numFmtId="0" fontId="32" fillId="0" borderId="0" xfId="2" applyFont="1"/>
    <xf numFmtId="0" fontId="6" fillId="0" borderId="0" xfId="4"/>
    <xf numFmtId="0" fontId="32" fillId="0" borderId="0" xfId="2" quotePrefix="1" applyFont="1"/>
    <xf numFmtId="0" fontId="0" fillId="6" borderId="0" xfId="0" applyFill="1"/>
    <xf numFmtId="0" fontId="33" fillId="6" borderId="0" xfId="0" applyFont="1" applyFill="1"/>
    <xf numFmtId="0" fontId="25" fillId="6" borderId="0" xfId="0" applyFont="1" applyFill="1"/>
    <xf numFmtId="0" fontId="34" fillId="6" borderId="0" xfId="0" applyFont="1" applyFill="1"/>
    <xf numFmtId="0" fontId="35" fillId="6" borderId="0" xfId="4" applyFont="1" applyFill="1"/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29" fillId="0" borderId="14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14" xfId="0" applyFont="1" applyBorder="1" applyAlignment="1">
      <alignment horizontal="left" vertical="top" wrapText="1"/>
    </xf>
    <xf numFmtId="0" fontId="20" fillId="5" borderId="6" xfId="0" applyFont="1" applyFill="1" applyBorder="1" applyAlignment="1">
      <alignment horizontal="center" vertical="center"/>
    </xf>
    <xf numFmtId="0" fontId="27" fillId="0" borderId="1" xfId="2" applyFont="1" applyBorder="1" applyAlignment="1">
      <alignment horizontal="left"/>
    </xf>
    <xf numFmtId="0" fontId="28" fillId="0" borderId="1" xfId="2" applyFont="1" applyBorder="1" applyAlignment="1">
      <alignment horizontal="left"/>
    </xf>
  </cellXfs>
  <cellStyles count="5">
    <cellStyle name="Comma" xfId="1" builtinId="3"/>
    <cellStyle name="Hyperlink" xfId="4" builtinId="8"/>
    <cellStyle name="Hyperlink 2" xfId="3" xr:uid="{51E6E38D-79D9-409A-8775-9E575AF23A4D}"/>
    <cellStyle name="Normal" xfId="0" builtinId="0"/>
    <cellStyle name="Normal 2" xfId="2" xr:uid="{45C5DA4B-323C-40AC-99ED-DA68CDD2A930}"/>
  </cellStyles>
  <dxfs count="2"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891540</xdr:colOff>
      <xdr:row>16</xdr:row>
      <xdr:rowOff>179070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F386DC-DA5C-4941-A6F8-ED2C4A44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20600" cy="3105150"/>
        </a:xfrm>
        <a:prstGeom prst="rect">
          <a:avLst/>
        </a:prstGeom>
      </xdr:spPr>
    </xdr:pic>
    <xdr:clientData/>
  </xdr:twoCellAnchor>
  <xdr:twoCellAnchor editAs="oneCell">
    <xdr:from>
      <xdr:col>5</xdr:col>
      <xdr:colOff>205740</xdr:colOff>
      <xdr:row>14</xdr:row>
      <xdr:rowOff>91440</xdr:rowOff>
    </xdr:from>
    <xdr:to>
      <xdr:col>6</xdr:col>
      <xdr:colOff>817880</xdr:colOff>
      <xdr:row>18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C9539B-1850-4C20-9AEE-2571B07DA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0" y="265176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45720</xdr:colOff>
      <xdr:row>37</xdr:row>
      <xdr:rowOff>45720</xdr:rowOff>
    </xdr:from>
    <xdr:to>
      <xdr:col>4</xdr:col>
      <xdr:colOff>594360</xdr:colOff>
      <xdr:row>39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C56987-F005-4863-A79B-B8B1550D7CF7}"/>
            </a:ext>
          </a:extLst>
        </xdr:cNvPr>
        <xdr:cNvSpPr/>
      </xdr:nvSpPr>
      <xdr:spPr>
        <a:xfrm>
          <a:off x="3611880" y="7277100"/>
          <a:ext cx="162306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800100</xdr:colOff>
      <xdr:row>0</xdr:row>
      <xdr:rowOff>144780</xdr:rowOff>
    </xdr:from>
    <xdr:ext cx="924869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A30C1A-7190-44D8-B42D-E96FE2C5DA18}"/>
            </a:ext>
          </a:extLst>
        </xdr:cNvPr>
        <xdr:cNvSpPr txBox="1"/>
      </xdr:nvSpPr>
      <xdr:spPr>
        <a:xfrm>
          <a:off x="11216640" y="144780"/>
          <a:ext cx="924869" cy="280205"/>
        </a:xfrm>
        <a:prstGeom prst="rect">
          <a:avLst/>
        </a:prstGeom>
        <a:noFill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EASY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1021080</xdr:colOff>
      <xdr:row>0</xdr:row>
      <xdr:rowOff>0</xdr:rowOff>
    </xdr:from>
    <xdr:to>
      <xdr:col>13</xdr:col>
      <xdr:colOff>829</xdr:colOff>
      <xdr:row>17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DDF479-C218-4040-BA05-5FE90A93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20600" y="0"/>
          <a:ext cx="2020129" cy="3147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6C21FBC3-5A7B-4E26-900A-505CAEF5D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F25FE9D3-CA56-4F2C-9A89-7E3C073B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624841</xdr:colOff>
      <xdr:row>0</xdr:row>
      <xdr:rowOff>167640</xdr:rowOff>
    </xdr:from>
    <xdr:to>
      <xdr:col>4</xdr:col>
      <xdr:colOff>353553</xdr:colOff>
      <xdr:row>14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4E2EB4-FFF2-4F85-BDC9-E8076EA3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1" y="167640"/>
          <a:ext cx="1633712" cy="2545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877-B3EA-4412-B568-060A61DBC08B}">
  <sheetPr codeName="Sheet1"/>
  <dimension ref="A19:M76"/>
  <sheetViews>
    <sheetView tabSelected="1" topLeftCell="A29" workbookViewId="0">
      <selection activeCell="F19" sqref="F19"/>
    </sheetView>
  </sheetViews>
  <sheetFormatPr defaultRowHeight="15"/>
  <cols>
    <col min="2" max="2" width="20.42578125" customWidth="1"/>
    <col min="3" max="3" width="22.7109375" customWidth="1"/>
    <col min="4" max="4" width="15.7109375" bestFit="1" customWidth="1"/>
    <col min="5" max="5" width="19" bestFit="1" customWidth="1"/>
    <col min="6" max="6" width="13.140625" customWidth="1"/>
    <col min="7" max="7" width="16.42578125" customWidth="1"/>
    <col min="8" max="8" width="16.28515625" customWidth="1"/>
    <col min="9" max="9" width="19.28515625" customWidth="1"/>
    <col min="10" max="10" width="16.28515625" bestFit="1" customWidth="1"/>
    <col min="11" max="11" width="15.140625" bestFit="1" customWidth="1"/>
    <col min="12" max="12" width="11.42578125" bestFit="1" customWidth="1"/>
    <col min="13" max="13" width="18.28515625" customWidth="1"/>
  </cols>
  <sheetData>
    <row r="19" spans="1:13" ht="23.25">
      <c r="A19" s="60" t="s">
        <v>0</v>
      </c>
      <c r="B19" s="60"/>
      <c r="C19" s="12" t="s">
        <v>32</v>
      </c>
      <c r="E19" s="29" t="s">
        <v>1</v>
      </c>
      <c r="F19" s="13" t="str">
        <f ca="1">kode_jawaban</f>
        <v>EJ5|13-7E6;1C-866B;19-16DA;3F-1743;5C-D36CD;51-112F;2B-1403;32-1B7B;50-826;5C-1485</v>
      </c>
      <c r="G19" s="14"/>
      <c r="H19" s="14"/>
      <c r="I19" s="14"/>
      <c r="J19" s="14"/>
      <c r="K19" s="14"/>
      <c r="L19" s="14"/>
      <c r="M19" s="14"/>
    </row>
    <row r="21" spans="1:13" ht="23.25">
      <c r="A21" s="53" t="s">
        <v>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5"/>
    </row>
    <row r="22" spans="1:13" ht="15.7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7"/>
      <c r="L22" s="17"/>
      <c r="M22" s="18"/>
    </row>
    <row r="23" spans="1:13" ht="15.75">
      <c r="A23" s="19"/>
      <c r="B23" s="20" t="s">
        <v>61</v>
      </c>
      <c r="D23" s="19"/>
      <c r="E23" s="16"/>
      <c r="F23" s="16"/>
      <c r="G23" s="16"/>
      <c r="H23" s="16"/>
      <c r="I23" s="16"/>
      <c r="J23" s="16"/>
      <c r="K23" s="16"/>
      <c r="L23" s="16"/>
      <c r="M23" s="21"/>
    </row>
    <row r="24" spans="1:13" ht="15.75">
      <c r="A24" s="19"/>
      <c r="B24" s="19"/>
      <c r="C24" s="22"/>
      <c r="E24" s="16"/>
      <c r="F24" s="16"/>
      <c r="G24" s="16"/>
      <c r="H24" s="16"/>
      <c r="I24" s="16"/>
      <c r="J24" s="16"/>
      <c r="K24" s="16"/>
      <c r="L24" s="16"/>
      <c r="M24" s="21"/>
    </row>
    <row r="25" spans="1:13" ht="15.75">
      <c r="A25" s="19"/>
      <c r="B25" s="23" t="s">
        <v>57</v>
      </c>
      <c r="C25" s="24" t="s">
        <v>58</v>
      </c>
      <c r="D25" s="19"/>
      <c r="E25" s="19"/>
      <c r="F25" s="16"/>
      <c r="G25" s="19"/>
      <c r="H25" s="19"/>
      <c r="I25" s="16"/>
      <c r="J25" s="16"/>
      <c r="K25" s="16"/>
      <c r="L25" s="16"/>
      <c r="M25" s="21"/>
    </row>
    <row r="26" spans="1:13" ht="15.75">
      <c r="A26" s="19"/>
      <c r="B26" s="30">
        <v>1</v>
      </c>
      <c r="C26" s="19" t="s">
        <v>76</v>
      </c>
      <c r="D26" s="19"/>
      <c r="E26" s="19"/>
      <c r="F26" s="16"/>
      <c r="G26" s="19"/>
      <c r="H26" s="19"/>
      <c r="I26" s="16"/>
      <c r="J26" s="16"/>
      <c r="K26" s="16"/>
      <c r="L26" s="16"/>
      <c r="M26" s="21"/>
    </row>
    <row r="27" spans="1:13" ht="15.75">
      <c r="A27" s="19"/>
      <c r="B27" s="30">
        <v>2</v>
      </c>
      <c r="C27" s="19" t="s">
        <v>77</v>
      </c>
      <c r="D27" s="19"/>
      <c r="E27" s="19"/>
      <c r="F27" s="16"/>
      <c r="G27" s="19"/>
      <c r="H27" s="19"/>
      <c r="I27" s="16"/>
      <c r="J27" s="16"/>
      <c r="K27" s="16"/>
      <c r="L27" s="16"/>
      <c r="M27" s="21"/>
    </row>
    <row r="28" spans="1:13" ht="15.75">
      <c r="A28" s="19"/>
      <c r="B28" s="30">
        <v>3</v>
      </c>
      <c r="C28" s="19" t="s">
        <v>78</v>
      </c>
      <c r="D28" s="19"/>
      <c r="E28" s="19"/>
      <c r="F28" s="16"/>
      <c r="G28" s="19"/>
      <c r="H28" s="19"/>
      <c r="I28" s="16"/>
      <c r="J28" s="16"/>
      <c r="K28" s="16"/>
      <c r="L28" s="16"/>
      <c r="M28" s="21"/>
    </row>
    <row r="29" spans="1:13" ht="15.75">
      <c r="A29" s="19"/>
      <c r="B29" s="30">
        <v>4</v>
      </c>
      <c r="C29" s="19" t="s">
        <v>25</v>
      </c>
      <c r="D29" s="19"/>
      <c r="E29" s="19"/>
      <c r="F29" s="16"/>
      <c r="G29" s="19"/>
      <c r="H29" s="19"/>
      <c r="I29" s="16"/>
      <c r="J29" s="16"/>
      <c r="K29" s="16"/>
      <c r="L29" s="16"/>
      <c r="M29" s="21"/>
    </row>
    <row r="30" spans="1:13" ht="15.75">
      <c r="A30" s="19"/>
      <c r="B30" s="30">
        <v>5</v>
      </c>
      <c r="C30" s="19" t="s">
        <v>118</v>
      </c>
      <c r="D30" s="19"/>
      <c r="E30" s="19"/>
      <c r="F30" s="16"/>
      <c r="G30" s="19"/>
      <c r="H30" s="19"/>
      <c r="I30" s="16"/>
      <c r="J30" s="16"/>
      <c r="K30" s="16"/>
      <c r="L30" s="16"/>
      <c r="M30" s="21"/>
    </row>
    <row r="31" spans="1:13" ht="15.75">
      <c r="A31" s="19"/>
      <c r="B31" s="30">
        <v>6</v>
      </c>
      <c r="C31" s="19" t="s">
        <v>83</v>
      </c>
      <c r="D31" s="19"/>
      <c r="E31" s="19"/>
      <c r="F31" s="16"/>
      <c r="G31" s="19"/>
      <c r="H31" s="19"/>
      <c r="I31" s="16"/>
      <c r="J31" s="16"/>
      <c r="K31" s="16"/>
      <c r="L31" s="16"/>
      <c r="M31" s="21"/>
    </row>
    <row r="32" spans="1:13" ht="15.75">
      <c r="A32" s="19"/>
      <c r="B32" s="30">
        <v>7</v>
      </c>
      <c r="C32" s="19" t="s">
        <v>28</v>
      </c>
      <c r="D32" s="19"/>
      <c r="E32" s="19"/>
      <c r="F32" s="16"/>
      <c r="G32" s="19"/>
      <c r="H32" s="19"/>
      <c r="I32" s="16"/>
      <c r="J32" s="16"/>
      <c r="K32" s="16"/>
      <c r="L32" s="16"/>
      <c r="M32" s="21"/>
    </row>
    <row r="33" spans="1:13" ht="15.75">
      <c r="A33" s="19"/>
      <c r="B33" s="30">
        <v>8</v>
      </c>
      <c r="C33" s="19" t="s">
        <v>26</v>
      </c>
      <c r="D33" s="19"/>
      <c r="E33" s="19"/>
      <c r="F33" s="16"/>
      <c r="G33" s="19"/>
      <c r="H33" s="19"/>
      <c r="I33" s="16"/>
      <c r="J33" s="16"/>
      <c r="K33" s="16"/>
      <c r="L33" s="16"/>
      <c r="M33" s="21"/>
    </row>
    <row r="34" spans="1:13" ht="15.75">
      <c r="A34" s="19"/>
      <c r="B34" s="30">
        <v>9</v>
      </c>
      <c r="C34" s="19" t="s">
        <v>29</v>
      </c>
      <c r="D34" s="19"/>
      <c r="E34" s="19"/>
      <c r="F34" s="16"/>
      <c r="G34" s="19"/>
      <c r="H34" s="19"/>
      <c r="I34" s="16"/>
      <c r="J34" s="16"/>
      <c r="K34" s="16"/>
      <c r="L34" s="16"/>
      <c r="M34" s="21"/>
    </row>
    <row r="35" spans="1:13" ht="15.75">
      <c r="A35" s="19"/>
      <c r="B35" s="30">
        <v>10</v>
      </c>
      <c r="C35" s="19" t="s">
        <v>84</v>
      </c>
      <c r="D35" s="19"/>
      <c r="E35" s="19"/>
      <c r="F35" s="16"/>
      <c r="G35" s="19"/>
      <c r="H35" s="19"/>
      <c r="I35" s="16"/>
      <c r="J35" s="16"/>
      <c r="K35" s="16"/>
      <c r="L35" s="16"/>
      <c r="M35" s="21"/>
    </row>
    <row r="36" spans="1:13" ht="15.75">
      <c r="A36" s="19"/>
      <c r="B36" s="25"/>
      <c r="C36" s="19"/>
      <c r="D36" s="19"/>
      <c r="E36" s="19"/>
      <c r="F36" s="16"/>
      <c r="G36" s="19"/>
      <c r="H36" s="19"/>
      <c r="I36" s="16"/>
      <c r="J36" s="16"/>
      <c r="K36" s="16"/>
      <c r="L36" s="16"/>
      <c r="M36" s="21"/>
    </row>
    <row r="37" spans="1:13" ht="15.75">
      <c r="A37" s="19"/>
      <c r="B37" s="19"/>
      <c r="C37" s="26" t="s">
        <v>59</v>
      </c>
      <c r="D37" s="19"/>
      <c r="E37" s="19"/>
      <c r="F37" s="16"/>
      <c r="G37" s="19"/>
      <c r="H37" s="19"/>
      <c r="I37" s="16"/>
      <c r="J37" s="16"/>
      <c r="K37" s="16"/>
      <c r="L37" s="16"/>
      <c r="M37" s="21"/>
    </row>
    <row r="38" spans="1:13" ht="15.75">
      <c r="A38" s="19"/>
      <c r="B38" s="19"/>
      <c r="C38" s="26" t="s">
        <v>60</v>
      </c>
      <c r="D38" s="19"/>
      <c r="E38" s="16"/>
      <c r="F38" s="16"/>
      <c r="G38" s="19"/>
      <c r="H38" s="19"/>
      <c r="I38" s="16"/>
      <c r="J38" s="16"/>
      <c r="K38" s="16"/>
      <c r="L38" s="16"/>
      <c r="M38" s="21"/>
    </row>
    <row r="39" spans="1:13" ht="15.75">
      <c r="A39" s="19"/>
      <c r="B39" s="19"/>
      <c r="C39" s="19"/>
      <c r="E39" s="16"/>
      <c r="F39" s="16"/>
      <c r="G39" s="19"/>
      <c r="H39" s="19"/>
      <c r="I39" s="16"/>
      <c r="J39" s="16"/>
      <c r="K39" s="16"/>
      <c r="L39" s="16"/>
      <c r="M39" s="21"/>
    </row>
    <row r="40" spans="1:13" ht="15.75">
      <c r="A40" s="19"/>
      <c r="B40" s="19"/>
      <c r="C40" s="26"/>
      <c r="D40" s="16"/>
      <c r="E40" s="16"/>
      <c r="F40" s="16"/>
      <c r="G40" s="19"/>
      <c r="H40" s="19"/>
      <c r="I40" s="16"/>
      <c r="J40" s="16"/>
      <c r="K40" s="27"/>
      <c r="L40" s="27"/>
      <c r="M40" s="28"/>
    </row>
    <row r="41" spans="1:13" ht="23.25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</row>
    <row r="43" spans="1:13" ht="15.75" thickBot="1"/>
    <row r="44" spans="1:13" ht="16.5" thickBot="1">
      <c r="C44" s="4"/>
      <c r="D44" s="31">
        <v>1</v>
      </c>
      <c r="E44" s="31">
        <v>2</v>
      </c>
      <c r="F44" s="31">
        <v>3</v>
      </c>
      <c r="G44" s="31">
        <v>4</v>
      </c>
      <c r="H44" s="31">
        <v>5</v>
      </c>
      <c r="I44" s="31">
        <v>6</v>
      </c>
      <c r="J44" s="31">
        <v>7</v>
      </c>
      <c r="K44" s="31">
        <v>8</v>
      </c>
      <c r="L44" s="31">
        <v>9</v>
      </c>
      <c r="M44" s="31">
        <v>10</v>
      </c>
    </row>
    <row r="45" spans="1:13" ht="34.15" customHeight="1">
      <c r="A45" s="3" t="s">
        <v>47</v>
      </c>
      <c r="B45" s="3" t="s">
        <v>10</v>
      </c>
      <c r="C45" s="3" t="s">
        <v>27</v>
      </c>
      <c r="D45" s="3" t="s">
        <v>63</v>
      </c>
      <c r="E45" s="3" t="s">
        <v>64</v>
      </c>
      <c r="F45" s="3" t="s">
        <v>65</v>
      </c>
      <c r="G45" s="3" t="s">
        <v>66</v>
      </c>
      <c r="H45" s="3" t="s">
        <v>67</v>
      </c>
      <c r="I45" s="3" t="s">
        <v>68</v>
      </c>
      <c r="J45" s="3" t="s">
        <v>69</v>
      </c>
      <c r="K45" s="3" t="s">
        <v>70</v>
      </c>
      <c r="L45" s="3" t="s">
        <v>71</v>
      </c>
      <c r="M45" s="3" t="s">
        <v>72</v>
      </c>
    </row>
    <row r="46" spans="1:13">
      <c r="A46" s="1" t="s">
        <v>73</v>
      </c>
      <c r="B46" s="1" t="s">
        <v>74</v>
      </c>
      <c r="C46" s="8" t="s">
        <v>75</v>
      </c>
      <c r="D46" s="9" t="s">
        <v>110</v>
      </c>
      <c r="E46" s="9" t="s">
        <v>111</v>
      </c>
      <c r="F46" s="9" t="s">
        <v>112</v>
      </c>
      <c r="G46" s="9" t="s">
        <v>113</v>
      </c>
      <c r="H46" s="10">
        <v>45621</v>
      </c>
      <c r="I46" s="2" t="s">
        <v>114</v>
      </c>
      <c r="J46" s="2" t="s">
        <v>115</v>
      </c>
      <c r="K46" s="5">
        <v>13</v>
      </c>
      <c r="L46" s="11" t="s">
        <v>116</v>
      </c>
      <c r="M46" s="5" t="s">
        <v>117</v>
      </c>
    </row>
    <row r="47" spans="1:13" ht="7.9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spans="1:13" ht="19.149999999999999" customHeight="1">
      <c r="A48" s="1">
        <v>1</v>
      </c>
      <c r="B48" s="1" t="s">
        <v>43</v>
      </c>
      <c r="C48" s="8" t="s">
        <v>11</v>
      </c>
      <c r="D48" s="9" t="str" cm="1">
        <f t="array" ref="D48">_xlfn.IFS(UPPER(LEFT(TRIM(B48),1))="B", "Biasa", UPPER(LEFT(TRIM(B48),1))="R", "Rahasia", TRUE, "Segera")</f>
        <v>Biasa</v>
      </c>
      <c r="E48" s="9" t="str">
        <f>MID(TRIM(B48),7,4)</f>
        <v>2023</v>
      </c>
      <c r="F48" s="9" t="str">
        <f>MID(TRIM(B48),12,2)</f>
        <v>08</v>
      </c>
      <c r="G48" s="9" t="str">
        <f>RIGHT(TRIM(B48),2)</f>
        <v>19</v>
      </c>
      <c r="H48" s="10">
        <f>DATE(E48,F48,G48)</f>
        <v>45157</v>
      </c>
      <c r="I48" s="2" t="str">
        <f>REPLACE(TRIM(B48),6,0,"FL")</f>
        <v>B-001FL/2023/08/19</v>
      </c>
      <c r="J48" s="2" t="str">
        <f>PROPER(TRIM(C48))</f>
        <v>Andi Saputra</v>
      </c>
      <c r="K48" s="5">
        <f>LEN(J48)</f>
        <v>12</v>
      </c>
      <c r="L48" s="11" t="str">
        <f>LEFT(J48,1)&amp;MID(J48,FIND(" ",J48,1)+1,1)</f>
        <v>AS</v>
      </c>
      <c r="M48" s="5" t="str">
        <f>L48&amp;"-"&amp;UPPER(TEXT(H48,"[$-id-ID]ddmmmyyyy"))</f>
        <v>AS-19AGU2023</v>
      </c>
    </row>
    <row r="49" spans="1:13" ht="19.149999999999999" customHeight="1">
      <c r="A49" s="1">
        <v>2</v>
      </c>
      <c r="B49" s="1" t="s">
        <v>44</v>
      </c>
      <c r="C49" s="8" t="s">
        <v>12</v>
      </c>
      <c r="D49" s="9" t="str" cm="1">
        <f t="array" ref="D49">_xlfn.IFS(UPPER(LEFT(TRIM(B49),1))="B", "Biasa", UPPER(LEFT(TRIM(B49),1))="R", "Rahasia", TRUE, "Segera")</f>
        <v>Rahasia</v>
      </c>
      <c r="E49" s="9" t="str">
        <f t="shared" ref="E49:E61" si="0">MID(TRIM(B49),7,4)</f>
        <v>2023</v>
      </c>
      <c r="F49" s="9" t="str">
        <f t="shared" ref="F49:F61" si="1">MID(TRIM(B49),12,2)</f>
        <v>04</v>
      </c>
      <c r="G49" s="9" t="str">
        <f t="shared" ref="G49:G61" si="2">RIGHT(TRIM(B49),2)</f>
        <v>20</v>
      </c>
      <c r="H49" s="10">
        <f t="shared" ref="H49:H61" si="3">DATE(E49,F49,G49)</f>
        <v>45036</v>
      </c>
      <c r="I49" s="2" t="str">
        <f t="shared" ref="I49:I61" si="4">REPLACE(TRIM(B49),6,0,"FL")</f>
        <v>R-002FL/2023/04/20</v>
      </c>
      <c r="J49" s="2" t="str">
        <f t="shared" ref="J49:J61" si="5">PROPER(TRIM(C49))</f>
        <v>Budi Santoso</v>
      </c>
      <c r="K49" s="5">
        <f t="shared" ref="K49:K61" si="6">LEN(J49)</f>
        <v>12</v>
      </c>
      <c r="L49" s="11" t="str">
        <f t="shared" ref="L49:L61" si="7">LEFT(J49,1)&amp;MID(J49,FIND(" ",J49,1)+1,1)</f>
        <v>BS</v>
      </c>
      <c r="M49" s="5" t="str">
        <f t="shared" ref="M49:M61" si="8">L49&amp;"-"&amp;UPPER(TEXT(H49,"[$-id-ID]ddmmmyyyy"))</f>
        <v>BS-20APR2023</v>
      </c>
    </row>
    <row r="50" spans="1:13" ht="19.149999999999999" customHeight="1">
      <c r="A50" s="1">
        <v>3</v>
      </c>
      <c r="B50" s="1" t="s">
        <v>7</v>
      </c>
      <c r="C50" s="8" t="s">
        <v>13</v>
      </c>
      <c r="D50" s="9" t="str" cm="1">
        <f t="array" ref="D50">_xlfn.IFS(UPPER(LEFT(TRIM(B50),1))="B", "Biasa", UPPER(LEFT(TRIM(B50),1))="R", "Rahasia", TRUE, "Segera")</f>
        <v>Biasa</v>
      </c>
      <c r="E50" s="9" t="str">
        <f t="shared" si="0"/>
        <v>2024</v>
      </c>
      <c r="F50" s="9" t="str">
        <f t="shared" si="1"/>
        <v>08</v>
      </c>
      <c r="G50" s="9" t="str">
        <f t="shared" si="2"/>
        <v>21</v>
      </c>
      <c r="H50" s="10">
        <f t="shared" si="3"/>
        <v>45525</v>
      </c>
      <c r="I50" s="2" t="str">
        <f t="shared" si="4"/>
        <v>B-003FL/2024/08/21</v>
      </c>
      <c r="J50" s="2" t="str">
        <f t="shared" si="5"/>
        <v>Citra Dewi</v>
      </c>
      <c r="K50" s="5">
        <f t="shared" si="6"/>
        <v>10</v>
      </c>
      <c r="L50" s="11" t="str">
        <f t="shared" si="7"/>
        <v>CD</v>
      </c>
      <c r="M50" s="5" t="str">
        <f t="shared" si="8"/>
        <v>CD-21AGU2024</v>
      </c>
    </row>
    <row r="51" spans="1:13" ht="19.149999999999999" customHeight="1">
      <c r="A51" s="1">
        <v>4</v>
      </c>
      <c r="B51" s="1" t="s">
        <v>5</v>
      </c>
      <c r="C51" s="8" t="s">
        <v>14</v>
      </c>
      <c r="D51" s="9" t="str" cm="1">
        <f t="array" ref="D51">_xlfn.IFS(UPPER(LEFT(TRIM(B51),1))="B", "Biasa", UPPER(LEFT(TRIM(B51),1))="R", "Rahasia", TRUE, "Segera")</f>
        <v>Biasa</v>
      </c>
      <c r="E51" s="9" t="str">
        <f t="shared" si="0"/>
        <v>2024</v>
      </c>
      <c r="F51" s="9" t="str">
        <f t="shared" si="1"/>
        <v>08</v>
      </c>
      <c r="G51" s="9" t="str">
        <f t="shared" si="2"/>
        <v>22</v>
      </c>
      <c r="H51" s="10">
        <f t="shared" si="3"/>
        <v>45526</v>
      </c>
      <c r="I51" s="2" t="str">
        <f t="shared" si="4"/>
        <v>B-004FL/2024/08/22</v>
      </c>
      <c r="J51" s="2" t="str">
        <f t="shared" si="5"/>
        <v>Dian Prasetyo</v>
      </c>
      <c r="K51" s="5">
        <f t="shared" si="6"/>
        <v>13</v>
      </c>
      <c r="L51" s="11" t="str">
        <f t="shared" si="7"/>
        <v>DP</v>
      </c>
      <c r="M51" s="5" t="str">
        <f t="shared" si="8"/>
        <v>DP-22AGU2024</v>
      </c>
    </row>
    <row r="52" spans="1:13" ht="19.149999999999999" customHeight="1">
      <c r="A52" s="1">
        <v>5</v>
      </c>
      <c r="B52" s="1" t="s">
        <v>30</v>
      </c>
      <c r="C52" s="8" t="s">
        <v>15</v>
      </c>
      <c r="D52" s="9" t="str" cm="1">
        <f t="array" ref="D52">_xlfn.IFS(UPPER(LEFT(TRIM(B52),1))="B", "Biasa", UPPER(LEFT(TRIM(B52),1))="R", "Rahasia", TRUE, "Segera")</f>
        <v>Segera</v>
      </c>
      <c r="E52" s="9" t="str">
        <f t="shared" si="0"/>
        <v>2024</v>
      </c>
      <c r="F52" s="9" t="str">
        <f t="shared" si="1"/>
        <v>07</v>
      </c>
      <c r="G52" s="9" t="str">
        <f t="shared" si="2"/>
        <v>23</v>
      </c>
      <c r="H52" s="10">
        <f t="shared" si="3"/>
        <v>45496</v>
      </c>
      <c r="I52" s="2" t="str">
        <f t="shared" si="4"/>
        <v>S-005FL/2024/07/23</v>
      </c>
      <c r="J52" s="2" t="str">
        <f t="shared" si="5"/>
        <v>Eko Wahyudi</v>
      </c>
      <c r="K52" s="5">
        <f t="shared" si="6"/>
        <v>11</v>
      </c>
      <c r="L52" s="11" t="str">
        <f t="shared" si="7"/>
        <v>EW</v>
      </c>
      <c r="M52" s="5" t="str">
        <f t="shared" si="8"/>
        <v>EW-23JUL2024</v>
      </c>
    </row>
    <row r="53" spans="1:13" ht="19.149999999999999" customHeight="1">
      <c r="A53" s="1">
        <v>6</v>
      </c>
      <c r="B53" s="1" t="s">
        <v>8</v>
      </c>
      <c r="C53" s="8" t="s">
        <v>16</v>
      </c>
      <c r="D53" s="9" t="str" cm="1">
        <f t="array" ref="D53">_xlfn.IFS(UPPER(LEFT(TRIM(B53),1))="B", "Biasa", UPPER(LEFT(TRIM(B53),1))="R", "Rahasia", TRUE, "Segera")</f>
        <v>Biasa</v>
      </c>
      <c r="E53" s="9" t="str">
        <f t="shared" si="0"/>
        <v>2024</v>
      </c>
      <c r="F53" s="9" t="str">
        <f t="shared" si="1"/>
        <v>08</v>
      </c>
      <c r="G53" s="9" t="str">
        <f t="shared" si="2"/>
        <v>24</v>
      </c>
      <c r="H53" s="10">
        <f t="shared" si="3"/>
        <v>45528</v>
      </c>
      <c r="I53" s="2" t="str">
        <f t="shared" si="4"/>
        <v>B-006FL/2024/08/24</v>
      </c>
      <c r="J53" s="2" t="str">
        <f t="shared" si="5"/>
        <v>Fitri Anjani</v>
      </c>
      <c r="K53" s="5">
        <f t="shared" si="6"/>
        <v>12</v>
      </c>
      <c r="L53" s="11" t="str">
        <f t="shared" si="7"/>
        <v>FA</v>
      </c>
      <c r="M53" s="5" t="str">
        <f t="shared" si="8"/>
        <v>FA-24AGU2024</v>
      </c>
    </row>
    <row r="54" spans="1:13" ht="19.149999999999999" customHeight="1">
      <c r="A54" s="1">
        <v>7</v>
      </c>
      <c r="B54" s="1" t="s">
        <v>6</v>
      </c>
      <c r="C54" s="8" t="s">
        <v>17</v>
      </c>
      <c r="D54" s="9" t="str" cm="1">
        <f t="array" ref="D54">_xlfn.IFS(UPPER(LEFT(TRIM(B54),1))="B", "Biasa", UPPER(LEFT(TRIM(B54),1))="R", "Rahasia", TRUE, "Segera")</f>
        <v>Biasa</v>
      </c>
      <c r="E54" s="9" t="str">
        <f t="shared" si="0"/>
        <v>2024</v>
      </c>
      <c r="F54" s="9" t="str">
        <f t="shared" si="1"/>
        <v>08</v>
      </c>
      <c r="G54" s="9" t="str">
        <f t="shared" si="2"/>
        <v>25</v>
      </c>
      <c r="H54" s="10">
        <f t="shared" si="3"/>
        <v>45529</v>
      </c>
      <c r="I54" s="2" t="str">
        <f t="shared" si="4"/>
        <v>B-007FL/2024/08/25</v>
      </c>
      <c r="J54" s="2" t="str">
        <f t="shared" si="5"/>
        <v>Galih Permana</v>
      </c>
      <c r="K54" s="5">
        <f t="shared" si="6"/>
        <v>13</v>
      </c>
      <c r="L54" s="11" t="str">
        <f t="shared" si="7"/>
        <v>GP</v>
      </c>
      <c r="M54" s="5" t="str">
        <f t="shared" si="8"/>
        <v>GP-25AGU2024</v>
      </c>
    </row>
    <row r="55" spans="1:13" ht="19.149999999999999" customHeight="1">
      <c r="A55" s="1">
        <v>8</v>
      </c>
      <c r="B55" s="1" t="s">
        <v>31</v>
      </c>
      <c r="C55" s="8" t="s">
        <v>18</v>
      </c>
      <c r="D55" s="9" t="str" cm="1">
        <f t="array" ref="D55">_xlfn.IFS(UPPER(LEFT(TRIM(B55),1))="B", "Biasa", UPPER(LEFT(TRIM(B55),1))="R", "Rahasia", TRUE, "Segera")</f>
        <v>Rahasia</v>
      </c>
      <c r="E55" s="9" t="str">
        <f t="shared" si="0"/>
        <v>2024</v>
      </c>
      <c r="F55" s="9" t="str">
        <f t="shared" si="1"/>
        <v>08</v>
      </c>
      <c r="G55" s="9" t="str">
        <f t="shared" si="2"/>
        <v>02</v>
      </c>
      <c r="H55" s="10">
        <f t="shared" si="3"/>
        <v>45506</v>
      </c>
      <c r="I55" s="2" t="str">
        <f t="shared" si="4"/>
        <v>R-008FL/2024/08/02</v>
      </c>
      <c r="J55" s="2" t="str">
        <f t="shared" si="5"/>
        <v>Hendra Gunawan</v>
      </c>
      <c r="K55" s="5">
        <f t="shared" si="6"/>
        <v>14</v>
      </c>
      <c r="L55" s="11" t="str">
        <f t="shared" si="7"/>
        <v>HG</v>
      </c>
      <c r="M55" s="5" t="str">
        <f t="shared" si="8"/>
        <v>HG-02AGU2024</v>
      </c>
    </row>
    <row r="56" spans="1:13" ht="19.149999999999999" customHeight="1">
      <c r="A56" s="1">
        <v>9</v>
      </c>
      <c r="B56" s="1" t="s">
        <v>9</v>
      </c>
      <c r="C56" s="8" t="s">
        <v>19</v>
      </c>
      <c r="D56" s="9" t="str" cm="1">
        <f t="array" ref="D56">_xlfn.IFS(UPPER(LEFT(TRIM(B56),1))="B", "Biasa", UPPER(LEFT(TRIM(B56),1))="R", "Rahasia", TRUE, "Segera")</f>
        <v>Segera</v>
      </c>
      <c r="E56" s="9" t="str">
        <f t="shared" si="0"/>
        <v>2024</v>
      </c>
      <c r="F56" s="9" t="str">
        <f t="shared" si="1"/>
        <v>08</v>
      </c>
      <c r="G56" s="9" t="str">
        <f t="shared" si="2"/>
        <v>27</v>
      </c>
      <c r="H56" s="10">
        <f t="shared" si="3"/>
        <v>45531</v>
      </c>
      <c r="I56" s="2" t="str">
        <f t="shared" si="4"/>
        <v>S-009FL/2024/08/27</v>
      </c>
      <c r="J56" s="2" t="str">
        <f t="shared" si="5"/>
        <v>Indah Sari</v>
      </c>
      <c r="K56" s="5">
        <f t="shared" si="6"/>
        <v>10</v>
      </c>
      <c r="L56" s="11" t="str">
        <f t="shared" si="7"/>
        <v>IS</v>
      </c>
      <c r="M56" s="5" t="str">
        <f t="shared" si="8"/>
        <v>IS-27AGU2024</v>
      </c>
    </row>
    <row r="57" spans="1:13" ht="19.149999999999999" customHeight="1">
      <c r="A57" s="1">
        <v>10</v>
      </c>
      <c r="B57" s="1" t="s">
        <v>38</v>
      </c>
      <c r="C57" s="8" t="s">
        <v>20</v>
      </c>
      <c r="D57" s="9" t="str" cm="1">
        <f t="array" ref="D57">_xlfn.IFS(UPPER(LEFT(TRIM(B57),1))="B", "Biasa", UPPER(LEFT(TRIM(B57),1))="R", "Rahasia", TRUE, "Segera")</f>
        <v>Biasa</v>
      </c>
      <c r="E57" s="9" t="str">
        <f t="shared" si="0"/>
        <v>2025</v>
      </c>
      <c r="F57" s="9" t="str">
        <f t="shared" si="1"/>
        <v>06</v>
      </c>
      <c r="G57" s="9" t="str">
        <f t="shared" si="2"/>
        <v>28</v>
      </c>
      <c r="H57" s="10">
        <f t="shared" si="3"/>
        <v>45836</v>
      </c>
      <c r="I57" s="2" t="str">
        <f t="shared" si="4"/>
        <v>B-010FL/2025/06/28</v>
      </c>
      <c r="J57" s="2" t="str">
        <f t="shared" si="5"/>
        <v>Joko Susilo</v>
      </c>
      <c r="K57" s="5">
        <f t="shared" si="6"/>
        <v>11</v>
      </c>
      <c r="L57" s="11" t="str">
        <f t="shared" si="7"/>
        <v>JS</v>
      </c>
      <c r="M57" s="5" t="str">
        <f t="shared" si="8"/>
        <v>JS-28JUN2025</v>
      </c>
    </row>
    <row r="58" spans="1:13" ht="19.149999999999999" customHeight="1">
      <c r="A58" s="1">
        <v>11</v>
      </c>
      <c r="B58" s="1" t="s">
        <v>39</v>
      </c>
      <c r="C58" s="8" t="s">
        <v>21</v>
      </c>
      <c r="D58" s="9" t="str" cm="1">
        <f t="array" ref="D58">_xlfn.IFS(UPPER(LEFT(TRIM(B58),1))="B", "Biasa", UPPER(LEFT(TRIM(B58),1))="R", "Rahasia", TRUE, "Segera")</f>
        <v>Biasa</v>
      </c>
      <c r="E58" s="9" t="str">
        <f t="shared" si="0"/>
        <v>2025</v>
      </c>
      <c r="F58" s="9" t="str">
        <f t="shared" si="1"/>
        <v>08</v>
      </c>
      <c r="G58" s="9" t="str">
        <f t="shared" si="2"/>
        <v>29</v>
      </c>
      <c r="H58" s="10">
        <f t="shared" si="3"/>
        <v>45898</v>
      </c>
      <c r="I58" s="2" t="str">
        <f t="shared" si="4"/>
        <v>B-011FL/2025/08/29</v>
      </c>
      <c r="J58" s="2" t="str">
        <f t="shared" si="5"/>
        <v>Kartika Putri</v>
      </c>
      <c r="K58" s="5">
        <f t="shared" si="6"/>
        <v>13</v>
      </c>
      <c r="L58" s="11" t="str">
        <f t="shared" si="7"/>
        <v>KP</v>
      </c>
      <c r="M58" s="5" t="str">
        <f t="shared" si="8"/>
        <v>KP-29AGU2025</v>
      </c>
    </row>
    <row r="59" spans="1:13" ht="19.149999999999999" customHeight="1">
      <c r="A59" s="1">
        <v>12</v>
      </c>
      <c r="B59" s="1" t="s">
        <v>40</v>
      </c>
      <c r="C59" s="8" t="s">
        <v>22</v>
      </c>
      <c r="D59" s="9" t="str" cm="1">
        <f t="array" ref="D59">_xlfn.IFS(UPPER(LEFT(TRIM(B59),1))="B", "Biasa", UPPER(LEFT(TRIM(B59),1))="R", "Rahasia", TRUE, "Segera")</f>
        <v>Rahasia</v>
      </c>
      <c r="E59" s="9" t="str">
        <f t="shared" si="0"/>
        <v>2025</v>
      </c>
      <c r="F59" s="9" t="str">
        <f t="shared" si="1"/>
        <v>08</v>
      </c>
      <c r="G59" s="9" t="str">
        <f t="shared" si="2"/>
        <v>29</v>
      </c>
      <c r="H59" s="10">
        <f t="shared" si="3"/>
        <v>45898</v>
      </c>
      <c r="I59" s="2" t="str">
        <f t="shared" si="4"/>
        <v>R-012FL/2025/08/29</v>
      </c>
      <c r="J59" s="2" t="str">
        <f t="shared" si="5"/>
        <v>Lestari Ayu</v>
      </c>
      <c r="K59" s="5">
        <f t="shared" si="6"/>
        <v>11</v>
      </c>
      <c r="L59" s="11" t="str">
        <f t="shared" si="7"/>
        <v>LA</v>
      </c>
      <c r="M59" s="5" t="str">
        <f t="shared" si="8"/>
        <v>LA-29AGU2025</v>
      </c>
    </row>
    <row r="60" spans="1:13" ht="19.149999999999999" customHeight="1">
      <c r="A60" s="1">
        <v>13</v>
      </c>
      <c r="B60" s="1" t="s">
        <v>41</v>
      </c>
      <c r="C60" s="8" t="s">
        <v>23</v>
      </c>
      <c r="D60" s="9" t="str" cm="1">
        <f t="array" ref="D60">_xlfn.IFS(UPPER(LEFT(TRIM(B60),1))="B", "Biasa", UPPER(LEFT(TRIM(B60),1))="R", "Rahasia", TRUE, "Segera")</f>
        <v>Segera</v>
      </c>
      <c r="E60" s="9" t="str">
        <f t="shared" si="0"/>
        <v>2025</v>
      </c>
      <c r="F60" s="9" t="str">
        <f t="shared" si="1"/>
        <v>08</v>
      </c>
      <c r="G60" s="9" t="str">
        <f t="shared" si="2"/>
        <v>30</v>
      </c>
      <c r="H60" s="10">
        <f t="shared" si="3"/>
        <v>45899</v>
      </c>
      <c r="I60" s="2" t="str">
        <f t="shared" si="4"/>
        <v>S-013FL/2025/08/30</v>
      </c>
      <c r="J60" s="2" t="str">
        <f t="shared" si="5"/>
        <v>Muhammad Rizky</v>
      </c>
      <c r="K60" s="5">
        <f t="shared" si="6"/>
        <v>14</v>
      </c>
      <c r="L60" s="11" t="str">
        <f t="shared" si="7"/>
        <v>MR</v>
      </c>
      <c r="M60" s="5" t="str">
        <f t="shared" si="8"/>
        <v>MR-30AGU2025</v>
      </c>
    </row>
    <row r="61" spans="1:13" ht="19.149999999999999" customHeight="1">
      <c r="A61" s="1">
        <v>14</v>
      </c>
      <c r="B61" s="1" t="s">
        <v>42</v>
      </c>
      <c r="C61" s="8" t="s">
        <v>24</v>
      </c>
      <c r="D61" s="9" t="str" cm="1">
        <f t="array" ref="D61">_xlfn.IFS(UPPER(LEFT(TRIM(B61),1))="B", "Biasa", UPPER(LEFT(TRIM(B61),1))="R", "Rahasia", TRUE, "Segera")</f>
        <v>Segera</v>
      </c>
      <c r="E61" s="9" t="str">
        <f t="shared" si="0"/>
        <v>2025</v>
      </c>
      <c r="F61" s="9" t="str">
        <f t="shared" si="1"/>
        <v>11</v>
      </c>
      <c r="G61" s="9" t="str">
        <f t="shared" si="2"/>
        <v>30</v>
      </c>
      <c r="H61" s="10">
        <f t="shared" si="3"/>
        <v>45991</v>
      </c>
      <c r="I61" s="2" t="str">
        <f t="shared" si="4"/>
        <v>S-014FL/2025/11/30</v>
      </c>
      <c r="J61" s="2" t="str">
        <f t="shared" si="5"/>
        <v>Nadia Kusuma</v>
      </c>
      <c r="K61" s="5">
        <f t="shared" si="6"/>
        <v>12</v>
      </c>
      <c r="L61" s="11" t="str">
        <f t="shared" si="7"/>
        <v>NK</v>
      </c>
      <c r="M61" s="5" t="str">
        <f t="shared" si="8"/>
        <v>NK-30NOV2025</v>
      </c>
    </row>
    <row r="62" spans="1:13">
      <c r="B62" s="33" t="s">
        <v>82</v>
      </c>
      <c r="C62" s="33" t="s">
        <v>82</v>
      </c>
    </row>
    <row r="63" spans="1:13">
      <c r="B63" s="7"/>
    </row>
    <row r="64" spans="1:13">
      <c r="A64" s="59" t="s">
        <v>62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</sheetData>
  <mergeCells count="4">
    <mergeCell ref="A21:M21"/>
    <mergeCell ref="A41:M41"/>
    <mergeCell ref="A64:M64"/>
    <mergeCell ref="A19:B19"/>
  </mergeCells>
  <conditionalFormatting sqref="A46:M46">
    <cfRule type="expression" dxfId="1" priority="4">
      <formula>$A46=14</formula>
    </cfRule>
  </conditionalFormatting>
  <conditionalFormatting sqref="A48:M61">
    <cfRule type="expression" dxfId="0" priority="1">
      <formula>$A48=14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0F15-D7F0-436F-AE2C-02C711D34209}">
  <sheetPr codeName="Sheet3"/>
  <dimension ref="B1:P32"/>
  <sheetViews>
    <sheetView showGridLines="0" workbookViewId="0">
      <selection activeCell="N26" sqref="N26"/>
    </sheetView>
  </sheetViews>
  <sheetFormatPr defaultColWidth="8.85546875" defaultRowHeight="15"/>
  <cols>
    <col min="1" max="1" width="5.7109375" style="34" customWidth="1"/>
    <col min="2" max="2" width="10" style="34" customWidth="1"/>
    <col min="3" max="6" width="8.85546875" style="34"/>
    <col min="7" max="8" width="4.28515625" style="34" customWidth="1"/>
    <col min="9" max="9" width="8.85546875" style="34"/>
    <col min="10" max="10" width="10.42578125" style="34" customWidth="1"/>
    <col min="11" max="11" width="9.28515625" style="34" customWidth="1"/>
    <col min="12" max="13" width="8.85546875" style="34"/>
    <col min="14" max="14" width="26.42578125" style="34" customWidth="1"/>
    <col min="15" max="16384" width="8.85546875" style="34"/>
  </cols>
  <sheetData>
    <row r="1" spans="7:16">
      <c r="H1" s="35"/>
      <c r="I1" s="35"/>
      <c r="J1" s="35"/>
      <c r="K1" s="35"/>
      <c r="L1" s="35"/>
      <c r="M1" s="35"/>
      <c r="N1" s="35"/>
      <c r="O1" s="35"/>
      <c r="P1" s="35"/>
    </row>
    <row r="2" spans="7:16">
      <c r="H2" s="35"/>
      <c r="I2" s="35"/>
      <c r="J2" s="35"/>
      <c r="K2" s="35"/>
      <c r="L2" s="35"/>
      <c r="M2" s="35"/>
      <c r="N2" s="35"/>
      <c r="O2" s="35"/>
      <c r="P2" s="35"/>
    </row>
    <row r="3" spans="7:16">
      <c r="G3" s="36"/>
      <c r="H3" s="37"/>
      <c r="I3" s="35"/>
      <c r="J3" s="35"/>
      <c r="K3" s="35"/>
      <c r="L3" s="35"/>
      <c r="M3" s="35"/>
      <c r="N3" s="35"/>
      <c r="O3" s="35"/>
      <c r="P3" s="35"/>
    </row>
    <row r="4" spans="7:16">
      <c r="G4" s="36"/>
      <c r="H4" s="37"/>
      <c r="I4" s="35"/>
      <c r="J4" s="35"/>
      <c r="K4" s="35"/>
      <c r="L4" s="35"/>
      <c r="M4" s="35"/>
      <c r="N4" s="35"/>
      <c r="O4" s="35"/>
      <c r="P4" s="35"/>
    </row>
    <row r="5" spans="7:16">
      <c r="G5" s="36"/>
      <c r="H5" s="37"/>
      <c r="I5" s="35"/>
      <c r="J5" s="35"/>
      <c r="K5" s="35"/>
      <c r="L5" s="35"/>
      <c r="M5" s="35"/>
      <c r="N5" s="35"/>
      <c r="O5" s="35"/>
      <c r="P5" s="35"/>
    </row>
    <row r="6" spans="7:16">
      <c r="G6" s="36"/>
      <c r="H6" s="37"/>
      <c r="I6" s="35" t="s">
        <v>85</v>
      </c>
      <c r="J6" s="35"/>
      <c r="K6" s="35"/>
      <c r="L6" s="35"/>
      <c r="M6" s="35"/>
      <c r="N6" s="35"/>
      <c r="O6" s="35"/>
      <c r="P6" s="35"/>
    </row>
    <row r="7" spans="7:16">
      <c r="G7" s="36"/>
      <c r="H7" s="37"/>
      <c r="I7" s="35" t="s">
        <v>86</v>
      </c>
      <c r="J7" s="35"/>
      <c r="K7" s="35"/>
      <c r="L7" s="35"/>
      <c r="M7" s="35"/>
      <c r="N7" s="35"/>
      <c r="O7" s="35"/>
      <c r="P7" s="35"/>
    </row>
    <row r="8" spans="7:16">
      <c r="G8" s="36"/>
      <c r="H8" s="37"/>
      <c r="I8" s="35"/>
      <c r="J8" s="35"/>
      <c r="K8" s="35"/>
      <c r="L8" s="35"/>
      <c r="M8" s="35"/>
      <c r="N8" s="35"/>
      <c r="O8" s="35"/>
      <c r="P8" s="35"/>
    </row>
    <row r="9" spans="7:16">
      <c r="G9" s="36"/>
      <c r="H9" s="37"/>
      <c r="I9" s="35"/>
      <c r="J9" s="35"/>
      <c r="K9" s="35"/>
      <c r="L9" s="35"/>
      <c r="M9" s="35"/>
      <c r="N9" s="35"/>
      <c r="O9" s="35"/>
      <c r="P9" s="35"/>
    </row>
    <row r="10" spans="7:16">
      <c r="G10" s="36"/>
      <c r="H10" s="37"/>
      <c r="I10" s="35" t="s">
        <v>87</v>
      </c>
      <c r="J10" s="35"/>
      <c r="K10" s="35"/>
      <c r="L10" s="35"/>
      <c r="M10" s="35"/>
      <c r="N10" s="35"/>
      <c r="O10" s="35"/>
      <c r="P10" s="35"/>
    </row>
    <row r="11" spans="7:16">
      <c r="G11" s="36"/>
      <c r="H11" s="37"/>
      <c r="I11" s="35"/>
      <c r="J11" s="35"/>
      <c r="K11" s="35"/>
      <c r="L11" s="35"/>
      <c r="M11" s="35"/>
      <c r="N11" s="35"/>
      <c r="O11" s="35"/>
      <c r="P11" s="35"/>
    </row>
    <row r="12" spans="7:16">
      <c r="G12" s="36"/>
      <c r="H12" s="37"/>
      <c r="I12" s="38"/>
      <c r="J12" s="66" t="s">
        <v>88</v>
      </c>
      <c r="K12" s="66"/>
      <c r="L12" s="67" t="s">
        <v>89</v>
      </c>
      <c r="M12" s="67"/>
      <c r="N12" s="35"/>
      <c r="O12" s="35"/>
      <c r="P12" s="35"/>
    </row>
    <row r="13" spans="7:16">
      <c r="G13" s="36"/>
      <c r="H13" s="37"/>
      <c r="I13" s="38"/>
      <c r="J13" s="66" t="s">
        <v>90</v>
      </c>
      <c r="K13" s="66"/>
      <c r="L13" s="39" t="s">
        <v>91</v>
      </c>
      <c r="M13" s="39"/>
      <c r="N13" s="35"/>
      <c r="O13" s="35"/>
      <c r="P13" s="35"/>
    </row>
    <row r="14" spans="7:16">
      <c r="G14" s="36"/>
      <c r="H14" s="37"/>
      <c r="I14" s="38"/>
      <c r="J14" s="66" t="s">
        <v>92</v>
      </c>
      <c r="K14" s="66"/>
      <c r="L14" s="39" t="s">
        <v>93</v>
      </c>
      <c r="M14" s="40"/>
      <c r="N14" s="35"/>
      <c r="O14" s="35"/>
      <c r="P14" s="35"/>
    </row>
    <row r="15" spans="7:16">
      <c r="G15" s="36"/>
      <c r="H15" s="37"/>
      <c r="I15" s="38"/>
      <c r="J15" s="66" t="s">
        <v>94</v>
      </c>
      <c r="K15" s="66"/>
      <c r="L15" s="39" t="s">
        <v>95</v>
      </c>
      <c r="M15" s="40"/>
      <c r="N15" s="35"/>
      <c r="O15" s="35"/>
      <c r="P15" s="35"/>
    </row>
    <row r="16" spans="7:16">
      <c r="G16" s="36"/>
      <c r="H16" s="37"/>
      <c r="I16" s="38"/>
      <c r="J16" s="66" t="s">
        <v>96</v>
      </c>
      <c r="K16" s="66"/>
      <c r="L16" s="39" t="s">
        <v>97</v>
      </c>
      <c r="M16" s="40"/>
      <c r="N16" s="35"/>
      <c r="O16" s="35"/>
      <c r="P16" s="35"/>
    </row>
    <row r="17" spans="2:16" ht="54.6" customHeight="1">
      <c r="B17" s="61" t="s">
        <v>98</v>
      </c>
      <c r="C17" s="61"/>
      <c r="D17" s="61"/>
      <c r="E17" s="61"/>
      <c r="F17" s="62"/>
      <c r="G17" s="41"/>
      <c r="H17" s="37"/>
      <c r="I17" s="35" t="s">
        <v>99</v>
      </c>
      <c r="J17" s="35"/>
      <c r="K17" s="35"/>
      <c r="L17" s="35"/>
      <c r="M17" s="35"/>
      <c r="N17" s="35"/>
      <c r="O17" s="35"/>
      <c r="P17" s="35"/>
    </row>
    <row r="18" spans="2:16" ht="54.6" customHeight="1">
      <c r="B18" s="63" t="s">
        <v>100</v>
      </c>
      <c r="C18" s="63"/>
      <c r="D18" s="63"/>
      <c r="E18" s="63"/>
      <c r="F18" s="64"/>
      <c r="G18" s="42"/>
      <c r="H18" s="37"/>
      <c r="I18" s="43" t="s">
        <v>101</v>
      </c>
      <c r="J18" s="35"/>
      <c r="K18" s="35"/>
      <c r="L18" s="35"/>
      <c r="M18" s="35"/>
      <c r="N18" s="35"/>
      <c r="O18" s="35"/>
      <c r="P18" s="35"/>
    </row>
    <row r="19" spans="2:16">
      <c r="B19" s="44" t="s">
        <v>102</v>
      </c>
      <c r="H19" s="35"/>
      <c r="J19" s="35"/>
      <c r="K19" s="35"/>
      <c r="L19" s="35"/>
      <c r="M19" s="35"/>
      <c r="N19" s="35"/>
      <c r="O19" s="35"/>
      <c r="P19" s="35"/>
    </row>
    <row r="20" spans="2:16">
      <c r="B20" s="45" t="s">
        <v>103</v>
      </c>
      <c r="C20" s="46" t="s">
        <v>104</v>
      </c>
      <c r="H20" s="35"/>
      <c r="J20" s="35"/>
      <c r="K20" s="35"/>
      <c r="L20" s="35"/>
      <c r="M20" s="35"/>
      <c r="N20" s="35"/>
      <c r="O20" s="35"/>
      <c r="P20" s="35"/>
    </row>
    <row r="21" spans="2:16">
      <c r="B21" s="47" t="s">
        <v>105</v>
      </c>
      <c r="C21" s="46" t="s">
        <v>106</v>
      </c>
      <c r="H21" s="35"/>
      <c r="I21" s="35"/>
      <c r="J21" s="35"/>
      <c r="K21" s="35"/>
      <c r="L21" s="35"/>
      <c r="M21" s="35"/>
      <c r="N21" s="35"/>
      <c r="O21" s="35"/>
      <c r="P21" s="35"/>
    </row>
    <row r="22" spans="2:16">
      <c r="H22" s="35"/>
      <c r="I22" s="35"/>
      <c r="J22" s="35"/>
      <c r="K22" s="35"/>
      <c r="L22" s="35"/>
      <c r="M22" s="35"/>
      <c r="N22" s="35"/>
      <c r="O22" s="35"/>
      <c r="P22" s="35"/>
    </row>
    <row r="23" spans="2:16">
      <c r="N23" s="35"/>
      <c r="O23" s="35"/>
      <c r="P23" s="35"/>
    </row>
    <row r="24" spans="2:16">
      <c r="N24" s="35"/>
      <c r="O24" s="35"/>
      <c r="P24" s="35"/>
    </row>
    <row r="25" spans="2:16">
      <c r="B25" s="65"/>
      <c r="C25" s="59"/>
      <c r="D25" s="59"/>
      <c r="E25" s="59"/>
      <c r="F25" s="59"/>
      <c r="G25" s="59"/>
      <c r="H25" s="59"/>
      <c r="I25" s="59"/>
      <c r="N25" s="35"/>
      <c r="O25" s="35"/>
      <c r="P25" s="35"/>
    </row>
    <row r="26" spans="2:16">
      <c r="B26" s="48"/>
      <c r="C26" s="49"/>
      <c r="D26" s="48"/>
      <c r="E26" s="48"/>
      <c r="F26" s="48"/>
      <c r="G26" s="48"/>
      <c r="H26" s="48"/>
      <c r="I26" s="48"/>
    </row>
    <row r="27" spans="2:16">
      <c r="B27" s="48"/>
      <c r="C27" s="48"/>
      <c r="D27" s="50" t="s">
        <v>107</v>
      </c>
      <c r="E27" s="48"/>
      <c r="F27" s="48"/>
      <c r="G27" s="48"/>
      <c r="H27" s="48"/>
      <c r="I27" s="48"/>
    </row>
    <row r="28" spans="2:16">
      <c r="B28" s="48"/>
      <c r="C28" s="48"/>
      <c r="D28" s="51" t="s">
        <v>108</v>
      </c>
      <c r="E28" s="48"/>
      <c r="F28" s="48"/>
      <c r="G28" s="48"/>
      <c r="H28" s="48"/>
      <c r="I28" s="48"/>
    </row>
    <row r="29" spans="2:16">
      <c r="B29" s="48"/>
      <c r="C29" s="48"/>
      <c r="D29" s="52" t="s">
        <v>109</v>
      </c>
      <c r="E29" s="48"/>
      <c r="F29" s="48"/>
      <c r="G29" s="48"/>
      <c r="H29" s="48"/>
      <c r="I29" s="48"/>
    </row>
    <row r="30" spans="2:16">
      <c r="B30" s="48"/>
      <c r="C30" s="48"/>
      <c r="D30" s="48"/>
      <c r="E30" s="48"/>
      <c r="F30" s="48"/>
      <c r="G30" s="48"/>
      <c r="H30" s="48"/>
      <c r="I30" s="48"/>
    </row>
    <row r="31" spans="2:16">
      <c r="B31" s="48"/>
      <c r="C31" s="48"/>
      <c r="D31" s="48"/>
      <c r="E31" s="48"/>
      <c r="F31" s="48"/>
      <c r="G31" s="48"/>
      <c r="H31" s="48"/>
      <c r="I31" s="48"/>
    </row>
    <row r="32" spans="2:16">
      <c r="B32" s="65"/>
      <c r="C32" s="59"/>
      <c r="D32" s="59"/>
      <c r="E32" s="59"/>
      <c r="F32" s="59"/>
      <c r="G32" s="59"/>
      <c r="H32" s="59"/>
      <c r="I32" s="59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47C5967C-D763-4B12-B96A-E38EA799A240}"/>
    <hyperlink ref="C21" r:id="rId2" xr:uid="{282D6A46-2D69-484B-81C8-AE544BD2177A}"/>
    <hyperlink ref="C20" r:id="rId3" xr:uid="{36905D22-6B4D-4BD0-B10B-309E27329B27}"/>
    <hyperlink ref="D29" r:id="rId4" xr:uid="{A4EC8FEA-65C5-4A3B-BDD9-3341BD4675CA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C52-449A-4C54-8FAA-0387C21C6742}">
  <sheetPr codeName="Sheet2"/>
  <dimension ref="A1:X66"/>
  <sheetViews>
    <sheetView topLeftCell="A25" workbookViewId="0">
      <selection activeCell="O47" sqref="O47"/>
    </sheetView>
  </sheetViews>
  <sheetFormatPr defaultRowHeight="15"/>
  <cols>
    <col min="2" max="2" width="11.7109375" customWidth="1"/>
    <col min="3" max="3" width="11.42578125" customWidth="1"/>
    <col min="4" max="4" width="7.5703125" customWidth="1"/>
    <col min="5" max="5" width="7.140625" customWidth="1"/>
    <col min="6" max="6" width="7.42578125" customWidth="1"/>
    <col min="7" max="7" width="7.7109375" customWidth="1"/>
    <col min="8" max="8" width="18.28515625" customWidth="1"/>
    <col min="9" max="9" width="16.28515625" customWidth="1"/>
    <col min="10" max="10" width="10.140625" customWidth="1"/>
    <col min="11" max="11" width="13" customWidth="1"/>
    <col min="12" max="12" width="14.140625" bestFit="1" customWidth="1"/>
    <col min="15" max="15" width="73.140625" customWidth="1"/>
  </cols>
  <sheetData>
    <row r="1" spans="1:24">
      <c r="A1" t="s">
        <v>2</v>
      </c>
      <c r="B1">
        <v>1</v>
      </c>
      <c r="C1" s="6" t="str">
        <f>UPPER('XL-Test'!D48)</f>
        <v>BIASA</v>
      </c>
      <c r="D1" s="6" t="str">
        <f>'XL-Test'!E48</f>
        <v>2023</v>
      </c>
      <c r="E1" s="6" t="str">
        <f>'XL-Test'!F48</f>
        <v>08</v>
      </c>
      <c r="F1" s="6" t="str">
        <f>'XL-Test'!G48</f>
        <v>19</v>
      </c>
      <c r="G1" s="6">
        <f>'XL-Test'!H48</f>
        <v>45157</v>
      </c>
      <c r="H1" s="6" t="str">
        <f>'XL-Test'!I48</f>
        <v>B-001FL/2023/08/19</v>
      </c>
      <c r="I1" s="6" t="str">
        <f>'XL-Test'!J48</f>
        <v>Andi Saputra</v>
      </c>
      <c r="J1" s="6">
        <f>'XL-Test'!K48</f>
        <v>12</v>
      </c>
      <c r="K1" s="6" t="str">
        <f>'XL-Test'!L48</f>
        <v>AS</v>
      </c>
      <c r="L1" s="6" t="str">
        <f>'XL-Test'!M48</f>
        <v>AS-19AGU2023</v>
      </c>
      <c r="N1">
        <v>1</v>
      </c>
      <c r="O1" t="str">
        <f ca="1">_xlfn.FORMULATEXT('XL-Test'!D48)</f>
        <v>=IFS(UPPER(LEFT(TRIM(B48);1))="B"; "Biasa"; UPPER(LEFT(TRIM(B48);1))="R"; "Rahasia"; TRUE; "Segera")</v>
      </c>
      <c r="P1" t="str">
        <f ca="1">_xlfn.FORMULATEXT('XL-Test'!E48)</f>
        <v>=MID(TRIM(B48);7;4)</v>
      </c>
      <c r="Q1" t="str">
        <f ca="1">_xlfn.FORMULATEXT('XL-Test'!F48)</f>
        <v>=MID(TRIM(B48);12;2)</v>
      </c>
      <c r="R1" t="str">
        <f ca="1">_xlfn.FORMULATEXT('XL-Test'!G48)</f>
        <v>=RIGHT(TRIM(B48);2)</v>
      </c>
      <c r="S1" t="str">
        <f ca="1">_xlfn.FORMULATEXT('XL-Test'!H48)</f>
        <v>=DATE(E48;F48;G48)</v>
      </c>
      <c r="T1" t="str">
        <f ca="1">_xlfn.FORMULATEXT('XL-Test'!I48)</f>
        <v>=REPLACE(TRIM(B48);6;0;"FL")</v>
      </c>
      <c r="U1" t="str">
        <f ca="1">_xlfn.FORMULATEXT('XL-Test'!J48)</f>
        <v>=PROPER(TRIM(C48))</v>
      </c>
      <c r="V1" t="str">
        <f ca="1">_xlfn.FORMULATEXT('XL-Test'!K48)</f>
        <v>=LEN(J48)</v>
      </c>
      <c r="W1" t="str">
        <f ca="1">_xlfn.FORMULATEXT('XL-Test'!L48)</f>
        <v>=LEFT(J48;1)&amp;MID(J48;FIND(" ";J48;1)+1;1)</v>
      </c>
      <c r="X1" t="str">
        <f ca="1">_xlfn.FORMULATEXT('XL-Test'!M48)</f>
        <v>=L48&amp;"-"&amp;UPPER(TEXT(H48;"[$-id-ID]ddmmmyyyy"))</v>
      </c>
    </row>
    <row r="2" spans="1:24">
      <c r="A2" t="s">
        <v>81</v>
      </c>
      <c r="B2">
        <v>2</v>
      </c>
      <c r="C2" s="6" t="str">
        <f>UPPER('XL-Test'!D49)</f>
        <v>RAHASIA</v>
      </c>
      <c r="D2" s="6" t="str">
        <f>'XL-Test'!E49</f>
        <v>2023</v>
      </c>
      <c r="E2" s="6" t="str">
        <f>'XL-Test'!F49</f>
        <v>04</v>
      </c>
      <c r="F2" s="6" t="str">
        <f>'XL-Test'!G49</f>
        <v>20</v>
      </c>
      <c r="G2" s="6">
        <f>'XL-Test'!H49</f>
        <v>45036</v>
      </c>
      <c r="H2" s="6" t="str">
        <f>'XL-Test'!I49</f>
        <v>R-002FL/2023/04/20</v>
      </c>
      <c r="I2" s="6" t="str">
        <f>'XL-Test'!J49</f>
        <v>Budi Santoso</v>
      </c>
      <c r="J2" s="6">
        <f>'XL-Test'!K49</f>
        <v>12</v>
      </c>
      <c r="K2" s="6" t="str">
        <f>'XL-Test'!L49</f>
        <v>BS</v>
      </c>
      <c r="L2" s="6" t="str">
        <f>'XL-Test'!M49</f>
        <v>BS-20APR2023</v>
      </c>
      <c r="N2">
        <v>2</v>
      </c>
      <c r="O2" t="str">
        <f ca="1">_xlfn.FORMULATEXT('XL-Test'!E48)</f>
        <v>=MID(TRIM(B48);7;4)</v>
      </c>
    </row>
    <row r="3" spans="1:24">
      <c r="B3">
        <v>3</v>
      </c>
      <c r="C3" s="6" t="str">
        <f>UPPER('XL-Test'!D50)</f>
        <v>BIASA</v>
      </c>
      <c r="D3" s="6" t="str">
        <f>'XL-Test'!E50</f>
        <v>2024</v>
      </c>
      <c r="E3" s="6" t="str">
        <f>'XL-Test'!F50</f>
        <v>08</v>
      </c>
      <c r="F3" s="6" t="str">
        <f>'XL-Test'!G50</f>
        <v>21</v>
      </c>
      <c r="G3" s="6">
        <f>'XL-Test'!H50</f>
        <v>45525</v>
      </c>
      <c r="H3" s="6" t="str">
        <f>'XL-Test'!I50</f>
        <v>B-003FL/2024/08/21</v>
      </c>
      <c r="I3" s="6" t="str">
        <f>'XL-Test'!J50</f>
        <v>Citra Dewi</v>
      </c>
      <c r="J3" s="6">
        <f>'XL-Test'!K50</f>
        <v>10</v>
      </c>
      <c r="K3" s="6" t="str">
        <f>'XL-Test'!L50</f>
        <v>CD</v>
      </c>
      <c r="L3" s="6" t="str">
        <f>'XL-Test'!M50</f>
        <v>CD-21AGU2024</v>
      </c>
      <c r="N3">
        <v>3</v>
      </c>
      <c r="O3" t="str">
        <f ca="1">_xlfn.FORMULATEXT('XL-Test'!F48)</f>
        <v>=MID(TRIM(B48);12;2)</v>
      </c>
    </row>
    <row r="4" spans="1:24">
      <c r="B4">
        <v>4</v>
      </c>
      <c r="C4" s="6" t="str">
        <f>UPPER('XL-Test'!D51)</f>
        <v>BIASA</v>
      </c>
      <c r="D4" s="6" t="str">
        <f>'XL-Test'!E51</f>
        <v>2024</v>
      </c>
      <c r="E4" s="6" t="str">
        <f>'XL-Test'!F51</f>
        <v>08</v>
      </c>
      <c r="F4" s="6" t="str">
        <f>'XL-Test'!G51</f>
        <v>22</v>
      </c>
      <c r="G4" s="6">
        <f>'XL-Test'!H51</f>
        <v>45526</v>
      </c>
      <c r="H4" s="6" t="str">
        <f>'XL-Test'!I51</f>
        <v>B-004FL/2024/08/22</v>
      </c>
      <c r="I4" s="6" t="str">
        <f>'XL-Test'!J51</f>
        <v>Dian Prasetyo</v>
      </c>
      <c r="J4" s="6">
        <f>'XL-Test'!K51</f>
        <v>13</v>
      </c>
      <c r="K4" s="6" t="str">
        <f>'XL-Test'!L51</f>
        <v>DP</v>
      </c>
      <c r="L4" s="6" t="str">
        <f>'XL-Test'!M51</f>
        <v>DP-22AGU2024</v>
      </c>
      <c r="N4">
        <v>4</v>
      </c>
      <c r="O4" t="str">
        <f ca="1">_xlfn.FORMULATEXT('XL-Test'!G48)</f>
        <v>=RIGHT(TRIM(B48);2)</v>
      </c>
    </row>
    <row r="5" spans="1:24">
      <c r="B5">
        <v>5</v>
      </c>
      <c r="C5" s="6" t="str">
        <f>UPPER('XL-Test'!D52)</f>
        <v>SEGERA</v>
      </c>
      <c r="D5" s="6" t="str">
        <f>'XL-Test'!E52</f>
        <v>2024</v>
      </c>
      <c r="E5" s="6" t="str">
        <f>'XL-Test'!F52</f>
        <v>07</v>
      </c>
      <c r="F5" s="6" t="str">
        <f>'XL-Test'!G52</f>
        <v>23</v>
      </c>
      <c r="G5" s="6">
        <f>'XL-Test'!H52</f>
        <v>45496</v>
      </c>
      <c r="H5" s="6" t="str">
        <f>'XL-Test'!I52</f>
        <v>S-005FL/2024/07/23</v>
      </c>
      <c r="I5" s="6" t="str">
        <f>'XL-Test'!J52</f>
        <v>Eko Wahyudi</v>
      </c>
      <c r="J5" s="6">
        <f>'XL-Test'!K52</f>
        <v>11</v>
      </c>
      <c r="K5" s="6" t="str">
        <f>'XL-Test'!L52</f>
        <v>EW</v>
      </c>
      <c r="L5" s="6" t="str">
        <f>'XL-Test'!M52</f>
        <v>EW-23JUL2024</v>
      </c>
      <c r="N5">
        <v>5</v>
      </c>
      <c r="O5" t="str">
        <f ca="1">_xlfn.FORMULATEXT('XL-Test'!H48)</f>
        <v>=DATE(E48;F48;G48)</v>
      </c>
    </row>
    <row r="6" spans="1:24">
      <c r="B6">
        <v>6</v>
      </c>
      <c r="C6" s="6" t="str">
        <f>UPPER('XL-Test'!D53)</f>
        <v>BIASA</v>
      </c>
      <c r="D6" s="6" t="str">
        <f>'XL-Test'!E53</f>
        <v>2024</v>
      </c>
      <c r="E6" s="6" t="str">
        <f>'XL-Test'!F53</f>
        <v>08</v>
      </c>
      <c r="F6" s="6" t="str">
        <f>'XL-Test'!G53</f>
        <v>24</v>
      </c>
      <c r="G6" s="6">
        <f>'XL-Test'!H53</f>
        <v>45528</v>
      </c>
      <c r="H6" s="6" t="str">
        <f>'XL-Test'!I53</f>
        <v>B-006FL/2024/08/24</v>
      </c>
      <c r="I6" s="6" t="str">
        <f>'XL-Test'!J53</f>
        <v>Fitri Anjani</v>
      </c>
      <c r="J6" s="6">
        <f>'XL-Test'!K53</f>
        <v>12</v>
      </c>
      <c r="K6" s="6" t="str">
        <f>'XL-Test'!L53</f>
        <v>FA</v>
      </c>
      <c r="L6" s="6" t="str">
        <f>'XL-Test'!M53</f>
        <v>FA-24AGU2024</v>
      </c>
      <c r="N6">
        <v>6</v>
      </c>
      <c r="O6" t="str">
        <f ca="1">_xlfn.FORMULATEXT('XL-Test'!I48)</f>
        <v>=REPLACE(TRIM(B48);6;0;"FL")</v>
      </c>
    </row>
    <row r="7" spans="1:24">
      <c r="B7">
        <v>7</v>
      </c>
      <c r="C7" s="6" t="str">
        <f>UPPER('XL-Test'!D54)</f>
        <v>BIASA</v>
      </c>
      <c r="D7" s="6" t="str">
        <f>'XL-Test'!E54</f>
        <v>2024</v>
      </c>
      <c r="E7" s="6" t="str">
        <f>'XL-Test'!F54</f>
        <v>08</v>
      </c>
      <c r="F7" s="6" t="str">
        <f>'XL-Test'!G54</f>
        <v>25</v>
      </c>
      <c r="G7" s="6">
        <f>'XL-Test'!H54</f>
        <v>45529</v>
      </c>
      <c r="H7" s="6" t="str">
        <f>'XL-Test'!I54</f>
        <v>B-007FL/2024/08/25</v>
      </c>
      <c r="I7" s="6" t="str">
        <f>'XL-Test'!J54</f>
        <v>Galih Permana</v>
      </c>
      <c r="J7" s="6">
        <f>'XL-Test'!K54</f>
        <v>13</v>
      </c>
      <c r="K7" s="6" t="str">
        <f>'XL-Test'!L54</f>
        <v>GP</v>
      </c>
      <c r="L7" s="6" t="str">
        <f>'XL-Test'!M54</f>
        <v>GP-25AGU2024</v>
      </c>
      <c r="N7">
        <v>7</v>
      </c>
      <c r="O7" t="str">
        <f ca="1">_xlfn.FORMULATEXT('XL-Test'!J48)</f>
        <v>=PROPER(TRIM(C48))</v>
      </c>
    </row>
    <row r="8" spans="1:24">
      <c r="B8">
        <v>8</v>
      </c>
      <c r="C8" s="6" t="str">
        <f>UPPER('XL-Test'!D55)</f>
        <v>RAHASIA</v>
      </c>
      <c r="D8" s="6" t="str">
        <f>'XL-Test'!E55</f>
        <v>2024</v>
      </c>
      <c r="E8" s="6" t="str">
        <f>'XL-Test'!F55</f>
        <v>08</v>
      </c>
      <c r="F8" s="6" t="str">
        <f>'XL-Test'!G55</f>
        <v>02</v>
      </c>
      <c r="G8" s="6">
        <f>'XL-Test'!H55</f>
        <v>45506</v>
      </c>
      <c r="H8" s="6" t="str">
        <f>'XL-Test'!I55</f>
        <v>R-008FL/2024/08/02</v>
      </c>
      <c r="I8" s="6" t="str">
        <f>'XL-Test'!J55</f>
        <v>Hendra Gunawan</v>
      </c>
      <c r="J8" s="6">
        <f>'XL-Test'!K55</f>
        <v>14</v>
      </c>
      <c r="K8" s="6" t="str">
        <f>'XL-Test'!L55</f>
        <v>HG</v>
      </c>
      <c r="L8" s="6" t="str">
        <f>'XL-Test'!M55</f>
        <v>HG-02AGU2024</v>
      </c>
      <c r="N8">
        <v>8</v>
      </c>
      <c r="O8" t="str">
        <f ca="1">_xlfn.FORMULATEXT('XL-Test'!K48)</f>
        <v>=LEN(J48)</v>
      </c>
    </row>
    <row r="9" spans="1:24">
      <c r="B9">
        <v>9</v>
      </c>
      <c r="C9" s="6" t="str">
        <f>UPPER('XL-Test'!D56)</f>
        <v>SEGERA</v>
      </c>
      <c r="D9" s="6" t="str">
        <f>'XL-Test'!E56</f>
        <v>2024</v>
      </c>
      <c r="E9" s="6" t="str">
        <f>'XL-Test'!F56</f>
        <v>08</v>
      </c>
      <c r="F9" s="6" t="str">
        <f>'XL-Test'!G56</f>
        <v>27</v>
      </c>
      <c r="G9" s="6">
        <f>'XL-Test'!H56</f>
        <v>45531</v>
      </c>
      <c r="H9" s="6" t="str">
        <f>'XL-Test'!I56</f>
        <v>S-009FL/2024/08/27</v>
      </c>
      <c r="I9" s="6" t="str">
        <f>'XL-Test'!J56</f>
        <v>Indah Sari</v>
      </c>
      <c r="J9" s="6">
        <f>'XL-Test'!K56</f>
        <v>10</v>
      </c>
      <c r="K9" s="6" t="str">
        <f>'XL-Test'!L56</f>
        <v>IS</v>
      </c>
      <c r="L9" s="6" t="str">
        <f>'XL-Test'!M56</f>
        <v>IS-27AGU2024</v>
      </c>
      <c r="N9">
        <v>9</v>
      </c>
      <c r="O9" t="str">
        <f ca="1">_xlfn.FORMULATEXT('XL-Test'!L48)</f>
        <v>=LEFT(J48;1)&amp;MID(J48;FIND(" ";J48;1)+1;1)</v>
      </c>
    </row>
    <row r="10" spans="1:24">
      <c r="B10">
        <v>10</v>
      </c>
      <c r="C10" s="6" t="str">
        <f>UPPER('XL-Test'!D57)</f>
        <v>BIASA</v>
      </c>
      <c r="D10" s="6" t="str">
        <f>'XL-Test'!E57</f>
        <v>2025</v>
      </c>
      <c r="E10" s="6" t="str">
        <f>'XL-Test'!F57</f>
        <v>06</v>
      </c>
      <c r="F10" s="6" t="str">
        <f>'XL-Test'!G57</f>
        <v>28</v>
      </c>
      <c r="G10" s="6">
        <f>'XL-Test'!H57</f>
        <v>45836</v>
      </c>
      <c r="H10" s="6" t="str">
        <f>'XL-Test'!I57</f>
        <v>B-010FL/2025/06/28</v>
      </c>
      <c r="I10" s="6" t="str">
        <f>'XL-Test'!J57</f>
        <v>Joko Susilo</v>
      </c>
      <c r="J10" s="6">
        <f>'XL-Test'!K57</f>
        <v>11</v>
      </c>
      <c r="K10" s="6" t="str">
        <f>'XL-Test'!L57</f>
        <v>JS</v>
      </c>
      <c r="L10" s="6" t="str">
        <f>'XL-Test'!M57</f>
        <v>JS-28JUN2025</v>
      </c>
      <c r="N10">
        <v>10</v>
      </c>
      <c r="O10" t="str">
        <f ca="1">_xlfn.FORMULATEXT('XL-Test'!M48)</f>
        <v>=L48&amp;"-"&amp;UPPER(TEXT(H48;"[$-id-ID]ddmmmyyyy"))</v>
      </c>
    </row>
    <row r="11" spans="1:24">
      <c r="B11">
        <v>11</v>
      </c>
      <c r="C11" s="6" t="str">
        <f>UPPER('XL-Test'!D58)</f>
        <v>BIASA</v>
      </c>
      <c r="D11" s="6" t="str">
        <f>'XL-Test'!E58</f>
        <v>2025</v>
      </c>
      <c r="E11" s="6" t="str">
        <f>'XL-Test'!F58</f>
        <v>08</v>
      </c>
      <c r="F11" s="6" t="str">
        <f>'XL-Test'!G58</f>
        <v>29</v>
      </c>
      <c r="G11" s="6">
        <f>'XL-Test'!H58</f>
        <v>45898</v>
      </c>
      <c r="H11" s="6" t="str">
        <f>'XL-Test'!I58</f>
        <v>B-011FL/2025/08/29</v>
      </c>
      <c r="I11" s="6" t="str">
        <f>'XL-Test'!J58</f>
        <v>Kartika Putri</v>
      </c>
      <c r="J11" s="6">
        <f>'XL-Test'!K58</f>
        <v>13</v>
      </c>
      <c r="K11" s="6" t="str">
        <f>'XL-Test'!L58</f>
        <v>KP</v>
      </c>
      <c r="L11" s="6" t="str">
        <f>'XL-Test'!M58</f>
        <v>KP-29AGU2025</v>
      </c>
    </row>
    <row r="12" spans="1:24">
      <c r="B12">
        <v>12</v>
      </c>
      <c r="C12" s="6" t="str">
        <f>UPPER('XL-Test'!D59)</f>
        <v>RAHASIA</v>
      </c>
      <c r="D12" s="6" t="str">
        <f>'XL-Test'!E59</f>
        <v>2025</v>
      </c>
      <c r="E12" s="6" t="str">
        <f>'XL-Test'!F59</f>
        <v>08</v>
      </c>
      <c r="F12" s="6" t="str">
        <f>'XL-Test'!G59</f>
        <v>29</v>
      </c>
      <c r="G12" s="6">
        <f>'XL-Test'!H59</f>
        <v>45898</v>
      </c>
      <c r="H12" s="6" t="str">
        <f>'XL-Test'!I59</f>
        <v>R-012FL/2025/08/29</v>
      </c>
      <c r="I12" s="6" t="str">
        <f>'XL-Test'!J59</f>
        <v>Lestari Ayu</v>
      </c>
      <c r="J12" s="6">
        <f>'XL-Test'!K59</f>
        <v>11</v>
      </c>
      <c r="K12" s="6" t="str">
        <f>'XL-Test'!L59</f>
        <v>LA</v>
      </c>
      <c r="L12" s="6" t="str">
        <f>'XL-Test'!M59</f>
        <v>LA-29AGU2025</v>
      </c>
      <c r="O12">
        <v>1</v>
      </c>
      <c r="P12">
        <v>2</v>
      </c>
      <c r="Q12">
        <v>3</v>
      </c>
      <c r="R12">
        <v>4</v>
      </c>
      <c r="S12">
        <v>5</v>
      </c>
      <c r="T12">
        <v>6</v>
      </c>
      <c r="U12">
        <v>7</v>
      </c>
      <c r="V12">
        <v>8</v>
      </c>
      <c r="W12">
        <v>9</v>
      </c>
      <c r="X12">
        <v>10</v>
      </c>
    </row>
    <row r="13" spans="1:24">
      <c r="B13">
        <v>13</v>
      </c>
      <c r="C13" s="6" t="str">
        <f>UPPER('XL-Test'!D60)</f>
        <v>SEGERA</v>
      </c>
      <c r="D13" s="6" t="str">
        <f>'XL-Test'!E60</f>
        <v>2025</v>
      </c>
      <c r="E13" s="6" t="str">
        <f>'XL-Test'!F60</f>
        <v>08</v>
      </c>
      <c r="F13" s="6" t="str">
        <f>'XL-Test'!G60</f>
        <v>30</v>
      </c>
      <c r="G13" s="6">
        <f>'XL-Test'!H60</f>
        <v>45899</v>
      </c>
      <c r="H13" s="6" t="str">
        <f>'XL-Test'!I60</f>
        <v>S-013FL/2025/08/30</v>
      </c>
      <c r="I13" s="6" t="str">
        <f>'XL-Test'!J60</f>
        <v>Muhammad Rizky</v>
      </c>
      <c r="J13" s="6">
        <f>'XL-Test'!K60</f>
        <v>14</v>
      </c>
      <c r="K13" s="6" t="str">
        <f>'XL-Test'!L60</f>
        <v>MR</v>
      </c>
      <c r="L13" s="6" t="str">
        <f>'XL-Test'!M60</f>
        <v>MR-30AGU2025</v>
      </c>
    </row>
    <row r="14" spans="1:24">
      <c r="B14">
        <v>14</v>
      </c>
      <c r="C14" s="6" t="str">
        <f>UPPER('XL-Test'!D61)</f>
        <v>SEGERA</v>
      </c>
      <c r="D14" s="6" t="str">
        <f>'XL-Test'!E61</f>
        <v>2025</v>
      </c>
      <c r="E14" s="6" t="str">
        <f>'XL-Test'!F61</f>
        <v>11</v>
      </c>
      <c r="F14" s="6" t="str">
        <f>'XL-Test'!G61</f>
        <v>30</v>
      </c>
      <c r="G14" s="6">
        <f>'XL-Test'!H61</f>
        <v>45991</v>
      </c>
      <c r="H14" s="6" t="str">
        <f>'XL-Test'!I61</f>
        <v>S-014FL/2025/11/30</v>
      </c>
      <c r="I14" s="6" t="str">
        <f>'XL-Test'!J61</f>
        <v>Nadia Kusuma</v>
      </c>
      <c r="J14" s="6">
        <f>'XL-Test'!K61</f>
        <v>12</v>
      </c>
      <c r="K14" s="6" t="str">
        <f>'XL-Test'!L61</f>
        <v>NK</v>
      </c>
      <c r="L14" s="6" t="str">
        <f>'XL-Test'!M61</f>
        <v>NK-30NOV2025</v>
      </c>
    </row>
    <row r="17" spans="1:12">
      <c r="B17" t="s">
        <v>37</v>
      </c>
      <c r="C17" s="6">
        <f>CODE(LEFT(C1))+CODE(LEFT(C2))+CODE(LEFT(C3))+CODE(LEFT(C4))+CODE(LEFT(C5))+CODE(LEFT(C6))+CODE(LEFT(C7))+CODE(LEFT(C8))+CODE(LEFT(C9))+CODE(LEFT(C10))+CODE(LEFT(C11))+CODE(LEFT(C12))+CODE(LEFT(C13))+CODE(LEFT(C14))
+CODE(MID(C1,2,1))+CODE(MID(C2,2,1))+CODE(MID(C3,2,1))+CODE(MID(C4,2,1))+CODE(MID(C5,2,1))+CODE(MID(C6,2,1))+CODE(MID(C7,2,1))+CODE(MID(C8,2,1))+CODE(MID(C9,2,1))+CODE(MID(C10,2,1))+CODE(MID(C11,2,1))+CODE(MID(C12,2,1))+CODE(MID(C13,2,1))+CODE(MID(C14,2,1))</f>
        <v>2022</v>
      </c>
      <c r="D17" s="6">
        <f>D1+D2+D3+D4+D5+D6+D7+D8+D9+D10+D11+D12+D13+D14+D3+D10+D1</f>
        <v>34411</v>
      </c>
      <c r="E17" s="6">
        <f>(E1+E2+E3+E4+E5+E6+E7+E8+E9+E10+E11+E12+E13+E14+E3+E10+E1)*45</f>
        <v>5850</v>
      </c>
      <c r="F17" s="6">
        <f>(F1+F2+F3+F4+F5+F6+F7+F8+F9+F10+F11+F12+F13+F14+F3+F10+F1)*15</f>
        <v>5955</v>
      </c>
      <c r="G17" s="6">
        <f>SUM(G1:G14)+G1+G4+G7+G9+G12</f>
        <v>865997</v>
      </c>
      <c r="H17" s="6">
        <f>CODE(LEFT(H1))+CODE(LEFT(H2))+CODE(LEFT(H3))+CODE(LEFT(H4))+CODE(LEFT(H5))+CODE(LEFT(H6))+CODE(LEFT(H7))+CODE(LEFT(H8))+CODE(LEFT(H9))+CODE(LEFT(H10))+CODE(LEFT(H11))+CODE(LEFT(H12))+CODE(LEFT(H13))+CODE(LEFT(H14))
+CODE(MID(H1,2,1))+CODE(MID(H2,2,1))+CODE(MID(H3,2,1))+CODE(MID(H4,2,1))+CODE(MID(H5,2,1))+CODE(MID(H6,2,1))+CODE(MID(H7,2,1))+CODE(MID(H8,2,1))+CODE(MID(H9,2,1))+CODE(MID(H10,2,1))+CODE(MID(H11,2,1))+CODE(MID(H12,2,1))+CODE(MID(H13,2,1))+CODE(MID(H14,2,1))
+CODE(RIGHT(H1))+CODE(RIGHT(H2))+CODE(RIGHT(H3))+CODE(RIGHT(H4))+CODE(RIGHT(H5))+CODE(RIGHT(H6))+CODE(RIGHT(H7))+CODE(RIGHT(H8))+CODE(RIGHT(H9))+CODE(RIGHT(H10))+CODE(RIGHT(H11))+CODE(RIGHT(H12))+CODE(RIGHT(H13))+CODE(RIGHT(H14))
+CODE(MID(H1,7,1))+CODE(MID(H2,7,1))+CODE(MID(H3,7,1))+CODE(MID(H4,7,1))+CODE(MID(H5,7,1))+CODE(MID(H6,7,1))+CODE(MID(H7,7,1))+CODE(MID(H8,7,1))+CODE(MID(H9,7,1))+CODE(MID(H10,7,1))+CODE(MID(H11,7,1))+CODE(MID(H12,7,1))+CODE(MID(H13,7,1))+CODE(MID(H14,7,1))
+CODE(MID(H1,6,1))+CODE(MID(H2,6,1))+CODE(MID(H3,6,1))+CODE(MID(H4,6,1))+CODE(MID(H5,6,1))+CODE(MID(H6,6,1))+CODE(MID(H7,6,1))+CODE(MID(H8,6,1))+CODE(MID(H9,6,1))+CODE(MID(H10,6,1))+CODE(MID(H11,6,1))+CODE(MID(H12,6,1))+CODE(MID(H13,8,1))+CODE(MID(H14,8,1))</f>
        <v>4399</v>
      </c>
      <c r="I17" s="6">
        <f>CODE(LEFT(I1))+CODE(LEFT(I2))+CODE(LEFT(I3))+CODE(LEFT(I4))+CODE(LEFT(I5))+CODE(LEFT(I6))+CODE(LEFT(I7))+CODE(LEFT(I8))+CODE(LEFT(I9))+CODE(LEFT(I10))+CODE(LEFT(I11))+CODE(LEFT(I12))+CODE(LEFT(I13))+CODE(LEFT(I14))
+CODE(MID(I1,2,1))+CODE(MID(I2,2,1))+CODE(MID(I3,2,1))+CODE(MID(I4,2,1))+CODE(MID(I5,2,1))+CODE(MID(I6,2,1))+CODE(MID(I7,2,1))+CODE(MID(I8,2,1))+CODE(MID(I9,2,1))+CODE(MID(I10,2,1))+CODE(MID(I11,2,1))+CODE(MID(I12,2,1))+CODE(MID(I13,2,1))+CODE(MID(I14,2,1))
+CODE(RIGHT(I1))+CODE(RIGHT(I2))+CODE(RIGHT(I3))+CODE(RIGHT(I4))+CODE(RIGHT(I5))+CODE(RIGHT(I6))+CODE(RIGHT(I7))+CODE(RIGHT(I8))+CODE(RIGHT(I9))+CODE(RIGHT(I10))+CODE(RIGHT(I11))+CODE(RIGHT(I12))+CODE(RIGHT(I13))+CODE(RIGHT(I14))
+CODE(MID(I1,6,1))+CODE(MID(I2,6,1))+CODE(MID(I3,7,1))+CODE(MID(I4,6,1))+CODE(MID(I5,5,1))+CODE(MID(I6,7,1))+CODE(MID(I7,7,1))+CODE(MID(I8,8,1))+CODE(MID(I9,7,1))+CODE(MID(I10,6,1))+CODE(MID(I11,10,1))+CODE(MID(I12,9,1))+CODE(MID(I13,11,1))+CODE(MID(I14,7,1))</f>
        <v>5123</v>
      </c>
      <c r="J17" s="6">
        <f>(J1+J2+J3+J4+J5+J6+J7+J8+J9+J10+J11+J12+J13+J14+J3+J10+J1)*35</f>
        <v>7035</v>
      </c>
      <c r="K17" s="6">
        <f>CODE(LEFT(K1))+CODE(LEFT(K2))+CODE(LEFT(K3))+CODE(LEFT(K4))+CODE(LEFT(K5))+CODE(LEFT(K6))+CODE(LEFT(K7))+CODE(LEFT(K8))+CODE(LEFT(K9))+CODE(LEFT(K10))+CODE(LEFT(K11))+CODE(LEFT(K12))+CODE(LEFT(K13))+CODE(LEFT(K14))
+CODE(MID(K1,2,1))+CODE(MID(K2,2,1))+CODE(MID(K3,2,1))+CODE(MID(K4,2,1))+CODE(MID(K5,2,1))+CODE(MID(K6,2,1))+CODE(MID(K7,2,1))+CODE(MID(K8,2,1))+CODE(MID(K9,2,1))+CODE(MID(K10,2,1))+CODE(MID(K11,2,1))+CODE(MID(K12,2,1))+CODE(MID(K13,2,1))+CODE(MID(K14,2,1))</f>
        <v>2086</v>
      </c>
      <c r="L17" s="6">
        <f>CODE(LEFT(L1))+CODE(LEFT(L2))+CODE(LEFT(L3))+CODE(LEFT(L4))+CODE(LEFT(L5))+CODE(LEFT(L6))+CODE(LEFT(L7))+CODE(LEFT(L8))+CODE(LEFT(L9))+CODE(LEFT(L10))+CODE(LEFT(L11))+CODE(LEFT(L12))+CODE(LEFT(L13))+CODE(LEFT(L14))
+CODE(MID(L1,2,1))+CODE(MID(L2,2,1))+CODE(MID(L3,2,1))+CODE(MID(L4,2,1))+CODE(MID(L5,2,1))+CODE(MID(L6,2,1))+CODE(MID(L7,2,1))+CODE(MID(L8,2,1))+CODE(MID(L9,2,1))+CODE(MID(L10,2,1))+CODE(MID(L11,2,1))+CODE(MID(L12,2,1))+CODE(MID(L13,2,1))+CODE(MID(L14,2,1))
+CODE(RIGHT(L1))+CODE(RIGHT(L2))+CODE(RIGHT(L3))+CODE(RIGHT(L4))+CODE(RIGHT(L5))+CODE(RIGHT(L6))+CODE(RIGHT(L7))+CODE(RIGHT(L8))+CODE(RIGHT(L9))+CODE(RIGHT(L10))+CODE(RIGHT(L11))+CODE(RIGHT(L12))+CODE(RIGHT(L13))+CODE(RIGHT(L14))
+CODE(MID(L1,7,1))+CODE(MID(L2,7,1))+CODE(MID(L3,7,1))+CODE(MID(L4,7,1))+CODE(MID(L5,7,1))+CODE(MID(L6,7,1))+CODE(MID(L7,7,1))+CODE(MID(L8,7,1))+CODE(MID(L9,7,1))+CODE(MID(L10,7,1))+CODE(MID(L11,7,1))+CODE(MID(L12,7,1))+CODE(MID(L13,7,1))+CODE(MID(L14,7,1))
+CODE(MID(L1,8,1))+CODE(MID(L2,8,1))+CODE(MID(L3,8,1))+CODE(MID(L4,8,1))+CODE(MID(L5,8,1))+CODE(MID(L6,8,1))+CODE(MID(L7,8,1))+CODE(MID(L8,8,1))+CODE(MID(L9,8,1))+CODE(MID(L10,8,1))+CODE(MID(L11,8,1))+CODE(MID(L12,8,1))+CODE(MID(L13,8,1))+CODE(MID(L14,8,1))+CODE(MID(L14,3,1))+CODE(MID(L13,3,1))+CODE(MID(L10,3,1))+CODE(MID(L2,3,1))+CODE(MID(L5,3,1))</f>
        <v>5253</v>
      </c>
    </row>
    <row r="19" spans="1:12">
      <c r="B19" t="s">
        <v>3</v>
      </c>
      <c r="C19">
        <v>1736</v>
      </c>
      <c r="D19">
        <v>2545</v>
      </c>
      <c r="E19">
        <v>2064</v>
      </c>
      <c r="F19">
        <v>5862</v>
      </c>
      <c r="G19">
        <v>8495</v>
      </c>
      <c r="H19">
        <v>7763</v>
      </c>
      <c r="I19">
        <v>3888</v>
      </c>
      <c r="J19">
        <v>4375</v>
      </c>
      <c r="K19">
        <v>7893</v>
      </c>
      <c r="L19">
        <v>8797</v>
      </c>
    </row>
    <row r="20" spans="1:12">
      <c r="A20" t="s">
        <v>55</v>
      </c>
      <c r="B20" t="s">
        <v>54</v>
      </c>
      <c r="C20" s="6" t="str">
        <f ca="1">IFERROR(DEC2HEX(IF(AND(C25:C27),C17,C19)),"EEE")</f>
        <v>7E6</v>
      </c>
      <c r="D20" s="6" t="str">
        <f t="shared" ref="D20:L20" ca="1" si="0">IFERROR(DEC2HEX(IF(AND(D25:D27),D17,D19)),"EEE")</f>
        <v>866B</v>
      </c>
      <c r="E20" s="6" t="str">
        <f t="shared" ca="1" si="0"/>
        <v>16DA</v>
      </c>
      <c r="F20" s="6" t="str">
        <f t="shared" ca="1" si="0"/>
        <v>1743</v>
      </c>
      <c r="G20" s="6" t="str">
        <f t="shared" ca="1" si="0"/>
        <v>D36CD</v>
      </c>
      <c r="H20" s="6" t="str">
        <f t="shared" ca="1" si="0"/>
        <v>112F</v>
      </c>
      <c r="I20" s="6" t="str">
        <f t="shared" ca="1" si="0"/>
        <v>1403</v>
      </c>
      <c r="J20" s="6" t="str">
        <f t="shared" ca="1" si="0"/>
        <v>1B7B</v>
      </c>
      <c r="K20" s="6" t="str">
        <f t="shared" ca="1" si="0"/>
        <v>826</v>
      </c>
      <c r="L20" s="6" t="str">
        <f t="shared" ca="1" si="0"/>
        <v>1485</v>
      </c>
    </row>
    <row r="22" spans="1:12">
      <c r="B22" t="b">
        <v>1</v>
      </c>
      <c r="C22" t="str">
        <f>DEC2HEX(LEFT(C19,2)+IFERROR(LEFT(C17),COLUMN()))</f>
        <v>13</v>
      </c>
      <c r="D22" t="str">
        <f t="shared" ref="D22:L22" si="1">DEC2HEX(LEFT(D19,2)+IFERROR(LEFT(D17),COLUMN()))</f>
        <v>1C</v>
      </c>
      <c r="E22" t="str">
        <f t="shared" si="1"/>
        <v>19</v>
      </c>
      <c r="F22" t="str">
        <f t="shared" si="1"/>
        <v>3F</v>
      </c>
      <c r="G22" t="str">
        <f t="shared" si="1"/>
        <v>5C</v>
      </c>
      <c r="H22" t="str">
        <f t="shared" si="1"/>
        <v>51</v>
      </c>
      <c r="I22" t="str">
        <f t="shared" si="1"/>
        <v>2B</v>
      </c>
      <c r="J22" t="str">
        <f t="shared" si="1"/>
        <v>32</v>
      </c>
      <c r="K22" t="str">
        <f t="shared" si="1"/>
        <v>50</v>
      </c>
      <c r="L22" t="str">
        <f t="shared" si="1"/>
        <v>5C</v>
      </c>
    </row>
    <row r="23" spans="1:12">
      <c r="B23" t="b">
        <v>0</v>
      </c>
      <c r="C23" t="str">
        <f>DEC2HEX(RIGHT(C19,2)+IFERROR(RIGHT(C17),COLUMN()))</f>
        <v>26</v>
      </c>
      <c r="D23" t="str">
        <f t="shared" ref="D23:L23" si="2">DEC2HEX(RIGHT(D19,2)+IFERROR(RIGHT(D17),COLUMN()))</f>
        <v>2E</v>
      </c>
      <c r="E23" t="str">
        <f t="shared" si="2"/>
        <v>40</v>
      </c>
      <c r="F23" t="str">
        <f t="shared" si="2"/>
        <v>43</v>
      </c>
      <c r="G23" t="str">
        <f t="shared" si="2"/>
        <v>66</v>
      </c>
      <c r="H23" t="str">
        <f t="shared" si="2"/>
        <v>48</v>
      </c>
      <c r="I23" t="str">
        <f t="shared" si="2"/>
        <v>5B</v>
      </c>
      <c r="J23" t="str">
        <f t="shared" si="2"/>
        <v>50</v>
      </c>
      <c r="K23" t="str">
        <f t="shared" si="2"/>
        <v>63</v>
      </c>
      <c r="L23" t="str">
        <f t="shared" si="2"/>
        <v>64</v>
      </c>
    </row>
    <row r="25" spans="1:12">
      <c r="B25" t="s">
        <v>52</v>
      </c>
      <c r="C25" t="b">
        <f>NOT(OR(C1=0,C1=""))</f>
        <v>1</v>
      </c>
      <c r="D25" t="b">
        <f t="shared" ref="D25:L25" si="3">NOT(OR(D1=0,D1=""))</f>
        <v>1</v>
      </c>
      <c r="E25" t="b">
        <f t="shared" si="3"/>
        <v>1</v>
      </c>
      <c r="F25" t="b">
        <f t="shared" si="3"/>
        <v>1</v>
      </c>
      <c r="G25" t="b">
        <f t="shared" si="3"/>
        <v>1</v>
      </c>
      <c r="H25" t="b">
        <f t="shared" si="3"/>
        <v>1</v>
      </c>
      <c r="I25" t="b">
        <f t="shared" si="3"/>
        <v>1</v>
      </c>
      <c r="J25" t="b">
        <f t="shared" si="3"/>
        <v>1</v>
      </c>
      <c r="K25" t="b">
        <f t="shared" si="3"/>
        <v>1</v>
      </c>
      <c r="L25" t="b">
        <f t="shared" si="3"/>
        <v>1</v>
      </c>
    </row>
    <row r="26" spans="1:12">
      <c r="B26" t="s">
        <v>53</v>
      </c>
      <c r="C26" t="b">
        <f ca="1">C66</f>
        <v>1</v>
      </c>
      <c r="D26" t="b">
        <f t="shared" ref="D26:L26" ca="1" si="4">D66</f>
        <v>1</v>
      </c>
      <c r="E26" t="b">
        <f t="shared" ca="1" si="4"/>
        <v>1</v>
      </c>
      <c r="F26" t="b">
        <f t="shared" ca="1" si="4"/>
        <v>1</v>
      </c>
      <c r="G26" t="b">
        <f t="shared" ca="1" si="4"/>
        <v>1</v>
      </c>
      <c r="H26" t="b">
        <f t="shared" ca="1" si="4"/>
        <v>1</v>
      </c>
      <c r="I26" t="b">
        <f t="shared" ca="1" si="4"/>
        <v>1</v>
      </c>
      <c r="J26" t="b">
        <f t="shared" ca="1" si="4"/>
        <v>1</v>
      </c>
      <c r="K26" t="b">
        <f t="shared" ca="1" si="4"/>
        <v>1</v>
      </c>
      <c r="L26" t="b">
        <f t="shared" ca="1" si="4"/>
        <v>1</v>
      </c>
    </row>
    <row r="27" spans="1:12">
      <c r="B27" t="s">
        <v>45</v>
      </c>
      <c r="C27" t="b">
        <f t="shared" ref="C27:L27" ca="1" si="5">AND(ISNUMBER(FIND("=",O1)),ISNUMBER(FIND("(",O1)),C40)</f>
        <v>1</v>
      </c>
      <c r="D27" t="b">
        <f t="shared" ca="1" si="5"/>
        <v>1</v>
      </c>
      <c r="E27" t="b">
        <f t="shared" ca="1" si="5"/>
        <v>1</v>
      </c>
      <c r="F27" t="b">
        <f t="shared" ca="1" si="5"/>
        <v>1</v>
      </c>
      <c r="G27" t="b">
        <f t="shared" ca="1" si="5"/>
        <v>1</v>
      </c>
      <c r="H27" t="b">
        <f t="shared" ca="1" si="5"/>
        <v>1</v>
      </c>
      <c r="I27" t="b">
        <f t="shared" ca="1" si="5"/>
        <v>1</v>
      </c>
      <c r="J27" t="b">
        <f t="shared" ca="1" si="5"/>
        <v>1</v>
      </c>
      <c r="K27" t="b">
        <f t="shared" ca="1" si="5"/>
        <v>1</v>
      </c>
      <c r="L27" t="b">
        <f t="shared" ca="1" si="5"/>
        <v>1</v>
      </c>
    </row>
    <row r="29" spans="1:12">
      <c r="B29" t="s">
        <v>46</v>
      </c>
      <c r="C29" t="b">
        <f ca="1">OR(AND(ISNUMBER(FIND("RIM",SUBSTITUTE(O1,"$",""))),ISNUMBER(FIND("EFT",SUBSTITUTE(O1,"$",""))),ISNUMBER(FIND("IF",SUBSTITUTE(O1,"$","")))),AND(ISNUMBER(FIND("SW",SUBSTITUTE(O1,"$",""))),ISNUMBER(FIND("RIM",SUBSTITUTE(O1,"$","")))))</f>
        <v>1</v>
      </c>
      <c r="D29" t="b">
        <f ca="1">AND(ISNUMBER(FIND("TR",SUBSTITUTE(O2,"$",""))),ISNUMBER(FIND("ID",SUBSTITUTE(O2,"$",""))))</f>
        <v>1</v>
      </c>
      <c r="E29" t="b">
        <f ca="1">AND(ISNUMBER(FIND("TR",SUBSTITUTE(O3,"$",""))),ISNUMBER(FIND("ID",SUBSTITUTE(O3,"$",""))))</f>
        <v>1</v>
      </c>
      <c r="F29" t="b">
        <f ca="1">AND(ISNUMBER(FIND("TR",SUBSTITUTE(O4,"$",""))),ISNUMBER(FIND("GH",SUBSTITUTE(O4,"$",""))))</f>
        <v>1</v>
      </c>
      <c r="G29" t="b">
        <f ca="1">OR(ISNUMBER(FIND("ATE",SUBSTITUTE(O5,"$",""))),ISNUMBER(FIND("VAL",SUBSTITUTE(O5,"$",""))))</f>
        <v>1</v>
      </c>
      <c r="H29" t="b">
        <f ca="1">AND(ISNUMBER(FIND("PLA",SUBSTITUTE(O6,"$",""))),ISNUMBER(FIND("TR",SUBSTITUTE(O6,"$",""))))</f>
        <v>1</v>
      </c>
      <c r="I29" t="b">
        <f ca="1">AND(ISNUMBER(FIND("OP",SUBSTITUTE(O7,"$",""))),ISNUMBER(FIND("TR",SUBSTITUTE(O7,"$",""))))</f>
        <v>1</v>
      </c>
      <c r="J29" t="b">
        <f ca="1">AND(ISNUMBER(FIND("EN",SUBSTITUTE(O8,"$",""))),ISNUMBER(FIND("LE",SUBSTITUTE(O8,"$",""))))</f>
        <v>1</v>
      </c>
      <c r="K29" t="b">
        <f ca="1">OR(AND(ISNUMBER(FIND("EFT",SUBSTITUTE(O9,"$",""))),ISNUMBER(FIND("IND",SUBSTITUTE(O9,"$","")))),AND(ISNUMBER(FIND("EFT",SUBSTITUTE(O9,"$",""))),ISNUMBER(FIND("SP",SUBSTITUTE(O9,"$","")))))</f>
        <v>1</v>
      </c>
      <c r="L29" t="b">
        <f ca="1">AND(ISNUMBER(FIND("EXT",SUBSTITUTE(O10,"$",""))),OR(ISNUMBER(FIND("&amp;",SUBSTITUTE(O10,"$",""))),ISNUMBER(FIND("ON",SUBSTITUTE(O10,"$","")))))</f>
        <v>1</v>
      </c>
    </row>
    <row r="31" spans="1:12">
      <c r="B31" t="s">
        <v>4</v>
      </c>
      <c r="C31" t="str">
        <f ca="1">IF(AND(C29,C38),C22,C23)&amp;"-"&amp;C20&amp;";"</f>
        <v>13-7E6;</v>
      </c>
      <c r="D31" t="str">
        <f t="shared" ref="D31:K31" ca="1" si="6">IF(AND(D29,D38),D22,D23)&amp;"-"&amp;D20&amp;";"</f>
        <v>1C-866B;</v>
      </c>
      <c r="E31" t="str">
        <f t="shared" ca="1" si="6"/>
        <v>19-16DA;</v>
      </c>
      <c r="F31" t="str">
        <f t="shared" ca="1" si="6"/>
        <v>3F-1743;</v>
      </c>
      <c r="G31" t="str">
        <f t="shared" ca="1" si="6"/>
        <v>5C-D36CD;</v>
      </c>
      <c r="H31" t="str">
        <f t="shared" ca="1" si="6"/>
        <v>51-112F;</v>
      </c>
      <c r="I31" t="str">
        <f t="shared" ca="1" si="6"/>
        <v>2B-1403;</v>
      </c>
      <c r="J31" t="str">
        <f t="shared" ca="1" si="6"/>
        <v>32-1B7B;</v>
      </c>
      <c r="K31" t="str">
        <f t="shared" ca="1" si="6"/>
        <v>50-826;</v>
      </c>
      <c r="L31" t="str">
        <f ca="1">IF(AND(L29,L38),L22,L23)&amp;"-"&amp;L20</f>
        <v>5C-1485</v>
      </c>
    </row>
    <row r="33" spans="1:16">
      <c r="B33">
        <f>CODE(LEFT('XL-Test'!B49))</f>
        <v>32</v>
      </c>
      <c r="C33" t="str">
        <f ca="1">IF(AND(B33=32,B34=32),A2&amp;"|"&amp;C31&amp;D31&amp;E31&amp;F31&amp;G31&amp;H31&amp;I31&amp;J31&amp;K31&amp;L31,"Data Soal berubah!Silahkan kembalikan seperti semula")</f>
        <v>EJ5|13-7E6;1C-866B;19-16DA;3F-1743;5C-D36CD;51-112F;2B-1403;32-1B7B;50-826;5C-1485</v>
      </c>
      <c r="O33" t="s">
        <v>79</v>
      </c>
      <c r="P33" t="s">
        <v>80</v>
      </c>
    </row>
    <row r="34" spans="1:16">
      <c r="B34">
        <f>CODE(LEFT('XL-Test'!C48))</f>
        <v>32</v>
      </c>
    </row>
    <row r="35" spans="1:16"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</row>
    <row r="36" spans="1:16">
      <c r="B36" t="s">
        <v>33</v>
      </c>
      <c r="C36">
        <f t="shared" ref="C36:L36" ca="1" si="7">IFERROR(LEN(O1)-LEN(SUBSTITUTE(O1,"(","")),99)</f>
        <v>7</v>
      </c>
      <c r="D36">
        <f t="shared" ca="1" si="7"/>
        <v>2</v>
      </c>
      <c r="E36">
        <f t="shared" ca="1" si="7"/>
        <v>2</v>
      </c>
      <c r="F36">
        <f t="shared" ca="1" si="7"/>
        <v>2</v>
      </c>
      <c r="G36">
        <f t="shared" ca="1" si="7"/>
        <v>1</v>
      </c>
      <c r="H36">
        <f t="shared" ca="1" si="7"/>
        <v>2</v>
      </c>
      <c r="I36">
        <f t="shared" ca="1" si="7"/>
        <v>2</v>
      </c>
      <c r="J36">
        <f t="shared" ca="1" si="7"/>
        <v>1</v>
      </c>
      <c r="K36">
        <f t="shared" ca="1" si="7"/>
        <v>3</v>
      </c>
      <c r="L36">
        <f t="shared" ca="1" si="7"/>
        <v>2</v>
      </c>
      <c r="O36" t="str">
        <f ca="1">C33</f>
        <v>EJ5|13-7E6;1C-866B;19-16DA;3F-1743;5C-D36CD;51-112F;2B-1403;32-1B7B;50-826;5C-1485</v>
      </c>
    </row>
    <row r="37" spans="1:16">
      <c r="B37" t="s">
        <v>34</v>
      </c>
      <c r="C37">
        <v>9</v>
      </c>
      <c r="D37">
        <v>2</v>
      </c>
      <c r="E37">
        <v>2</v>
      </c>
      <c r="F37">
        <v>2</v>
      </c>
      <c r="G37">
        <v>1</v>
      </c>
      <c r="H37">
        <v>2</v>
      </c>
      <c r="I37">
        <v>2</v>
      </c>
      <c r="J37">
        <v>2</v>
      </c>
      <c r="K37">
        <v>3</v>
      </c>
      <c r="L37">
        <v>2</v>
      </c>
    </row>
    <row r="38" spans="1:16">
      <c r="B38" t="s">
        <v>36</v>
      </c>
      <c r="C38" t="b">
        <f ca="1">(C36&lt;=C37)</f>
        <v>1</v>
      </c>
      <c r="D38" t="b">
        <f t="shared" ref="D38:L38" ca="1" si="8">(D36&lt;=D37)</f>
        <v>1</v>
      </c>
      <c r="E38" t="b">
        <f t="shared" ca="1" si="8"/>
        <v>1</v>
      </c>
      <c r="F38" t="b">
        <f t="shared" ca="1" si="8"/>
        <v>1</v>
      </c>
      <c r="G38" t="b">
        <f t="shared" ca="1" si="8"/>
        <v>1</v>
      </c>
      <c r="H38" t="b">
        <f t="shared" ca="1" si="8"/>
        <v>1</v>
      </c>
      <c r="I38" t="b">
        <f t="shared" ca="1" si="8"/>
        <v>1</v>
      </c>
      <c r="J38" t="b">
        <f t="shared" ca="1" si="8"/>
        <v>1</v>
      </c>
      <c r="K38" t="b">
        <f t="shared" ca="1" si="8"/>
        <v>1</v>
      </c>
      <c r="L38" t="b">
        <f t="shared" ca="1" si="8"/>
        <v>1</v>
      </c>
    </row>
    <row r="40" spans="1:16">
      <c r="B40" t="s">
        <v>35</v>
      </c>
      <c r="C40" t="b">
        <f ca="1">AND(ISNUMBER(FIND("TRI",O1)),ISTEXT(C1))</f>
        <v>1</v>
      </c>
      <c r="D40" t="b">
        <f ca="1">ISNUMBER(FIND("TRI",P1))</f>
        <v>1</v>
      </c>
      <c r="E40" t="b">
        <f ca="1">ISNUMBER(FIND("TRI",Q1))</f>
        <v>1</v>
      </c>
      <c r="F40" t="b">
        <f ca="1">ISNUMBER(FIND("TRI",R1))</f>
        <v>1</v>
      </c>
      <c r="G40" t="b">
        <f>ISNUMBER(G1)</f>
        <v>1</v>
      </c>
      <c r="H40" t="b">
        <f ca="1">ISNUMBER(FIND("TRI",T1))</f>
        <v>1</v>
      </c>
      <c r="I40" t="b">
        <f ca="1">ISNUMBER(FIND("TRI",U1))</f>
        <v>1</v>
      </c>
      <c r="J40" t="b">
        <f>ISNUMBER(J1)</f>
        <v>1</v>
      </c>
      <c r="K40" t="b">
        <f>ISTEXT(K1)</f>
        <v>1</v>
      </c>
      <c r="L40" t="b">
        <v>1</v>
      </c>
      <c r="O40" t="str" cm="1">
        <f t="array" aca="1" ref="O40" ca="1">INDIRECT(O33&amp;P33)</f>
        <v>EJ5|13-7E6;1C-866B;19-16DA;3F-1743;5C-D36CD;51-112F;2B-1403;32-1B7B;50-826;5C-1485</v>
      </c>
    </row>
    <row r="41" spans="1:16">
      <c r="B41" t="s">
        <v>36</v>
      </c>
    </row>
    <row r="43" spans="1:16">
      <c r="A43">
        <v>7</v>
      </c>
      <c r="B43">
        <v>1</v>
      </c>
      <c r="C43">
        <f ca="1">IFERROR(LEN(_xlfn.FORMULATEXT('XL-Test'!D48)),0)</f>
        <v>100</v>
      </c>
      <c r="D43">
        <f ca="1">IFERROR(LEN(_xlfn.FORMULATEXT('XL-Test'!E48)),0)</f>
        <v>19</v>
      </c>
      <c r="E43">
        <f ca="1">IFERROR(LEN(_xlfn.FORMULATEXT('XL-Test'!F48)),0)</f>
        <v>20</v>
      </c>
      <c r="F43">
        <f ca="1">IFERROR(LEN(_xlfn.FORMULATEXT('XL-Test'!G48)),0)</f>
        <v>19</v>
      </c>
      <c r="G43">
        <f ca="1">IFERROR(LEN(_xlfn.FORMULATEXT('XL-Test'!H48)),0)</f>
        <v>18</v>
      </c>
      <c r="H43">
        <f ca="1">IFERROR(LEN(_xlfn.FORMULATEXT('XL-Test'!I48)),0)</f>
        <v>28</v>
      </c>
      <c r="I43">
        <f ca="1">IFERROR(LEN(_xlfn.FORMULATEXT('XL-Test'!J48)),0)</f>
        <v>18</v>
      </c>
      <c r="J43">
        <f ca="1">IFERROR(LEN(_xlfn.FORMULATEXT('XL-Test'!K48)),0)</f>
        <v>9</v>
      </c>
      <c r="K43">
        <f ca="1">IFERROR(LEN(_xlfn.FORMULATEXT('XL-Test'!L48)),0)</f>
        <v>41</v>
      </c>
      <c r="L43">
        <f ca="1">IFERROR(LEN(_xlfn.FORMULATEXT('XL-Test'!M48)),0)</f>
        <v>46</v>
      </c>
    </row>
    <row r="44" spans="1:16">
      <c r="A44">
        <v>8</v>
      </c>
      <c r="B44">
        <v>2</v>
      </c>
      <c r="C44">
        <f ca="1">IFERROR(LEN(_xlfn.FORMULATEXT('XL-Test'!D49)),0)</f>
        <v>100</v>
      </c>
      <c r="D44">
        <f ca="1">IFERROR(LEN(_xlfn.FORMULATEXT('XL-Test'!E49)),0)</f>
        <v>19</v>
      </c>
      <c r="E44">
        <f ca="1">IFERROR(LEN(_xlfn.FORMULATEXT('XL-Test'!F49)),0)</f>
        <v>20</v>
      </c>
      <c r="F44">
        <f ca="1">IFERROR(LEN(_xlfn.FORMULATEXT('XL-Test'!G49)),0)</f>
        <v>19</v>
      </c>
      <c r="G44">
        <f ca="1">IFERROR(LEN(_xlfn.FORMULATEXT('XL-Test'!H49)),0)</f>
        <v>18</v>
      </c>
      <c r="H44">
        <f ca="1">IFERROR(LEN(_xlfn.FORMULATEXT('XL-Test'!I49)),0)</f>
        <v>28</v>
      </c>
      <c r="I44">
        <f ca="1">IFERROR(LEN(_xlfn.FORMULATEXT('XL-Test'!J49)),0)</f>
        <v>18</v>
      </c>
      <c r="J44">
        <f ca="1">IFERROR(LEN(_xlfn.FORMULATEXT('XL-Test'!K49)),0)</f>
        <v>9</v>
      </c>
      <c r="K44">
        <f ca="1">IFERROR(LEN(_xlfn.FORMULATEXT('XL-Test'!L49)),0)</f>
        <v>41</v>
      </c>
      <c r="L44">
        <f ca="1">IFERROR(LEN(_xlfn.FORMULATEXT('XL-Test'!M49)),0)</f>
        <v>46</v>
      </c>
    </row>
    <row r="45" spans="1:16">
      <c r="A45">
        <v>9</v>
      </c>
      <c r="B45">
        <v>3</v>
      </c>
      <c r="C45">
        <f ca="1">IFERROR(LEN(_xlfn.FORMULATEXT('XL-Test'!D50)),0)</f>
        <v>100</v>
      </c>
      <c r="D45">
        <f ca="1">IFERROR(LEN(_xlfn.FORMULATEXT('XL-Test'!E50)),0)</f>
        <v>19</v>
      </c>
      <c r="E45">
        <f ca="1">IFERROR(LEN(_xlfn.FORMULATEXT('XL-Test'!F50)),0)</f>
        <v>20</v>
      </c>
      <c r="F45">
        <f ca="1">IFERROR(LEN(_xlfn.FORMULATEXT('XL-Test'!G50)),0)</f>
        <v>19</v>
      </c>
      <c r="G45">
        <f ca="1">IFERROR(LEN(_xlfn.FORMULATEXT('XL-Test'!H50)),0)</f>
        <v>18</v>
      </c>
      <c r="H45">
        <f ca="1">IFERROR(LEN(_xlfn.FORMULATEXT('XL-Test'!I50)),0)</f>
        <v>28</v>
      </c>
      <c r="I45">
        <f ca="1">IFERROR(LEN(_xlfn.FORMULATEXT('XL-Test'!J50)),0)</f>
        <v>18</v>
      </c>
      <c r="J45">
        <f ca="1">IFERROR(LEN(_xlfn.FORMULATEXT('XL-Test'!K50)),0)</f>
        <v>9</v>
      </c>
      <c r="K45">
        <f ca="1">IFERROR(LEN(_xlfn.FORMULATEXT('XL-Test'!L50)),0)</f>
        <v>41</v>
      </c>
      <c r="L45">
        <f ca="1">IFERROR(LEN(_xlfn.FORMULATEXT('XL-Test'!M50)),0)</f>
        <v>46</v>
      </c>
    </row>
    <row r="46" spans="1:16">
      <c r="A46">
        <v>10</v>
      </c>
      <c r="B46">
        <v>4</v>
      </c>
      <c r="C46">
        <f ca="1">IFERROR(LEN(_xlfn.FORMULATEXT('XL-Test'!D51)),0)</f>
        <v>100</v>
      </c>
      <c r="D46">
        <f ca="1">IFERROR(LEN(_xlfn.FORMULATEXT('XL-Test'!E51)),0)</f>
        <v>19</v>
      </c>
      <c r="E46">
        <f ca="1">IFERROR(LEN(_xlfn.FORMULATEXT('XL-Test'!F51)),0)</f>
        <v>20</v>
      </c>
      <c r="F46">
        <f ca="1">IFERROR(LEN(_xlfn.FORMULATEXT('XL-Test'!G51)),0)</f>
        <v>19</v>
      </c>
      <c r="G46">
        <f ca="1">IFERROR(LEN(_xlfn.FORMULATEXT('XL-Test'!H51)),0)</f>
        <v>18</v>
      </c>
      <c r="H46">
        <f ca="1">IFERROR(LEN(_xlfn.FORMULATEXT('XL-Test'!I51)),0)</f>
        <v>28</v>
      </c>
      <c r="I46">
        <f ca="1">IFERROR(LEN(_xlfn.FORMULATEXT('XL-Test'!J51)),0)</f>
        <v>18</v>
      </c>
      <c r="J46">
        <f ca="1">IFERROR(LEN(_xlfn.FORMULATEXT('XL-Test'!K51)),0)</f>
        <v>9</v>
      </c>
      <c r="K46">
        <f ca="1">IFERROR(LEN(_xlfn.FORMULATEXT('XL-Test'!L51)),0)</f>
        <v>41</v>
      </c>
      <c r="L46">
        <f ca="1">IFERROR(LEN(_xlfn.FORMULATEXT('XL-Test'!M51)),0)</f>
        <v>46</v>
      </c>
    </row>
    <row r="47" spans="1:16">
      <c r="A47">
        <v>11</v>
      </c>
      <c r="B47">
        <v>5</v>
      </c>
      <c r="C47">
        <f ca="1">IFERROR(LEN(_xlfn.FORMULATEXT('XL-Test'!D52)),0)</f>
        <v>100</v>
      </c>
      <c r="D47">
        <f ca="1">IFERROR(LEN(_xlfn.FORMULATEXT('XL-Test'!E52)),0)</f>
        <v>19</v>
      </c>
      <c r="E47">
        <f ca="1">IFERROR(LEN(_xlfn.FORMULATEXT('XL-Test'!F52)),0)</f>
        <v>20</v>
      </c>
      <c r="F47">
        <f ca="1">IFERROR(LEN(_xlfn.FORMULATEXT('XL-Test'!G52)),0)</f>
        <v>19</v>
      </c>
      <c r="G47">
        <f ca="1">IFERROR(LEN(_xlfn.FORMULATEXT('XL-Test'!H52)),0)</f>
        <v>18</v>
      </c>
      <c r="H47">
        <f ca="1">IFERROR(LEN(_xlfn.FORMULATEXT('XL-Test'!I52)),0)</f>
        <v>28</v>
      </c>
      <c r="I47">
        <f ca="1">IFERROR(LEN(_xlfn.FORMULATEXT('XL-Test'!J52)),0)</f>
        <v>18</v>
      </c>
      <c r="J47">
        <f ca="1">IFERROR(LEN(_xlfn.FORMULATEXT('XL-Test'!K52)),0)</f>
        <v>9</v>
      </c>
      <c r="K47">
        <f ca="1">IFERROR(LEN(_xlfn.FORMULATEXT('XL-Test'!L52)),0)</f>
        <v>41</v>
      </c>
      <c r="L47">
        <f ca="1">IFERROR(LEN(_xlfn.FORMULATEXT('XL-Test'!M52)),0)</f>
        <v>46</v>
      </c>
    </row>
    <row r="48" spans="1:16">
      <c r="A48">
        <v>12</v>
      </c>
      <c r="B48">
        <v>6</v>
      </c>
      <c r="C48">
        <f ca="1">IFERROR(LEN(_xlfn.FORMULATEXT('XL-Test'!D53)),0)</f>
        <v>100</v>
      </c>
      <c r="D48">
        <f ca="1">IFERROR(LEN(_xlfn.FORMULATEXT('XL-Test'!E53)),0)</f>
        <v>19</v>
      </c>
      <c r="E48">
        <f ca="1">IFERROR(LEN(_xlfn.FORMULATEXT('XL-Test'!F53)),0)</f>
        <v>20</v>
      </c>
      <c r="F48">
        <f ca="1">IFERROR(LEN(_xlfn.FORMULATEXT('XL-Test'!G53)),0)</f>
        <v>19</v>
      </c>
      <c r="G48">
        <f ca="1">IFERROR(LEN(_xlfn.FORMULATEXT('XL-Test'!H53)),0)</f>
        <v>18</v>
      </c>
      <c r="H48">
        <f ca="1">IFERROR(LEN(_xlfn.FORMULATEXT('XL-Test'!I53)),0)</f>
        <v>28</v>
      </c>
      <c r="I48">
        <f ca="1">IFERROR(LEN(_xlfn.FORMULATEXT('XL-Test'!J53)),0)</f>
        <v>18</v>
      </c>
      <c r="J48">
        <f ca="1">IFERROR(LEN(_xlfn.FORMULATEXT('XL-Test'!K53)),0)</f>
        <v>9</v>
      </c>
      <c r="K48">
        <f ca="1">IFERROR(LEN(_xlfn.FORMULATEXT('XL-Test'!L53)),0)</f>
        <v>41</v>
      </c>
      <c r="L48">
        <f ca="1">IFERROR(LEN(_xlfn.FORMULATEXT('XL-Test'!M53)),0)</f>
        <v>46</v>
      </c>
    </row>
    <row r="49" spans="1:12">
      <c r="A49">
        <v>13</v>
      </c>
      <c r="B49">
        <v>7</v>
      </c>
      <c r="C49">
        <f ca="1">IFERROR(LEN(_xlfn.FORMULATEXT('XL-Test'!D54)),0)</f>
        <v>100</v>
      </c>
      <c r="D49">
        <f ca="1">IFERROR(LEN(_xlfn.FORMULATEXT('XL-Test'!E54)),0)</f>
        <v>19</v>
      </c>
      <c r="E49">
        <f ca="1">IFERROR(LEN(_xlfn.FORMULATEXT('XL-Test'!F54)),0)</f>
        <v>20</v>
      </c>
      <c r="F49">
        <f ca="1">IFERROR(LEN(_xlfn.FORMULATEXT('XL-Test'!G54)),0)</f>
        <v>19</v>
      </c>
      <c r="G49">
        <f ca="1">IFERROR(LEN(_xlfn.FORMULATEXT('XL-Test'!H54)),0)</f>
        <v>18</v>
      </c>
      <c r="H49">
        <f ca="1">IFERROR(LEN(_xlfn.FORMULATEXT('XL-Test'!I54)),0)</f>
        <v>28</v>
      </c>
      <c r="I49">
        <f ca="1">IFERROR(LEN(_xlfn.FORMULATEXT('XL-Test'!J54)),0)</f>
        <v>18</v>
      </c>
      <c r="J49">
        <f ca="1">IFERROR(LEN(_xlfn.FORMULATEXT('XL-Test'!K54)),0)</f>
        <v>9</v>
      </c>
      <c r="K49">
        <f ca="1">IFERROR(LEN(_xlfn.FORMULATEXT('XL-Test'!L54)),0)</f>
        <v>41</v>
      </c>
      <c r="L49">
        <f ca="1">IFERROR(LEN(_xlfn.FORMULATEXT('XL-Test'!M54)),0)</f>
        <v>46</v>
      </c>
    </row>
    <row r="50" spans="1:12">
      <c r="A50">
        <v>14</v>
      </c>
      <c r="B50">
        <v>8</v>
      </c>
      <c r="C50">
        <f ca="1">IFERROR(LEN(_xlfn.FORMULATEXT('XL-Test'!D55)),0)</f>
        <v>100</v>
      </c>
      <c r="D50">
        <f ca="1">IFERROR(LEN(_xlfn.FORMULATEXT('XL-Test'!E55)),0)</f>
        <v>19</v>
      </c>
      <c r="E50">
        <f ca="1">IFERROR(LEN(_xlfn.FORMULATEXT('XL-Test'!F55)),0)</f>
        <v>20</v>
      </c>
      <c r="F50">
        <f ca="1">IFERROR(LEN(_xlfn.FORMULATEXT('XL-Test'!G55)),0)</f>
        <v>19</v>
      </c>
      <c r="G50">
        <f ca="1">IFERROR(LEN(_xlfn.FORMULATEXT('XL-Test'!H55)),0)</f>
        <v>18</v>
      </c>
      <c r="H50">
        <f ca="1">IFERROR(LEN(_xlfn.FORMULATEXT('XL-Test'!I55)),0)</f>
        <v>28</v>
      </c>
      <c r="I50">
        <f ca="1">IFERROR(LEN(_xlfn.FORMULATEXT('XL-Test'!J55)),0)</f>
        <v>18</v>
      </c>
      <c r="J50">
        <f ca="1">IFERROR(LEN(_xlfn.FORMULATEXT('XL-Test'!K55)),0)</f>
        <v>9</v>
      </c>
      <c r="K50">
        <f ca="1">IFERROR(LEN(_xlfn.FORMULATEXT('XL-Test'!L55)),0)</f>
        <v>41</v>
      </c>
      <c r="L50">
        <f ca="1">IFERROR(LEN(_xlfn.FORMULATEXT('XL-Test'!M55)),0)</f>
        <v>46</v>
      </c>
    </row>
    <row r="51" spans="1:12">
      <c r="A51">
        <v>15</v>
      </c>
      <c r="B51">
        <v>9</v>
      </c>
      <c r="C51">
        <f ca="1">IFERROR(LEN(_xlfn.FORMULATEXT('XL-Test'!D56)),0)</f>
        <v>100</v>
      </c>
      <c r="D51">
        <f ca="1">IFERROR(LEN(_xlfn.FORMULATEXT('XL-Test'!E56)),0)</f>
        <v>19</v>
      </c>
      <c r="E51">
        <f ca="1">IFERROR(LEN(_xlfn.FORMULATEXT('XL-Test'!F56)),0)</f>
        <v>20</v>
      </c>
      <c r="F51">
        <f ca="1">IFERROR(LEN(_xlfn.FORMULATEXT('XL-Test'!G56)),0)</f>
        <v>19</v>
      </c>
      <c r="G51">
        <f ca="1">IFERROR(LEN(_xlfn.FORMULATEXT('XL-Test'!H56)),0)</f>
        <v>18</v>
      </c>
      <c r="H51">
        <f ca="1">IFERROR(LEN(_xlfn.FORMULATEXT('XL-Test'!I56)),0)</f>
        <v>28</v>
      </c>
      <c r="I51">
        <f ca="1">IFERROR(LEN(_xlfn.FORMULATEXT('XL-Test'!J56)),0)</f>
        <v>18</v>
      </c>
      <c r="J51">
        <f ca="1">IFERROR(LEN(_xlfn.FORMULATEXT('XL-Test'!K56)),0)</f>
        <v>9</v>
      </c>
      <c r="K51">
        <f ca="1">IFERROR(LEN(_xlfn.FORMULATEXT('XL-Test'!L56)),0)</f>
        <v>41</v>
      </c>
      <c r="L51">
        <f ca="1">IFERROR(LEN(_xlfn.FORMULATEXT('XL-Test'!M56)),0)</f>
        <v>46</v>
      </c>
    </row>
    <row r="52" spans="1:12">
      <c r="A52">
        <v>16</v>
      </c>
      <c r="B52">
        <v>10</v>
      </c>
      <c r="C52">
        <f ca="1">IFERROR(LEN(_xlfn.FORMULATEXT('XL-Test'!D57)),0)</f>
        <v>100</v>
      </c>
      <c r="D52">
        <f ca="1">IFERROR(LEN(_xlfn.FORMULATEXT('XL-Test'!E57)),0)</f>
        <v>19</v>
      </c>
      <c r="E52">
        <f ca="1">IFERROR(LEN(_xlfn.FORMULATEXT('XL-Test'!F57)),0)</f>
        <v>20</v>
      </c>
      <c r="F52">
        <f ca="1">IFERROR(LEN(_xlfn.FORMULATEXT('XL-Test'!G57)),0)</f>
        <v>19</v>
      </c>
      <c r="G52">
        <f ca="1">IFERROR(LEN(_xlfn.FORMULATEXT('XL-Test'!H57)),0)</f>
        <v>18</v>
      </c>
      <c r="H52">
        <f ca="1">IFERROR(LEN(_xlfn.FORMULATEXT('XL-Test'!I57)),0)</f>
        <v>28</v>
      </c>
      <c r="I52">
        <f ca="1">IFERROR(LEN(_xlfn.FORMULATEXT('XL-Test'!J57)),0)</f>
        <v>18</v>
      </c>
      <c r="J52">
        <f ca="1">IFERROR(LEN(_xlfn.FORMULATEXT('XL-Test'!K57)),0)</f>
        <v>9</v>
      </c>
      <c r="K52">
        <f ca="1">IFERROR(LEN(_xlfn.FORMULATEXT('XL-Test'!L57)),0)</f>
        <v>41</v>
      </c>
      <c r="L52">
        <f ca="1">IFERROR(LEN(_xlfn.FORMULATEXT('XL-Test'!M57)),0)</f>
        <v>46</v>
      </c>
    </row>
    <row r="53" spans="1:12">
      <c r="A53">
        <v>17</v>
      </c>
      <c r="B53">
        <v>11</v>
      </c>
      <c r="C53">
        <f ca="1">IFERROR(LEN(_xlfn.FORMULATEXT('XL-Test'!D58)),0)</f>
        <v>100</v>
      </c>
      <c r="D53">
        <f ca="1">IFERROR(LEN(_xlfn.FORMULATEXT('XL-Test'!E58)),0)</f>
        <v>19</v>
      </c>
      <c r="E53">
        <f ca="1">IFERROR(LEN(_xlfn.FORMULATEXT('XL-Test'!F58)),0)</f>
        <v>20</v>
      </c>
      <c r="F53">
        <f ca="1">IFERROR(LEN(_xlfn.FORMULATEXT('XL-Test'!G58)),0)</f>
        <v>19</v>
      </c>
      <c r="G53">
        <f ca="1">IFERROR(LEN(_xlfn.FORMULATEXT('XL-Test'!H58)),0)</f>
        <v>18</v>
      </c>
      <c r="H53">
        <f ca="1">IFERROR(LEN(_xlfn.FORMULATEXT('XL-Test'!I58)),0)</f>
        <v>28</v>
      </c>
      <c r="I53">
        <f ca="1">IFERROR(LEN(_xlfn.FORMULATEXT('XL-Test'!J58)),0)</f>
        <v>18</v>
      </c>
      <c r="J53">
        <f ca="1">IFERROR(LEN(_xlfn.FORMULATEXT('XL-Test'!K58)),0)</f>
        <v>9</v>
      </c>
      <c r="K53">
        <f ca="1">IFERROR(LEN(_xlfn.FORMULATEXT('XL-Test'!L58)),0)</f>
        <v>41</v>
      </c>
      <c r="L53">
        <f ca="1">IFERROR(LEN(_xlfn.FORMULATEXT('XL-Test'!M58)),0)</f>
        <v>46</v>
      </c>
    </row>
    <row r="54" spans="1:12">
      <c r="A54">
        <v>18</v>
      </c>
      <c r="B54">
        <v>12</v>
      </c>
      <c r="C54">
        <f ca="1">IFERROR(LEN(_xlfn.FORMULATEXT('XL-Test'!D59)),0)</f>
        <v>100</v>
      </c>
      <c r="D54">
        <f ca="1">IFERROR(LEN(_xlfn.FORMULATEXT('XL-Test'!E59)),0)</f>
        <v>19</v>
      </c>
      <c r="E54">
        <f ca="1">IFERROR(LEN(_xlfn.FORMULATEXT('XL-Test'!F59)),0)</f>
        <v>20</v>
      </c>
      <c r="F54">
        <f ca="1">IFERROR(LEN(_xlfn.FORMULATEXT('XL-Test'!G59)),0)</f>
        <v>19</v>
      </c>
      <c r="G54">
        <f ca="1">IFERROR(LEN(_xlfn.FORMULATEXT('XL-Test'!H59)),0)</f>
        <v>18</v>
      </c>
      <c r="H54">
        <f ca="1">IFERROR(LEN(_xlfn.FORMULATEXT('XL-Test'!I59)),0)</f>
        <v>28</v>
      </c>
      <c r="I54">
        <f ca="1">IFERROR(LEN(_xlfn.FORMULATEXT('XL-Test'!J59)),0)</f>
        <v>18</v>
      </c>
      <c r="J54">
        <f ca="1">IFERROR(LEN(_xlfn.FORMULATEXT('XL-Test'!K59)),0)</f>
        <v>9</v>
      </c>
      <c r="K54">
        <f ca="1">IFERROR(LEN(_xlfn.FORMULATEXT('XL-Test'!L59)),0)</f>
        <v>41</v>
      </c>
      <c r="L54">
        <f ca="1">IFERROR(LEN(_xlfn.FORMULATEXT('XL-Test'!M59)),0)</f>
        <v>46</v>
      </c>
    </row>
    <row r="55" spans="1:12">
      <c r="A55">
        <v>19</v>
      </c>
      <c r="B55">
        <v>13</v>
      </c>
      <c r="C55">
        <f ca="1">IFERROR(LEN(_xlfn.FORMULATEXT('XL-Test'!D60)),0)</f>
        <v>100</v>
      </c>
      <c r="D55">
        <f ca="1">IFERROR(LEN(_xlfn.FORMULATEXT('XL-Test'!E60)),0)</f>
        <v>19</v>
      </c>
      <c r="E55">
        <f ca="1">IFERROR(LEN(_xlfn.FORMULATEXT('XL-Test'!F60)),0)</f>
        <v>20</v>
      </c>
      <c r="F55">
        <f ca="1">IFERROR(LEN(_xlfn.FORMULATEXT('XL-Test'!G60)),0)</f>
        <v>19</v>
      </c>
      <c r="G55">
        <f ca="1">IFERROR(LEN(_xlfn.FORMULATEXT('XL-Test'!H60)),0)</f>
        <v>18</v>
      </c>
      <c r="H55">
        <f ca="1">IFERROR(LEN(_xlfn.FORMULATEXT('XL-Test'!I60)),0)</f>
        <v>28</v>
      </c>
      <c r="I55">
        <f ca="1">IFERROR(LEN(_xlfn.FORMULATEXT('XL-Test'!J60)),0)</f>
        <v>18</v>
      </c>
      <c r="J55">
        <f ca="1">IFERROR(LEN(_xlfn.FORMULATEXT('XL-Test'!K60)),0)</f>
        <v>9</v>
      </c>
      <c r="K55">
        <f ca="1">IFERROR(LEN(_xlfn.FORMULATEXT('XL-Test'!L60)),0)</f>
        <v>41</v>
      </c>
      <c r="L55">
        <f ca="1">IFERROR(LEN(_xlfn.FORMULATEXT('XL-Test'!M60)),0)</f>
        <v>46</v>
      </c>
    </row>
    <row r="56" spans="1:12">
      <c r="A56">
        <v>20</v>
      </c>
      <c r="B56">
        <v>14</v>
      </c>
      <c r="C56">
        <f ca="1">IFERROR(LEN(_xlfn.FORMULATEXT('XL-Test'!D61)),0)</f>
        <v>100</v>
      </c>
      <c r="D56">
        <f ca="1">IFERROR(LEN(_xlfn.FORMULATEXT('XL-Test'!E61)),0)</f>
        <v>19</v>
      </c>
      <c r="E56">
        <f ca="1">IFERROR(LEN(_xlfn.FORMULATEXT('XL-Test'!F61)),0)</f>
        <v>20</v>
      </c>
      <c r="F56">
        <f ca="1">IFERROR(LEN(_xlfn.FORMULATEXT('XL-Test'!G61)),0)</f>
        <v>19</v>
      </c>
      <c r="G56">
        <f ca="1">IFERROR(LEN(_xlfn.FORMULATEXT('XL-Test'!H61)),0)</f>
        <v>18</v>
      </c>
      <c r="H56">
        <f ca="1">IFERROR(LEN(_xlfn.FORMULATEXT('XL-Test'!I61)),0)</f>
        <v>28</v>
      </c>
      <c r="I56">
        <f ca="1">IFERROR(LEN(_xlfn.FORMULATEXT('XL-Test'!J61)),0)</f>
        <v>18</v>
      </c>
      <c r="J56">
        <f ca="1">IFERROR(LEN(_xlfn.FORMULATEXT('XL-Test'!K61)),0)</f>
        <v>9</v>
      </c>
      <c r="K56">
        <f ca="1">IFERROR(LEN(_xlfn.FORMULATEXT('XL-Test'!L61)),0)</f>
        <v>41</v>
      </c>
      <c r="L56">
        <f ca="1">IFERROR(LEN(_xlfn.FORMULATEXT('XL-Test'!M61)),0)</f>
        <v>46</v>
      </c>
    </row>
    <row r="58" spans="1:12">
      <c r="B58" t="s">
        <v>48</v>
      </c>
      <c r="C58">
        <f ca="1">AVERAGE(C43:C45)</f>
        <v>100</v>
      </c>
      <c r="D58">
        <f t="shared" ref="D58:L58" ca="1" si="9">AVERAGE(D43:D45)</f>
        <v>19</v>
      </c>
      <c r="E58">
        <f t="shared" ca="1" si="9"/>
        <v>20</v>
      </c>
      <c r="F58">
        <f t="shared" ca="1" si="9"/>
        <v>19</v>
      </c>
      <c r="G58">
        <f t="shared" ca="1" si="9"/>
        <v>18</v>
      </c>
      <c r="H58">
        <f t="shared" ca="1" si="9"/>
        <v>28</v>
      </c>
      <c r="I58">
        <f t="shared" ca="1" si="9"/>
        <v>18</v>
      </c>
      <c r="J58">
        <f t="shared" ca="1" si="9"/>
        <v>9</v>
      </c>
      <c r="K58">
        <f t="shared" ca="1" si="9"/>
        <v>41</v>
      </c>
      <c r="L58">
        <f t="shared" ca="1" si="9"/>
        <v>46</v>
      </c>
    </row>
    <row r="59" spans="1:12">
      <c r="C59" t="b">
        <f ca="1">C58=C43</f>
        <v>1</v>
      </c>
      <c r="D59" t="b">
        <f t="shared" ref="D59:L59" ca="1" si="10">D58=D43</f>
        <v>1</v>
      </c>
      <c r="E59" t="b">
        <f t="shared" ca="1" si="10"/>
        <v>1</v>
      </c>
      <c r="F59" t="b">
        <f t="shared" ca="1" si="10"/>
        <v>1</v>
      </c>
      <c r="G59" t="b">
        <f t="shared" ca="1" si="10"/>
        <v>1</v>
      </c>
      <c r="H59" t="b">
        <f t="shared" ca="1" si="10"/>
        <v>1</v>
      </c>
      <c r="I59" t="b">
        <f t="shared" ca="1" si="10"/>
        <v>1</v>
      </c>
      <c r="J59" t="b">
        <f t="shared" ca="1" si="10"/>
        <v>1</v>
      </c>
      <c r="K59" t="b">
        <f t="shared" ca="1" si="10"/>
        <v>1</v>
      </c>
      <c r="L59" t="b">
        <f t="shared" ca="1" si="10"/>
        <v>1</v>
      </c>
    </row>
    <row r="60" spans="1:12">
      <c r="B60" t="s">
        <v>49</v>
      </c>
      <c r="C60">
        <f ca="1">AVERAGE(C46:C56)</f>
        <v>100</v>
      </c>
      <c r="D60">
        <f t="shared" ref="D60:L60" ca="1" si="11">AVERAGE(D46:D56)</f>
        <v>19</v>
      </c>
      <c r="E60">
        <f t="shared" ca="1" si="11"/>
        <v>20</v>
      </c>
      <c r="F60">
        <f t="shared" ca="1" si="11"/>
        <v>19</v>
      </c>
      <c r="G60">
        <f t="shared" ca="1" si="11"/>
        <v>18</v>
      </c>
      <c r="H60">
        <f t="shared" ca="1" si="11"/>
        <v>28</v>
      </c>
      <c r="I60">
        <f t="shared" ca="1" si="11"/>
        <v>18</v>
      </c>
      <c r="J60">
        <f t="shared" ca="1" si="11"/>
        <v>9</v>
      </c>
      <c r="K60">
        <f t="shared" ca="1" si="11"/>
        <v>41</v>
      </c>
      <c r="L60">
        <f t="shared" ca="1" si="11"/>
        <v>46</v>
      </c>
    </row>
    <row r="61" spans="1:12">
      <c r="C61" t="b">
        <f ca="1">C60=C46</f>
        <v>1</v>
      </c>
      <c r="D61" t="b">
        <f t="shared" ref="D61:L61" ca="1" si="12">D60=D46</f>
        <v>1</v>
      </c>
      <c r="E61" t="b">
        <f t="shared" ca="1" si="12"/>
        <v>1</v>
      </c>
      <c r="F61" t="b">
        <f t="shared" ca="1" si="12"/>
        <v>1</v>
      </c>
      <c r="G61" t="b">
        <f t="shared" ca="1" si="12"/>
        <v>1</v>
      </c>
      <c r="H61" t="b">
        <f t="shared" ca="1" si="12"/>
        <v>1</v>
      </c>
      <c r="I61" t="b">
        <f t="shared" ca="1" si="12"/>
        <v>1</v>
      </c>
      <c r="J61" t="b">
        <f t="shared" ca="1" si="12"/>
        <v>1</v>
      </c>
      <c r="K61" t="b">
        <f t="shared" ca="1" si="12"/>
        <v>1</v>
      </c>
      <c r="L61" t="b">
        <f t="shared" ca="1" si="12"/>
        <v>1</v>
      </c>
    </row>
    <row r="62" spans="1:12">
      <c r="B62" t="s">
        <v>50</v>
      </c>
      <c r="C62" t="b">
        <f ca="1">IFERROR(AND(C61,C59),FALSE)</f>
        <v>1</v>
      </c>
      <c r="D62" t="b">
        <f t="shared" ref="D62:L62" ca="1" si="13">IFERROR(AND(D61,D59),FALSE)</f>
        <v>1</v>
      </c>
      <c r="E62" t="b">
        <f t="shared" ca="1" si="13"/>
        <v>1</v>
      </c>
      <c r="F62" t="b">
        <f t="shared" ca="1" si="13"/>
        <v>1</v>
      </c>
      <c r="G62" t="b">
        <f t="shared" ca="1" si="13"/>
        <v>1</v>
      </c>
      <c r="H62" t="b">
        <f t="shared" ca="1" si="13"/>
        <v>1</v>
      </c>
      <c r="I62" t="b">
        <f t="shared" ca="1" si="13"/>
        <v>1</v>
      </c>
      <c r="J62" t="b">
        <f t="shared" ca="1" si="13"/>
        <v>1</v>
      </c>
      <c r="K62" t="b">
        <f t="shared" ca="1" si="13"/>
        <v>1</v>
      </c>
      <c r="L62" t="b">
        <f t="shared" ca="1" si="13"/>
        <v>1</v>
      </c>
    </row>
    <row r="64" spans="1:12">
      <c r="B64" t="s">
        <v>51</v>
      </c>
      <c r="C64" t="b">
        <f ca="1">AND(C43&gt;0,C46=0,C4&gt;0)</f>
        <v>0</v>
      </c>
      <c r="D64" t="b">
        <f t="shared" ref="D64:L64" ca="1" si="14">AND(D43&gt;0,D46=0,D4&gt;0)</f>
        <v>0</v>
      </c>
      <c r="E64" t="b">
        <f t="shared" ca="1" si="14"/>
        <v>0</v>
      </c>
      <c r="F64" t="b">
        <f t="shared" ca="1" si="14"/>
        <v>0</v>
      </c>
      <c r="G64" t="b">
        <f t="shared" ca="1" si="14"/>
        <v>0</v>
      </c>
      <c r="H64" t="b">
        <f t="shared" ca="1" si="14"/>
        <v>0</v>
      </c>
      <c r="I64" t="b">
        <f t="shared" ca="1" si="14"/>
        <v>0</v>
      </c>
      <c r="J64" t="b">
        <f t="shared" ca="1" si="14"/>
        <v>0</v>
      </c>
      <c r="K64" t="b">
        <f t="shared" ca="1" si="14"/>
        <v>0</v>
      </c>
      <c r="L64" t="b">
        <f t="shared" ca="1" si="14"/>
        <v>0</v>
      </c>
    </row>
    <row r="66" spans="2:12">
      <c r="B66" t="s">
        <v>36</v>
      </c>
      <c r="C66" t="b">
        <f ca="1">OR(C64,C62)</f>
        <v>1</v>
      </c>
      <c r="D66" t="b">
        <f t="shared" ref="D66:L66" ca="1" si="15">OR(D64,D62)</f>
        <v>1</v>
      </c>
      <c r="E66" t="b">
        <f t="shared" ca="1" si="15"/>
        <v>1</v>
      </c>
      <c r="F66" t="b">
        <f t="shared" ca="1" si="15"/>
        <v>1</v>
      </c>
      <c r="G66" t="b">
        <f t="shared" ca="1" si="15"/>
        <v>1</v>
      </c>
      <c r="H66" t="b">
        <f t="shared" ca="1" si="15"/>
        <v>1</v>
      </c>
      <c r="I66" t="b">
        <f t="shared" ca="1" si="15"/>
        <v>1</v>
      </c>
      <c r="J66" t="b">
        <f t="shared" ca="1" si="15"/>
        <v>1</v>
      </c>
      <c r="K66" t="b">
        <f t="shared" ca="1" si="15"/>
        <v>1</v>
      </c>
      <c r="L66" t="b">
        <f t="shared" ca="1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kode_jawaban</vt:lpstr>
      <vt:lpstr>DF!sayaa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2025-08-21T10:48:53Z</dcterms:created>
  <dcterms:modified xsi:type="dcterms:W3CDTF">2026-03-17T10:53:16Z</dcterms:modified>
</cp:coreProperties>
</file>