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Portofolio Project\Excel\"/>
    </mc:Choice>
  </mc:AlternateContent>
  <xr:revisionPtr revIDLastSave="0" documentId="13_ncr:1_{CC8324A2-E9B6-4898-B9BB-73ACE3340D08}" xr6:coauthVersionLast="47" xr6:coauthVersionMax="47" xr10:uidLastSave="{00000000-0000-0000-0000-000000000000}"/>
  <workbookProtection workbookAlgorithmName="SHA-512" workbookHashValue="rIy9bINtW0TVcm0xI4CrgdaR2qoYbE/u4f2KRM09C2UYvIvZAkPSC0PWVz43E0XcCUZfJXdcRbq7d5o+07EZFw==" workbookSaltValue="z3xN2amZ+o7Y6LBOaequkQ==" workbookSpinCount="100000" lockStructure="1"/>
  <bookViews>
    <workbookView xWindow="-120" yWindow="-120" windowWidth="20730" windowHeight="11760" xr2:uid="{817990D9-271A-4069-B3FA-9E3094951A67}"/>
  </bookViews>
  <sheets>
    <sheet name="XL-Test" sheetId="1" r:id="rId1"/>
    <sheet name="About" sheetId="4" r:id="rId2"/>
    <sheet name="DF" sheetId="2" state="veryHidden" r:id="rId3"/>
  </sheets>
  <definedNames>
    <definedName name="kode_jawaban">DF!$N$31</definedName>
    <definedName name="sayad" localSheetId="2">DF!$M$35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4" i="1" l="1" a="1"/>
  <c r="H54" i="1" s="1"/>
  <c r="H55" i="1" a="1"/>
  <c r="H55" i="1" s="1"/>
  <c r="H56" i="1" a="1"/>
  <c r="H56" i="1" s="1"/>
  <c r="H57" i="1" a="1"/>
  <c r="H57" i="1"/>
  <c r="J57" i="1" s="1"/>
  <c r="H58" i="1" a="1"/>
  <c r="H58" i="1" s="1"/>
  <c r="H59" i="1" a="1"/>
  <c r="H59" i="1"/>
  <c r="I59" i="1" s="1"/>
  <c r="H60" i="1" a="1"/>
  <c r="H60" i="1" s="1"/>
  <c r="H61" i="1" a="1"/>
  <c r="H61" i="1"/>
  <c r="H62" i="1" a="1"/>
  <c r="H62" i="1" s="1"/>
  <c r="H53" i="1" a="1"/>
  <c r="H53" i="1" s="1"/>
  <c r="J67" i="1"/>
  <c r="J59" i="1"/>
  <c r="G54" i="1"/>
  <c r="G55" i="1"/>
  <c r="G56" i="1"/>
  <c r="G57" i="1"/>
  <c r="G58" i="1"/>
  <c r="G59" i="1"/>
  <c r="G60" i="1"/>
  <c r="G61" i="1"/>
  <c r="G62" i="1"/>
  <c r="G53" i="1"/>
  <c r="F54" i="1"/>
  <c r="F55" i="1"/>
  <c r="F56" i="1"/>
  <c r="F57" i="1"/>
  <c r="F58" i="1"/>
  <c r="F59" i="1"/>
  <c r="F60" i="1"/>
  <c r="F61" i="1"/>
  <c r="F62" i="1"/>
  <c r="F53" i="1"/>
  <c r="E54" i="1"/>
  <c r="E55" i="1"/>
  <c r="E56" i="1"/>
  <c r="E57" i="1"/>
  <c r="E58" i="1"/>
  <c r="E59" i="1"/>
  <c r="E60" i="1"/>
  <c r="E61" i="1"/>
  <c r="E62" i="1"/>
  <c r="E53" i="1"/>
  <c r="J55" i="1" l="1"/>
  <c r="I55" i="1"/>
  <c r="J62" i="1"/>
  <c r="I62" i="1"/>
  <c r="I56" i="1"/>
  <c r="J56" i="1"/>
  <c r="I61" i="1"/>
  <c r="J61" i="1"/>
  <c r="I58" i="1"/>
  <c r="J58" i="1"/>
  <c r="J60" i="1"/>
  <c r="I60" i="1"/>
  <c r="J54" i="1"/>
  <c r="I54" i="1"/>
  <c r="I57" i="1"/>
  <c r="J53" i="1"/>
  <c r="I53" i="1"/>
  <c r="J64" i="1" l="1"/>
  <c r="J65" i="1"/>
  <c r="J63" i="1"/>
  <c r="J66" i="1"/>
  <c r="E2" i="2" l="1"/>
  <c r="F2" i="2"/>
  <c r="G2" i="2"/>
  <c r="H2" i="2"/>
  <c r="I2" i="2"/>
  <c r="E3" i="2"/>
  <c r="F3" i="2"/>
  <c r="G3" i="2"/>
  <c r="H3" i="2"/>
  <c r="I3" i="2"/>
  <c r="E4" i="2"/>
  <c r="F4" i="2"/>
  <c r="G4" i="2"/>
  <c r="H4" i="2"/>
  <c r="I4" i="2"/>
  <c r="E5" i="2"/>
  <c r="F5" i="2"/>
  <c r="G5" i="2"/>
  <c r="H5" i="2"/>
  <c r="I5" i="2"/>
  <c r="E6" i="2"/>
  <c r="F6" i="2"/>
  <c r="G6" i="2"/>
  <c r="H6" i="2"/>
  <c r="I6" i="2"/>
  <c r="E7" i="2"/>
  <c r="F7" i="2"/>
  <c r="G7" i="2"/>
  <c r="H7" i="2"/>
  <c r="I7" i="2"/>
  <c r="E8" i="2"/>
  <c r="F8" i="2"/>
  <c r="G8" i="2"/>
  <c r="H8" i="2"/>
  <c r="I8" i="2"/>
  <c r="E9" i="2"/>
  <c r="F9" i="2"/>
  <c r="G9" i="2"/>
  <c r="H9" i="2"/>
  <c r="I9" i="2"/>
  <c r="E10" i="2"/>
  <c r="F10" i="2"/>
  <c r="G10" i="2"/>
  <c r="H10" i="2"/>
  <c r="I10" i="2"/>
  <c r="E11" i="2"/>
  <c r="F11" i="2"/>
  <c r="G11" i="2"/>
  <c r="H11" i="2"/>
  <c r="I11" i="2"/>
  <c r="D11" i="2"/>
  <c r="D10" i="2"/>
  <c r="D9" i="2"/>
  <c r="D8" i="2"/>
  <c r="D7" i="2"/>
  <c r="D6" i="2"/>
  <c r="D5" i="2"/>
  <c r="D4" i="2"/>
  <c r="D3" i="2"/>
  <c r="D2" i="2"/>
  <c r="E18" i="2"/>
  <c r="F18" i="2"/>
  <c r="G18" i="2"/>
  <c r="H18" i="2"/>
  <c r="I18" i="2"/>
  <c r="J18" i="2"/>
  <c r="D18" i="2"/>
  <c r="E17" i="2"/>
  <c r="F17" i="2"/>
  <c r="G17" i="2"/>
  <c r="H17" i="2"/>
  <c r="I17" i="2"/>
  <c r="J17" i="2"/>
  <c r="D17" i="2"/>
  <c r="H36" i="2"/>
  <c r="I39" i="2"/>
  <c r="E43" i="2"/>
  <c r="D42" i="2"/>
  <c r="T10" i="2"/>
  <c r="D41" i="2"/>
  <c r="I36" i="2"/>
  <c r="E40" i="2"/>
  <c r="F43" i="2"/>
  <c r="D43" i="2"/>
  <c r="T11" i="2"/>
  <c r="I42" i="2"/>
  <c r="F36" i="2"/>
  <c r="G39" i="2"/>
  <c r="H42" i="2"/>
  <c r="D40" i="2"/>
  <c r="T2" i="2"/>
  <c r="F41" i="2"/>
  <c r="T9" i="2"/>
  <c r="G37" i="2"/>
  <c r="H40" i="2"/>
  <c r="I43" i="2"/>
  <c r="Y2" i="2"/>
  <c r="T8" i="2"/>
  <c r="T5" i="2"/>
  <c r="H37" i="2"/>
  <c r="I40" i="2"/>
  <c r="E44" i="2"/>
  <c r="X2" i="2"/>
  <c r="G36" i="2"/>
  <c r="G44" i="2"/>
  <c r="E37" i="2"/>
  <c r="F40" i="2"/>
  <c r="G43" i="2"/>
  <c r="D44" i="2"/>
  <c r="T12" i="2"/>
  <c r="H43" i="2"/>
  <c r="H35" i="2"/>
  <c r="E35" i="2"/>
  <c r="F38" i="2"/>
  <c r="G41" i="2"/>
  <c r="H44" i="2"/>
  <c r="U2" i="2"/>
  <c r="E38" i="2"/>
  <c r="F35" i="2"/>
  <c r="G38" i="2"/>
  <c r="H41" i="2"/>
  <c r="I44" i="2"/>
  <c r="T7" i="2"/>
  <c r="H39" i="2"/>
  <c r="D35" i="2"/>
  <c r="I37" i="2"/>
  <c r="E41" i="2"/>
  <c r="F44" i="2"/>
  <c r="W2" i="2"/>
  <c r="F37" i="2"/>
  <c r="D37" i="2"/>
  <c r="I35" i="2"/>
  <c r="E39" i="2"/>
  <c r="F42" i="2"/>
  <c r="D38" i="2"/>
  <c r="T4" i="2"/>
  <c r="E42" i="2"/>
  <c r="E36" i="2"/>
  <c r="F39" i="2"/>
  <c r="G42" i="2"/>
  <c r="D39" i="2"/>
  <c r="T3" i="2"/>
  <c r="G40" i="2"/>
  <c r="G35" i="2"/>
  <c r="H38" i="2"/>
  <c r="I41" i="2"/>
  <c r="D36" i="2"/>
  <c r="T6" i="2"/>
  <c r="I38" i="2"/>
  <c r="V2" i="2"/>
  <c r="H13" i="2" l="1"/>
  <c r="F24" i="2"/>
  <c r="D24" i="2"/>
  <c r="G24" i="2"/>
  <c r="H24" i="2"/>
  <c r="E22" i="2"/>
  <c r="I46" i="2"/>
  <c r="I48" i="2" s="1"/>
  <c r="I49" i="2"/>
  <c r="G46" i="2"/>
  <c r="G48" i="2" s="1"/>
  <c r="G49" i="2"/>
  <c r="H46" i="2"/>
  <c r="H48" i="2" s="1"/>
  <c r="H49" i="2"/>
  <c r="F46" i="2"/>
  <c r="F48" i="2" s="1"/>
  <c r="F49" i="2"/>
  <c r="E46" i="2"/>
  <c r="E48" i="2" s="1"/>
  <c r="E49" i="2"/>
  <c r="D46" i="2"/>
  <c r="D48" i="2" s="1"/>
  <c r="D49" i="2"/>
  <c r="E24" i="2"/>
  <c r="D13" i="2"/>
  <c r="I24" i="2"/>
  <c r="G22" i="2"/>
  <c r="F22" i="2"/>
  <c r="D22" i="2"/>
  <c r="Q12" i="2"/>
  <c r="P12" i="2"/>
  <c r="Q11" i="2"/>
  <c r="P11" i="2"/>
  <c r="Q10" i="2"/>
  <c r="P10" i="2"/>
  <c r="Q9" i="2"/>
  <c r="P9" i="2"/>
  <c r="Q8" i="2"/>
  <c r="P8" i="2"/>
  <c r="I22" i="2"/>
  <c r="H20" i="2"/>
  <c r="H22" i="2"/>
  <c r="G20" i="2"/>
  <c r="E20" i="2"/>
  <c r="D20" i="2"/>
  <c r="I20" i="2"/>
  <c r="F20" i="2"/>
  <c r="G51" i="2" l="1"/>
  <c r="G27" i="2" s="1"/>
  <c r="G29" i="2" s="1"/>
  <c r="I51" i="2"/>
  <c r="I27" i="2" s="1"/>
  <c r="I29" i="2" s="1"/>
  <c r="H51" i="2"/>
  <c r="H27" i="2" s="1"/>
  <c r="H29" i="2" s="1"/>
  <c r="E51" i="2"/>
  <c r="E27" i="2" s="1"/>
  <c r="E29" i="2" s="1"/>
  <c r="D51" i="2"/>
  <c r="D27" i="2" s="1"/>
  <c r="D29" i="2" s="1"/>
  <c r="F51" i="2"/>
  <c r="F27" i="2" s="1"/>
  <c r="F29" i="2" s="1"/>
  <c r="D14" i="2"/>
  <c r="E13" i="2"/>
  <c r="E14" i="2" s="1"/>
  <c r="J20" i="2"/>
  <c r="J22" i="2"/>
  <c r="J29" i="2" s="1"/>
  <c r="E30" i="2" l="1"/>
  <c r="D30" i="2"/>
  <c r="F13" i="2"/>
  <c r="F14" i="2" s="1"/>
  <c r="F30" i="2" s="1"/>
  <c r="G13" i="2" l="1"/>
  <c r="G14" i="2" s="1"/>
  <c r="G30" i="2" s="1"/>
  <c r="H14" i="2"/>
  <c r="H30" i="2" s="1"/>
  <c r="I13" i="2"/>
  <c r="I14" i="2" s="1"/>
  <c r="I30" i="2" s="1"/>
  <c r="J4" i="2"/>
  <c r="J6" i="2"/>
  <c r="J3" i="2"/>
  <c r="J5" i="2"/>
  <c r="J49" i="2" s="1"/>
  <c r="J51" i="2" s="1"/>
  <c r="J2" i="2"/>
  <c r="J13" i="2" l="1"/>
  <c r="J14" i="2" s="1"/>
  <c r="J30" i="2" s="1"/>
  <c r="D32" i="2" s="1"/>
  <c r="M35" i="2" s="1"/>
  <c r="N31" i="2" a="1"/>
  <c r="N31" i="2" l="1"/>
  <c r="G1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<sst xmlns="http://schemas.openxmlformats.org/spreadsheetml/2006/main" count="144" uniqueCount="143">
  <si>
    <t>KODE SOAL</t>
  </si>
  <si>
    <t>SBEE007</t>
  </si>
  <si>
    <t>KODE JAWABAN</t>
  </si>
  <si>
    <t>Laporan Keuntungan Mingguan</t>
  </si>
  <si>
    <t>NO</t>
  </si>
  <si>
    <t>KODE</t>
  </si>
  <si>
    <t>TERJUAL</t>
  </si>
  <si>
    <t>Total seluruh nilai</t>
  </si>
  <si>
    <t>Kode Merek</t>
  </si>
  <si>
    <t>Nilai terbesar</t>
  </si>
  <si>
    <t>LG</t>
  </si>
  <si>
    <t>Toshiba</t>
  </si>
  <si>
    <t>Samsung</t>
  </si>
  <si>
    <t>Nilai terrendah</t>
  </si>
  <si>
    <t>Nilai rata-rata</t>
  </si>
  <si>
    <t>Kode Barang</t>
  </si>
  <si>
    <t>Nama Barang</t>
  </si>
  <si>
    <t>Kulkas</t>
  </si>
  <si>
    <t>MC</t>
  </si>
  <si>
    <t>Mesin Cuci</t>
  </si>
  <si>
    <t>https://belajarexcel.id/xl-test/</t>
  </si>
  <si>
    <t>DEF</t>
  </si>
  <si>
    <t>Value</t>
  </si>
  <si>
    <t>Random</t>
  </si>
  <si>
    <t>Cek Kurung</t>
  </si>
  <si>
    <t>Cek Input</t>
  </si>
  <si>
    <t>Cek rumus</t>
  </si>
  <si>
    <t>Nilai</t>
  </si>
  <si>
    <t>Hasil</t>
  </si>
  <si>
    <t>Gabung</t>
  </si>
  <si>
    <t>VF</t>
  </si>
  <si>
    <t>RF</t>
  </si>
  <si>
    <t xml:space="preserve">Selain kriteria diatas, maka "" </t>
  </si>
  <si>
    <t>XL-TEST adalah platform inovatif yang menyediakan latihan Excel interaktif dengan pemeriksaan otomatis,</t>
  </si>
  <si>
    <t>sehingga pengguna dapat langsung mengetahui jawaban yang benar maupun salah.</t>
  </si>
  <si>
    <t>Terdapat 5 Level soal :</t>
  </si>
  <si>
    <t xml:space="preserve">Easy Level  </t>
  </si>
  <si>
    <t>(⭐)</t>
  </si>
  <si>
    <t xml:space="preserve">Medium Level        </t>
  </si>
  <si>
    <t>(⭐⭐)</t>
  </si>
  <si>
    <t xml:space="preserve">Hard Level </t>
  </si>
  <si>
    <t>(⭐⭐⭐)</t>
  </si>
  <si>
    <t xml:space="preserve">Extreme Level </t>
  </si>
  <si>
    <t>(⭐⭐⭐⭐)</t>
  </si>
  <si>
    <t xml:space="preserve">Championship Level </t>
  </si>
  <si>
    <t>(⭐⭐⭐⭐⭐)</t>
  </si>
  <si>
    <t>Free Access</t>
  </si>
  <si>
    <t>Intruksi</t>
  </si>
  <si>
    <t>Soal  :</t>
  </si>
  <si>
    <r>
      <rPr>
        <b/>
        <i/>
        <sz val="11"/>
        <color rgb="FF0070C0"/>
        <rFont val="Aptos Narrow"/>
        <family val="2"/>
        <scheme val="minor"/>
      </rPr>
      <t>Sudah selesai mengerjakan?</t>
    </r>
    <r>
      <rPr>
        <i/>
        <sz val="11"/>
        <color rgb="FF0070C0"/>
        <rFont val="Aptos Narrow"/>
        <family val="2"/>
        <scheme val="minor"/>
      </rPr>
      <t xml:space="preserve"> kirim </t>
    </r>
    <r>
      <rPr>
        <b/>
        <i/>
        <sz val="11"/>
        <color rgb="FF0070C0"/>
        <rFont val="Aptos Narrow"/>
        <family val="2"/>
        <scheme val="minor"/>
      </rPr>
      <t>Kode Soal</t>
    </r>
    <r>
      <rPr>
        <i/>
        <sz val="11"/>
        <color rgb="FF0070C0"/>
        <rFont val="Aptos Narrow"/>
        <family val="2"/>
        <scheme val="minor"/>
      </rPr>
      <t xml:space="preserve"> dan </t>
    </r>
    <r>
      <rPr>
        <b/>
        <i/>
        <sz val="11"/>
        <color rgb="FF0070C0"/>
        <rFont val="Aptos Narrow"/>
        <family val="2"/>
        <scheme val="minor"/>
      </rPr>
      <t>Kode Jawaban</t>
    </r>
    <r>
      <rPr>
        <i/>
        <sz val="11"/>
        <color rgb="FF0070C0"/>
        <rFont val="Aptos Narrow"/>
        <family val="2"/>
        <scheme val="minor"/>
      </rPr>
      <t xml:space="preserve"> diatas ke alamat :  </t>
    </r>
    <r>
      <rPr>
        <b/>
        <i/>
        <sz val="11"/>
        <color rgb="FF0070C0"/>
        <rFont val="Aptos Narrow"/>
        <family val="2"/>
        <scheme val="minor"/>
      </rPr>
      <t>https://belajarexcel.id/xl-test/jawaban</t>
    </r>
    <r>
      <rPr>
        <i/>
        <sz val="11"/>
        <color rgb="FF0070C0"/>
        <rFont val="Aptos Narrow"/>
        <family val="2"/>
        <scheme val="minor"/>
      </rPr>
      <t xml:space="preserve">  untuk mengecek hasilnya</t>
    </r>
  </si>
  <si>
    <t>atau klik tombol disamping</t>
  </si>
  <si>
    <t>Sony</t>
  </si>
  <si>
    <t>Panasonic</t>
  </si>
  <si>
    <t>Philips</t>
  </si>
  <si>
    <t>Sharp</t>
  </si>
  <si>
    <t>M1</t>
  </si>
  <si>
    <t>M2</t>
  </si>
  <si>
    <t>M3</t>
  </si>
  <si>
    <t>M4</t>
  </si>
  <si>
    <t>M5</t>
  </si>
  <si>
    <t>M6</t>
  </si>
  <si>
    <t>M7</t>
  </si>
  <si>
    <t>TV</t>
  </si>
  <si>
    <t>Televisi</t>
  </si>
  <si>
    <t>KP</t>
  </si>
  <si>
    <t>Kipas</t>
  </si>
  <si>
    <t>KL</t>
  </si>
  <si>
    <t>AC</t>
  </si>
  <si>
    <t>HP</t>
  </si>
  <si>
    <t>Handphone</t>
  </si>
  <si>
    <t>LP</t>
  </si>
  <si>
    <t>Laptop</t>
  </si>
  <si>
    <t>TB</t>
  </si>
  <si>
    <t>Tablet</t>
  </si>
  <si>
    <t>SP</t>
  </si>
  <si>
    <t>Speaker</t>
  </si>
  <si>
    <t>Contoh</t>
  </si>
  <si>
    <t>NAMA BARANG-MERK</t>
  </si>
  <si>
    <t>HARGA POKOK</t>
  </si>
  <si>
    <t>TOTAL HARGA JUAL</t>
  </si>
  <si>
    <t>DISCOUNT</t>
  </si>
  <si>
    <t>BONUS</t>
  </si>
  <si>
    <t>TOTAL</t>
  </si>
  <si>
    <t>Jumlah Data Barang</t>
  </si>
  <si>
    <t>USD</t>
  </si>
  <si>
    <t>US Dollar</t>
  </si>
  <si>
    <t>AUD</t>
  </si>
  <si>
    <t>Australian Dollar</t>
  </si>
  <si>
    <t>CAD</t>
  </si>
  <si>
    <t>Canadian Dollar</t>
  </si>
  <si>
    <t>SGD</t>
  </si>
  <si>
    <t>Singapore Dollar</t>
  </si>
  <si>
    <t>EUR</t>
  </si>
  <si>
    <t>Euro</t>
  </si>
  <si>
    <t>💵 Rate Mata Uang</t>
  </si>
  <si>
    <t>TOKO ILMU BELAJAREXCEL.ID</t>
  </si>
  <si>
    <t>Tasikmalaya</t>
  </si>
  <si>
    <r>
      <rPr>
        <b/>
        <sz val="11"/>
        <color rgb="FF00B050"/>
        <rFont val="Aptos Narrow"/>
        <family val="2"/>
        <scheme val="minor"/>
      </rPr>
      <t>Harga Pokok</t>
    </r>
    <r>
      <rPr>
        <sz val="11"/>
        <color theme="1"/>
        <rFont val="Aptos Narrow"/>
        <family val="2"/>
        <scheme val="minor"/>
      </rPr>
      <t xml:space="preserve"> : Diambil 2 karakter dari karakter ke-4, * Dikalikan dengan Harga Rate, berdasarkan Table Rate mata uang dari 3 hurup setelahnya</t>
    </r>
  </si>
  <si>
    <r>
      <rPr>
        <b/>
        <sz val="11"/>
        <color rgb="FF00B050"/>
        <rFont val="Aptos Narrow"/>
        <family val="2"/>
        <scheme val="minor"/>
      </rPr>
      <t>Harga Jual</t>
    </r>
    <r>
      <rPr>
        <sz val="11"/>
        <color theme="1"/>
        <rFont val="Aptos Narrow"/>
        <family val="2"/>
        <scheme val="minor"/>
      </rPr>
      <t xml:space="preserve"> : (Harga Pokok ditambah 25%) dikali dengan Terjual</t>
    </r>
  </si>
  <si>
    <r>
      <rPr>
        <b/>
        <sz val="11"/>
        <color rgb="FF00B050"/>
        <rFont val="Aptos Narrow"/>
        <family val="2"/>
        <scheme val="minor"/>
      </rPr>
      <t xml:space="preserve">Discount </t>
    </r>
    <r>
      <rPr>
        <sz val="11"/>
        <color theme="1"/>
        <rFont val="Aptos Narrow"/>
        <family val="2"/>
        <scheme val="minor"/>
      </rPr>
      <t>: Jika</t>
    </r>
  </si>
  <si>
    <r>
      <rPr>
        <b/>
        <sz val="11"/>
        <color rgb="FF00B050"/>
        <rFont val="Aptos Narrow"/>
        <family val="2"/>
        <scheme val="minor"/>
      </rPr>
      <t xml:space="preserve"> Bonus</t>
    </r>
    <r>
      <rPr>
        <sz val="11"/>
        <color theme="1"/>
        <rFont val="Aptos Narrow"/>
        <family val="2"/>
        <scheme val="minor"/>
      </rPr>
      <t xml:space="preserve"> : Jika</t>
    </r>
  </si>
  <si>
    <r>
      <rPr>
        <b/>
        <sz val="11"/>
        <color rgb="FF00B050"/>
        <rFont val="Aptos Narrow"/>
        <family val="2"/>
        <scheme val="minor"/>
      </rPr>
      <t>Total</t>
    </r>
    <r>
      <rPr>
        <sz val="11"/>
        <color theme="1"/>
        <rFont val="Aptos Narrow"/>
        <family val="2"/>
        <scheme val="minor"/>
      </rPr>
      <t xml:space="preserve"> adalah </t>
    </r>
    <r>
      <rPr>
        <b/>
        <sz val="11"/>
        <color rgb="FF00B050"/>
        <rFont val="Aptos Narrow"/>
        <family val="2"/>
        <scheme val="minor"/>
      </rPr>
      <t>Total Harga Jual</t>
    </r>
    <r>
      <rPr>
        <sz val="11"/>
        <color theme="1"/>
        <rFont val="Aptos Narrow"/>
        <family val="2"/>
        <scheme val="minor"/>
      </rPr>
      <t xml:space="preserve"> dikurangi </t>
    </r>
    <r>
      <rPr>
        <b/>
        <sz val="11"/>
        <color rgb="FF00B050"/>
        <rFont val="Aptos Narrow"/>
        <family val="2"/>
        <scheme val="minor"/>
      </rPr>
      <t>Discount</t>
    </r>
  </si>
  <si>
    <t>Gunakan Fungsi Excel (Function) untuk menyelsaikan kasus dibawah ini, tidak disarankan menggunakan cara manual</t>
  </si>
  <si>
    <t>AC-96-AUD-M1</t>
  </si>
  <si>
    <t>TV-99-EUR-M2</t>
  </si>
  <si>
    <t>HP-90-CAD-M1</t>
  </si>
  <si>
    <t>TV-88-USD-M4</t>
  </si>
  <si>
    <t>AC-73-EUR-M4</t>
  </si>
  <si>
    <t>KL-73-USD-M5</t>
  </si>
  <si>
    <t>LP-85-SGD-M3</t>
  </si>
  <si>
    <t>KL-93-AUD-M6</t>
  </si>
  <si>
    <t>KP-41-AUD-M5</t>
  </si>
  <si>
    <t>MC-84-EUR-M5</t>
  </si>
  <si>
    <t>TB-92-AUD-M1</t>
  </si>
  <si>
    <t>Total Harga Jual &gt;=10,000,000, maka 25% dari Total Harga Jual</t>
  </si>
  <si>
    <t>Total Harga Jual &gt;=8,000,000, maka 20% dari Total Harga Jual</t>
  </si>
  <si>
    <t>Total Harga Jual &gt;=5,000,000, maka 15% dari Total Harga Jual</t>
  </si>
  <si>
    <t>Total Harga Jual &gt;=3,000,000, maka 10% dari Total Harga Jual</t>
  </si>
  <si>
    <t>Total Harga Jual &gt;=2,000,000, maka 5% dari Total Harga Jual</t>
  </si>
  <si>
    <t>Total Harga Jual &lt;2,000,000, maka 0% dari Total Harga Jual</t>
  </si>
  <si>
    <t>Total Harga Jual&gt;=5,000,000 dan Discount&gt;=2,000,000, maka "PowerBank"</t>
  </si>
  <si>
    <t>Total Harga Jual&gt;=2,000,000 dan Discount&gt;=500,000, maka "TWS"</t>
  </si>
  <si>
    <t>Total Harga Jual&lt;2,000,000 dan Discount&lt;500,000, Maka "Voucher"</t>
  </si>
  <si>
    <r>
      <t xml:space="preserve">Isi </t>
    </r>
    <r>
      <rPr>
        <b/>
        <sz val="11"/>
        <color theme="1"/>
        <rFont val="Aptos Narrow"/>
        <family val="2"/>
        <scheme val="minor"/>
      </rPr>
      <t>Total Seluruh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Nilai Terbesa</t>
    </r>
    <r>
      <rPr>
        <sz val="11"/>
        <color theme="1"/>
        <rFont val="Aptos Narrow"/>
        <family val="2"/>
        <scheme val="minor"/>
      </rPr>
      <t xml:space="preserve">r , </t>
    </r>
    <r>
      <rPr>
        <b/>
        <sz val="11"/>
        <color theme="1"/>
        <rFont val="Aptos Narrow"/>
        <family val="2"/>
        <scheme val="minor"/>
      </rPr>
      <t>Terendah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Rata-rata</t>
    </r>
    <r>
      <rPr>
        <sz val="11"/>
        <color theme="1"/>
        <rFont val="Aptos Narrow"/>
        <family val="2"/>
        <scheme val="minor"/>
      </rPr>
      <t xml:space="preserve"> dan J</t>
    </r>
    <r>
      <rPr>
        <b/>
        <sz val="11"/>
        <color theme="1"/>
        <rFont val="Aptos Narrow"/>
        <family val="2"/>
        <scheme val="minor"/>
      </rPr>
      <t>umlah Data</t>
    </r>
    <r>
      <rPr>
        <sz val="11"/>
        <color theme="1"/>
        <rFont val="Aptos Narrow"/>
        <family val="2"/>
        <scheme val="minor"/>
      </rPr>
      <t xml:space="preserve"> (tidak termasuk contoh)</t>
    </r>
  </si>
  <si>
    <t>arr</t>
  </si>
  <si>
    <t>sa</t>
  </si>
  <si>
    <t>ya</t>
  </si>
  <si>
    <t>EG3</t>
  </si>
  <si>
    <t>Saya adalah seorang Excel Holic yang percaya bahwa setiap angka memiliki cerita yang bisa ditemukan dengan cara yang tepat.</t>
  </si>
  <si>
    <t>“Excel bukan cuma soal kerjaan tapi juga hobi yang aku nikmati.”</t>
  </si>
  <si>
    <t>Contact :</t>
  </si>
  <si>
    <t>🌐 Web</t>
  </si>
  <si>
    <t>https://setiadi.me</t>
  </si>
  <si>
    <t>🪡threads</t>
  </si>
  <si>
    <t>https://www.threads.com/@andisetiadi</t>
  </si>
  <si>
    <t>Perlu Video Penjelasan atau Kunci Jawaban ?</t>
  </si>
  <si>
    <t>Scan barcode atau kunjungi</t>
  </si>
  <si>
    <t>https://lynk.id/setiadi/page/jawaban-xl-test</t>
  </si>
  <si>
    <t>AC-Samsung</t>
  </si>
  <si>
    <t>PowerBank</t>
  </si>
  <si>
    <r>
      <rPr>
        <b/>
        <sz val="12"/>
        <color rgb="FF00B050"/>
        <rFont val="Aptos Narrow"/>
        <family val="2"/>
        <scheme val="minor"/>
      </rPr>
      <t>Easy Level</t>
    </r>
    <r>
      <rPr>
        <b/>
        <sz val="12"/>
        <color theme="1"/>
        <rFont val="Aptos Narrow"/>
        <family val="2"/>
        <scheme val="minor"/>
      </rPr>
      <t xml:space="preserve"> - Latihan Soal Admin Penjualan</t>
    </r>
  </si>
  <si>
    <t>Merk</t>
  </si>
  <si>
    <r>
      <rPr>
        <b/>
        <sz val="11"/>
        <color rgb="FF00B050"/>
        <rFont val="Aptos Narrow"/>
        <family val="2"/>
        <scheme val="minor"/>
      </rPr>
      <t>Nama Barang-Merk</t>
    </r>
    <r>
      <rPr>
        <sz val="11"/>
        <color theme="1"/>
        <rFont val="Aptos Narrow"/>
        <family val="2"/>
        <scheme val="minor"/>
      </rPr>
      <t xml:space="preserve"> diisi Dari data Table Bantu Barang dan Merk. * Nama Barang : Diambil 2 karakter pertama dari kode, Merek : Diambil 2 karakter terakhir dari Kode,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</si>
</sst>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??_);_(@_)"/>
    <numFmt numFmtId="165" formatCode="_-[$Rp-3809]* #,##0_-;\-[$Rp-3809]* #,##0_-;_-[$Rp-3809]* &quot;-&quot;??_-;_-@_-"/>
    <numFmt numFmtId="166" formatCode="#,##0;\(#,##0\);\-"/>
    <numFmt numFmtId="167" formatCode="_-[$Rp-3809]* #,##0.00_-;\-[$Rp-3809]* #,##0.00_-;_-[$Rp-3809]* &quot;-&quot;??_-;_-@_-"/>
  </numFmts>
  <fonts count="3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4"/>
      <name val="Arial"/>
      <family val="2"/>
    </font>
    <font>
      <u/>
      <sz val="11"/>
      <color theme="10"/>
      <name val="Aptos Narrow"/>
      <family val="2"/>
      <scheme val="minor"/>
    </font>
    <font>
      <i/>
      <sz val="11"/>
      <color rgb="FF0070C0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  <font>
      <sz val="8"/>
      <color theme="5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ROBOTECH GP"/>
      <family val="2"/>
    </font>
    <font>
      <b/>
      <sz val="14"/>
      <color theme="0"/>
      <name val="Roboto"/>
    </font>
    <font>
      <b/>
      <sz val="18"/>
      <color theme="0"/>
      <name val="Roboto"/>
    </font>
    <font>
      <b/>
      <sz val="18"/>
      <color theme="0"/>
      <name val="ROBOTECH GP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B050"/>
      <name val="Aptos Narrow"/>
      <family val="2"/>
      <scheme val="minor"/>
    </font>
    <font>
      <i/>
      <sz val="11"/>
      <color theme="0" tint="-0.34998626667073579"/>
      <name val="Aptos Narrow"/>
      <family val="2"/>
      <scheme val="minor"/>
    </font>
    <font>
      <i/>
      <sz val="9"/>
      <color theme="4" tint="-0.249977111117893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2"/>
      <color theme="0"/>
      <name val="Roboto"/>
    </font>
    <font>
      <b/>
      <sz val="11"/>
      <color rgb="FF00B05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10"/>
      <color rgb="FF0070C0"/>
      <name val="Aptos Narrow"/>
      <family val="2"/>
      <scheme val="minor"/>
    </font>
    <font>
      <sz val="9"/>
      <color rgb="FF0070C0"/>
      <name val="Aptos Narrow"/>
      <family val="2"/>
      <scheme val="minor"/>
    </font>
    <font>
      <sz val="10"/>
      <color rgb="FF3D3D4E"/>
      <name val="Arial"/>
      <family val="2"/>
    </font>
    <font>
      <b/>
      <sz val="10"/>
      <color rgb="FF1D1F45"/>
      <name val="Arial"/>
      <family val="2"/>
    </font>
    <font>
      <sz val="10"/>
      <color rgb="FF1D1F45"/>
      <name val="Arial"/>
      <family val="2"/>
    </font>
    <font>
      <sz val="11"/>
      <color theme="4" tint="0.39997558519241921"/>
      <name val="Aptos Narrow"/>
      <family val="2"/>
      <scheme val="minor"/>
    </font>
    <font>
      <b/>
      <sz val="11"/>
      <color theme="0"/>
      <name val="ROBOTECH GP"/>
      <family val="2"/>
    </font>
    <font>
      <b/>
      <sz val="10"/>
      <color rgb="FF0070C0"/>
      <name val="Aptos Narrow"/>
      <family val="2"/>
      <scheme val="minor"/>
    </font>
    <font>
      <sz val="10"/>
      <color theme="0"/>
      <name val="Aptos Narrow"/>
      <family val="2"/>
      <scheme val="minor"/>
    </font>
    <font>
      <u/>
      <sz val="11"/>
      <color theme="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gradientFill>
        <stop position="0">
          <color rgb="FF0A9085"/>
        </stop>
        <stop position="1">
          <color rgb="FF020024"/>
        </stop>
      </gradientFill>
    </fill>
    <fill>
      <patternFill patternType="solid">
        <fgColor rgb="FF0A90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/>
      <right style="medium">
        <color rgb="FF00B050"/>
      </right>
      <top/>
      <bottom/>
      <diagonal/>
    </border>
    <border>
      <left/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0" fontId="5" fillId="0" borderId="0" applyNumberFormat="0" applyFill="0" applyBorder="0" applyAlignment="0" applyProtection="0"/>
  </cellStyleXfs>
  <cellXfs count="87">
    <xf numFmtId="0" fontId="0" fillId="0" borderId="0" xfId="0"/>
    <xf numFmtId="0" fontId="3" fillId="0" borderId="0" xfId="0" applyFont="1"/>
    <xf numFmtId="0" fontId="4" fillId="0" borderId="0" xfId="0" applyFont="1"/>
    <xf numFmtId="0" fontId="0" fillId="3" borderId="1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left" indent="1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/>
    <xf numFmtId="0" fontId="3" fillId="0" borderId="2" xfId="0" applyFont="1" applyBorder="1"/>
    <xf numFmtId="0" fontId="3" fillId="3" borderId="1" xfId="0" applyFont="1" applyFill="1" applyBorder="1" applyAlignment="1">
      <alignment horizontal="left" indent="1"/>
    </xf>
    <xf numFmtId="3" fontId="0" fillId="4" borderId="1" xfId="0" applyNumberForma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left" indent="2"/>
    </xf>
    <xf numFmtId="164" fontId="0" fillId="4" borderId="1" xfId="0" applyNumberFormat="1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165" fontId="3" fillId="4" borderId="1" xfId="0" applyNumberFormat="1" applyFont="1" applyFill="1" applyBorder="1" applyAlignment="1">
      <alignment horizontal="center"/>
    </xf>
    <xf numFmtId="0" fontId="5" fillId="0" borderId="0" xfId="1"/>
    <xf numFmtId="0" fontId="8" fillId="0" borderId="0" xfId="0" applyFont="1" applyAlignment="1">
      <alignment horizontal="left"/>
    </xf>
    <xf numFmtId="0" fontId="1" fillId="0" borderId="1" xfId="2" applyBorder="1"/>
    <xf numFmtId="0" fontId="1" fillId="0" borderId="0" xfId="2"/>
    <xf numFmtId="166" fontId="11" fillId="8" borderId="0" xfId="0" applyNumberFormat="1" applyFont="1" applyFill="1" applyAlignment="1">
      <alignment horizontal="center" vertical="center"/>
    </xf>
    <xf numFmtId="166" fontId="11" fillId="8" borderId="4" xfId="0" applyNumberFormat="1" applyFont="1" applyFill="1" applyBorder="1" applyAlignment="1">
      <alignment horizontal="left" vertical="center"/>
    </xf>
    <xf numFmtId="166" fontId="12" fillId="8" borderId="0" xfId="0" applyNumberFormat="1" applyFont="1" applyFill="1" applyAlignment="1">
      <alignment horizontal="left" vertical="center"/>
    </xf>
    <xf numFmtId="0" fontId="14" fillId="9" borderId="8" xfId="0" applyFont="1" applyFill="1" applyBorder="1" applyAlignment="1">
      <alignment vertical="top" wrapText="1"/>
    </xf>
    <xf numFmtId="0" fontId="14" fillId="9" borderId="0" xfId="0" applyFont="1" applyFill="1" applyAlignment="1">
      <alignment vertical="top" wrapText="1"/>
    </xf>
    <xf numFmtId="0" fontId="0" fillId="9" borderId="0" xfId="0" applyFill="1"/>
    <xf numFmtId="0" fontId="14" fillId="9" borderId="9" xfId="0" applyFont="1" applyFill="1" applyBorder="1" applyAlignment="1">
      <alignment vertical="top" wrapText="1"/>
    </xf>
    <xf numFmtId="0" fontId="15" fillId="9" borderId="0" xfId="0" applyFont="1" applyFill="1" applyAlignment="1">
      <alignment horizontal="left" vertical="top"/>
    </xf>
    <xf numFmtId="0" fontId="15" fillId="9" borderId="0" xfId="0" applyFont="1" applyFill="1" applyAlignment="1">
      <alignment vertical="top"/>
    </xf>
    <xf numFmtId="0" fontId="17" fillId="9" borderId="0" xfId="0" applyFont="1" applyFill="1" applyAlignment="1">
      <alignment horizontal="center" vertical="top" wrapText="1"/>
    </xf>
    <xf numFmtId="0" fontId="18" fillId="9" borderId="0" xfId="0" applyFont="1" applyFill="1" applyAlignment="1">
      <alignment horizontal="right"/>
    </xf>
    <xf numFmtId="0" fontId="20" fillId="9" borderId="0" xfId="0" applyFont="1" applyFill="1" applyAlignment="1">
      <alignment wrapText="1"/>
    </xf>
    <xf numFmtId="0" fontId="20" fillId="9" borderId="9" xfId="0" applyFont="1" applyFill="1" applyBorder="1" applyAlignment="1">
      <alignment wrapText="1"/>
    </xf>
    <xf numFmtId="0" fontId="20" fillId="0" borderId="0" xfId="0" applyFont="1" applyAlignment="1">
      <alignment wrapText="1"/>
    </xf>
    <xf numFmtId="0" fontId="21" fillId="9" borderId="0" xfId="0" applyFont="1" applyFill="1"/>
    <xf numFmtId="0" fontId="21" fillId="9" borderId="0" xfId="0" applyFont="1" applyFill="1" applyAlignment="1">
      <alignment horizontal="center" vertical="center"/>
    </xf>
    <xf numFmtId="0" fontId="6" fillId="9" borderId="0" xfId="0" applyFont="1" applyFill="1"/>
    <xf numFmtId="0" fontId="0" fillId="10" borderId="0" xfId="0" applyFill="1"/>
    <xf numFmtId="166" fontId="22" fillId="8" borderId="10" xfId="0" applyNumberFormat="1" applyFon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/>
    </xf>
    <xf numFmtId="0" fontId="0" fillId="6" borderId="11" xfId="0" applyFill="1" applyBorder="1"/>
    <xf numFmtId="0" fontId="0" fillId="9" borderId="0" xfId="0" applyFill="1" applyAlignment="1">
      <alignment horizontal="left" indent="3"/>
    </xf>
    <xf numFmtId="0" fontId="2" fillId="3" borderId="12" xfId="0" applyFont="1" applyFill="1" applyBorder="1"/>
    <xf numFmtId="0" fontId="2" fillId="3" borderId="13" xfId="0" applyFont="1" applyFill="1" applyBorder="1"/>
    <xf numFmtId="0" fontId="2" fillId="3" borderId="14" xfId="0" applyFont="1" applyFill="1" applyBorder="1"/>
    <xf numFmtId="0" fontId="0" fillId="11" borderId="15" xfId="0" applyFill="1" applyBorder="1"/>
    <xf numFmtId="0" fontId="0" fillId="3" borderId="16" xfId="0" applyFill="1" applyBorder="1" applyAlignment="1">
      <alignment vertical="center" wrapText="1"/>
    </xf>
    <xf numFmtId="167" fontId="2" fillId="3" borderId="17" xfId="0" applyNumberFormat="1" applyFont="1" applyFill="1" applyBorder="1"/>
    <xf numFmtId="0" fontId="0" fillId="3" borderId="0" xfId="0" applyFill="1" applyAlignment="1">
      <alignment vertical="center" wrapText="1"/>
    </xf>
    <xf numFmtId="167" fontId="2" fillId="3" borderId="18" xfId="0" applyNumberFormat="1" applyFont="1" applyFill="1" applyBorder="1"/>
    <xf numFmtId="0" fontId="0" fillId="3" borderId="19" xfId="0" applyFill="1" applyBorder="1" applyAlignment="1">
      <alignment vertical="center" wrapText="1"/>
    </xf>
    <xf numFmtId="167" fontId="2" fillId="3" borderId="20" xfId="0" applyNumberFormat="1" applyFont="1" applyFill="1" applyBorder="1"/>
    <xf numFmtId="0" fontId="19" fillId="9" borderId="0" xfId="0" applyFont="1" applyFill="1"/>
    <xf numFmtId="0" fontId="1" fillId="0" borderId="21" xfId="2" applyBorder="1"/>
    <xf numFmtId="0" fontId="1" fillId="0" borderId="22" xfId="2" applyBorder="1"/>
    <xf numFmtId="0" fontId="24" fillId="0" borderId="1" xfId="2" applyFont="1" applyBorder="1"/>
    <xf numFmtId="0" fontId="26" fillId="0" borderId="1" xfId="2" applyFont="1" applyBorder="1" applyAlignment="1">
      <alignment horizontal="left"/>
    </xf>
    <xf numFmtId="0" fontId="26" fillId="0" borderId="1" xfId="2" applyFont="1" applyBorder="1"/>
    <xf numFmtId="0" fontId="27" fillId="0" borderId="21" xfId="0" applyFont="1" applyBorder="1" applyAlignment="1">
      <alignment horizontal="left" vertical="top" wrapText="1"/>
    </xf>
    <xf numFmtId="0" fontId="29" fillId="0" borderId="21" xfId="0" applyFont="1" applyBorder="1" applyAlignment="1">
      <alignment horizontal="left" vertical="top" wrapText="1"/>
    </xf>
    <xf numFmtId="0" fontId="5" fillId="0" borderId="1" xfId="3" applyBorder="1" applyAlignment="1">
      <alignment vertical="top"/>
    </xf>
    <xf numFmtId="0" fontId="2" fillId="0" borderId="0" xfId="2" applyFont="1"/>
    <xf numFmtId="0" fontId="30" fillId="0" borderId="0" xfId="2" applyFont="1"/>
    <xf numFmtId="0" fontId="30" fillId="0" borderId="0" xfId="2" quotePrefix="1" applyFont="1"/>
    <xf numFmtId="0" fontId="0" fillId="8" borderId="0" xfId="0" applyFill="1"/>
    <xf numFmtId="0" fontId="32" fillId="8" borderId="0" xfId="0" applyFont="1" applyFill="1"/>
    <xf numFmtId="0" fontId="9" fillId="8" borderId="0" xfId="0" applyFont="1" applyFill="1"/>
    <xf numFmtId="0" fontId="33" fillId="8" borderId="0" xfId="0" applyFont="1" applyFill="1"/>
    <xf numFmtId="0" fontId="34" fillId="8" borderId="0" xfId="1" applyFont="1" applyFill="1"/>
    <xf numFmtId="0" fontId="3" fillId="5" borderId="11" xfId="0" applyFont="1" applyFill="1" applyBorder="1" applyAlignment="1">
      <alignment horizontal="center"/>
    </xf>
    <xf numFmtId="0" fontId="10" fillId="7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/>
    </xf>
    <xf numFmtId="0" fontId="13" fillId="7" borderId="6" xfId="0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center" vertical="center"/>
    </xf>
    <xf numFmtId="0" fontId="13" fillId="7" borderId="8" xfId="0" applyFont="1" applyFill="1" applyBorder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13" fillId="7" borderId="9" xfId="0" applyFont="1" applyFill="1" applyBorder="1" applyAlignment="1">
      <alignment horizontal="center" vertical="center"/>
    </xf>
    <xf numFmtId="0" fontId="27" fillId="0" borderId="0" xfId="0" applyFont="1" applyAlignment="1">
      <alignment horizontal="left" vertical="top" wrapText="1"/>
    </xf>
    <xf numFmtId="0" fontId="27" fillId="0" borderId="23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23" xfId="0" applyFont="1" applyBorder="1" applyAlignment="1">
      <alignment horizontal="left" vertical="top" wrapText="1"/>
    </xf>
    <xf numFmtId="0" fontId="31" fillId="7" borderId="8" xfId="0" applyFont="1" applyFill="1" applyBorder="1" applyAlignment="1">
      <alignment horizontal="center" vertical="center"/>
    </xf>
    <xf numFmtId="0" fontId="31" fillId="7" borderId="0" xfId="0" applyFont="1" applyFill="1" applyAlignment="1">
      <alignment horizontal="center" vertical="center"/>
    </xf>
    <xf numFmtId="0" fontId="25" fillId="0" borderId="1" xfId="2" applyFont="1" applyBorder="1" applyAlignment="1">
      <alignment horizontal="left"/>
    </xf>
    <xf numFmtId="0" fontId="26" fillId="0" borderId="1" xfId="2" applyFont="1" applyBorder="1" applyAlignment="1">
      <alignment horizontal="left"/>
    </xf>
  </cellXfs>
  <cellStyles count="4">
    <cellStyle name="Hyperlink" xfId="1" builtinId="8"/>
    <cellStyle name="Hyperlink 2" xfId="3" xr:uid="{0C07A6AE-1FCA-428C-859C-61ED0493E2B6}"/>
    <cellStyle name="Normal" xfId="0" builtinId="0"/>
    <cellStyle name="Normal 2" xfId="2" xr:uid="{4F3DF97D-ECC2-42A1-90C7-5ED6EA325B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belajarexcel.id/xl-test/jawaban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9</xdr:col>
      <xdr:colOff>388620</xdr:colOff>
      <xdr:row>16</xdr:row>
      <xdr:rowOff>7620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DE3C462-09E9-43B1-9173-70804425A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1734799" cy="2933700"/>
        </a:xfrm>
        <a:prstGeom prst="rect">
          <a:avLst/>
        </a:prstGeom>
      </xdr:spPr>
    </xdr:pic>
    <xdr:clientData/>
  </xdr:twoCellAnchor>
  <xdr:twoCellAnchor editAs="oneCell">
    <xdr:from>
      <xdr:col>6</xdr:col>
      <xdr:colOff>411480</xdr:colOff>
      <xdr:row>13</xdr:row>
      <xdr:rowOff>83820</xdr:rowOff>
    </xdr:from>
    <xdr:to>
      <xdr:col>7</xdr:col>
      <xdr:colOff>459740</xdr:colOff>
      <xdr:row>17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4BC521-ADC8-47C0-9EA3-134AEDC6F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6560" y="2461260"/>
          <a:ext cx="1511300" cy="647700"/>
        </a:xfrm>
        <a:prstGeom prst="rect">
          <a:avLst/>
        </a:prstGeom>
      </xdr:spPr>
    </xdr:pic>
    <xdr:clientData/>
  </xdr:twoCellAnchor>
  <xdr:twoCellAnchor>
    <xdr:from>
      <xdr:col>3</xdr:col>
      <xdr:colOff>449580</xdr:colOff>
      <xdr:row>38</xdr:row>
      <xdr:rowOff>68580</xdr:rowOff>
    </xdr:from>
    <xdr:to>
      <xdr:col>4</xdr:col>
      <xdr:colOff>1097280</xdr:colOff>
      <xdr:row>40</xdr:row>
      <xdr:rowOff>22860</xdr:rowOff>
    </xdr:to>
    <xdr:sp macro="" textlink="">
      <xdr:nvSpPr>
        <xdr:cNvPr id="7" name="Rectangle: Rounded Corner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EA07C5E-D2D9-4195-B2E2-CA0ACA06A4BA}"/>
            </a:ext>
          </a:extLst>
        </xdr:cNvPr>
        <xdr:cNvSpPr/>
      </xdr:nvSpPr>
      <xdr:spPr>
        <a:xfrm>
          <a:off x="3055620" y="7315200"/>
          <a:ext cx="1668780" cy="35052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Cek hasil Jawaban</a:t>
          </a:r>
        </a:p>
      </xdr:txBody>
    </xdr:sp>
    <xdr:clientData/>
  </xdr:twoCellAnchor>
  <xdr:oneCellAnchor>
    <xdr:from>
      <xdr:col>8</xdr:col>
      <xdr:colOff>853440</xdr:colOff>
      <xdr:row>0</xdr:row>
      <xdr:rowOff>60960</xdr:rowOff>
    </xdr:from>
    <xdr:ext cx="924869" cy="280205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0E61CE7-D966-4E93-A771-2D332DF37E14}"/>
            </a:ext>
          </a:extLst>
        </xdr:cNvPr>
        <xdr:cNvSpPr txBox="1"/>
      </xdr:nvSpPr>
      <xdr:spPr>
        <a:xfrm>
          <a:off x="10713720" y="60960"/>
          <a:ext cx="924869" cy="280205"/>
        </a:xfrm>
        <a:prstGeom prst="rect">
          <a:avLst/>
        </a:prstGeom>
        <a:noFill/>
        <a:ln>
          <a:noFill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200" b="1">
              <a:solidFill>
                <a:schemeClr val="bg1"/>
              </a:solidFill>
            </a:rPr>
            <a:t>EASY</a:t>
          </a:r>
          <a:r>
            <a:rPr lang="en-ID" sz="1200" b="1" baseline="0">
              <a:solidFill>
                <a:schemeClr val="bg1"/>
              </a:solidFill>
            </a:rPr>
            <a:t> LEVEL</a:t>
          </a:r>
          <a:endParaRPr lang="en-ID" sz="1200" b="1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9</xdr:col>
      <xdr:colOff>388620</xdr:colOff>
      <xdr:row>0</xdr:row>
      <xdr:rowOff>0</xdr:rowOff>
    </xdr:from>
    <xdr:to>
      <xdr:col>11</xdr:col>
      <xdr:colOff>251460</xdr:colOff>
      <xdr:row>16</xdr:row>
      <xdr:rowOff>41626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ADC166D-39DF-4138-A692-8E4FC2662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734800" y="0"/>
          <a:ext cx="1905000" cy="29677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53340</xdr:rowOff>
    </xdr:from>
    <xdr:ext cx="1554479" cy="586842"/>
    <xdr:pic>
      <xdr:nvPicPr>
        <xdr:cNvPr id="2" name="Picture 1">
          <a:extLst>
            <a:ext uri="{FF2B5EF4-FFF2-40B4-BE49-F238E27FC236}">
              <a16:creationId xmlns:a16="http://schemas.microsoft.com/office/drawing/2014/main" id="{C92B7289-F452-47FC-A49C-A6FB32191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7180" y="236220"/>
          <a:ext cx="1554479" cy="586842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25</xdr:row>
      <xdr:rowOff>53340</xdr:rowOff>
    </xdr:from>
    <xdr:ext cx="960120" cy="960120"/>
    <xdr:pic>
      <xdr:nvPicPr>
        <xdr:cNvPr id="3" name="Picture 2">
          <a:extLst>
            <a:ext uri="{FF2B5EF4-FFF2-40B4-BE49-F238E27FC236}">
              <a16:creationId xmlns:a16="http://schemas.microsoft.com/office/drawing/2014/main" id="{489F883D-7478-4977-9C98-E31D923A4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2440" y="5646420"/>
          <a:ext cx="960120" cy="960120"/>
        </a:xfrm>
        <a:prstGeom prst="rect">
          <a:avLst/>
        </a:prstGeom>
      </xdr:spPr>
    </xdr:pic>
    <xdr:clientData/>
  </xdr:oneCellAnchor>
  <xdr:twoCellAnchor editAs="oneCell">
    <xdr:from>
      <xdr:col>2</xdr:col>
      <xdr:colOff>0</xdr:colOff>
      <xdr:row>1</xdr:row>
      <xdr:rowOff>0</xdr:rowOff>
    </xdr:from>
    <xdr:to>
      <xdr:col>4</xdr:col>
      <xdr:colOff>365760</xdr:colOff>
      <xdr:row>14</xdr:row>
      <xdr:rowOff>91692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C176DF1-9605-4921-B15E-AFDC38EB4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2040" y="182880"/>
          <a:ext cx="1584960" cy="24691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etiadi.me/" TargetMode="External"/><Relationship Id="rId2" Type="http://schemas.openxmlformats.org/officeDocument/2006/relationships/hyperlink" Target="https://www.threads.com/@andisetiadi" TargetMode="External"/><Relationship Id="rId1" Type="http://schemas.openxmlformats.org/officeDocument/2006/relationships/hyperlink" Target="https://belajarexcel.id/xl-test/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https://lynk.id/setiadi/page/jawaban-xl-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BA1B8-E6E7-45DF-9F45-FC0AD0CA96EF}">
  <sheetPr codeName="Sheet1"/>
  <dimension ref="A18:M78"/>
  <sheetViews>
    <sheetView tabSelected="1" topLeftCell="E3" workbookViewId="0">
      <selection activeCell="G18" sqref="G18"/>
    </sheetView>
  </sheetViews>
  <sheetFormatPr defaultRowHeight="15"/>
  <cols>
    <col min="1" max="1" width="8.7109375" customWidth="1"/>
    <col min="2" max="2" width="16.7109375" customWidth="1"/>
    <col min="3" max="3" width="20.28515625" customWidth="1"/>
    <col min="4" max="4" width="20.5703125" customWidth="1"/>
    <col min="5" max="5" width="22.42578125" customWidth="1"/>
    <col min="6" max="6" width="15.5703125" customWidth="1"/>
    <col min="7" max="7" width="21.28515625" customWidth="1"/>
    <col min="8" max="8" width="18.28515625" customWidth="1"/>
    <col min="9" max="9" width="21.42578125" customWidth="1"/>
    <col min="10" max="10" width="18" customWidth="1"/>
    <col min="11" max="11" width="11.7109375" customWidth="1"/>
    <col min="12" max="12" width="14.85546875" customWidth="1"/>
    <col min="13" max="13" width="20.42578125" bestFit="1" customWidth="1"/>
  </cols>
  <sheetData>
    <row r="18" spans="1:13" ht="23.25">
      <c r="A18" s="71" t="s">
        <v>0</v>
      </c>
      <c r="B18" s="71"/>
      <c r="C18" s="20" t="s">
        <v>1</v>
      </c>
      <c r="E18" s="71" t="s">
        <v>2</v>
      </c>
      <c r="F18" s="72"/>
      <c r="G18" s="21" t="str">
        <f ca="1">kode_jawaban</f>
        <v>EG3|131-9841;171-1F6061;161-BD9251;ED1-E688681;CD1-6B11;1D1-3BA4A0C1;1A-4E95F121</v>
      </c>
      <c r="H18" s="22"/>
      <c r="I18" s="22"/>
      <c r="J18" s="22"/>
      <c r="K18" s="22"/>
    </row>
    <row r="20" spans="1:13" ht="23.25">
      <c r="A20" s="73" t="s">
        <v>47</v>
      </c>
      <c r="B20" s="74"/>
      <c r="C20" s="74"/>
      <c r="D20" s="74"/>
      <c r="E20" s="74"/>
      <c r="F20" s="74"/>
      <c r="G20" s="74"/>
      <c r="H20" s="74"/>
      <c r="I20" s="74"/>
      <c r="J20" s="74"/>
      <c r="K20" s="75"/>
    </row>
    <row r="21" spans="1:13" ht="15.75">
      <c r="A21" s="23"/>
      <c r="B21" s="24"/>
      <c r="C21" s="24"/>
      <c r="D21" s="24"/>
      <c r="E21" s="24"/>
      <c r="F21" s="24"/>
      <c r="G21" s="24"/>
      <c r="H21" s="24"/>
      <c r="I21" s="24"/>
      <c r="J21" s="25"/>
      <c r="K21" s="26"/>
    </row>
    <row r="22" spans="1:13" ht="15.75">
      <c r="A22" s="25"/>
      <c r="B22" s="27" t="s">
        <v>140</v>
      </c>
      <c r="C22" s="25"/>
      <c r="D22" s="25"/>
      <c r="E22" s="24"/>
      <c r="F22" s="24"/>
      <c r="G22" s="24"/>
      <c r="H22" s="24"/>
      <c r="I22" s="24"/>
      <c r="J22" s="25"/>
      <c r="K22" s="26"/>
    </row>
    <row r="23" spans="1:13" ht="15.75">
      <c r="A23" s="25"/>
      <c r="B23" s="25"/>
      <c r="C23" s="28"/>
      <c r="D23" s="25"/>
      <c r="E23" s="24"/>
      <c r="F23" s="24"/>
      <c r="G23" s="24"/>
      <c r="H23" s="29"/>
      <c r="I23" s="24"/>
      <c r="J23" s="25"/>
      <c r="K23" s="26"/>
    </row>
    <row r="24" spans="1:13" ht="15.75">
      <c r="A24" s="25"/>
      <c r="B24" s="30" t="s">
        <v>48</v>
      </c>
      <c r="C24" s="53" t="s">
        <v>102</v>
      </c>
      <c r="D24" s="25"/>
      <c r="E24" s="25"/>
      <c r="F24" s="24"/>
      <c r="G24" s="25"/>
      <c r="H24" s="29"/>
      <c r="I24" s="31"/>
      <c r="J24" s="25"/>
      <c r="K24" s="32"/>
      <c r="M24" s="33"/>
    </row>
    <row r="25" spans="1:13" ht="15.75">
      <c r="A25" s="25"/>
      <c r="B25" s="34">
        <v>1</v>
      </c>
      <c r="C25" s="25" t="s">
        <v>142</v>
      </c>
      <c r="D25" s="25"/>
      <c r="E25" s="25"/>
      <c r="F25" s="24"/>
      <c r="G25" s="25"/>
      <c r="H25" s="29"/>
      <c r="I25" s="31"/>
      <c r="J25" s="25"/>
      <c r="K25" s="32"/>
      <c r="M25" s="33"/>
    </row>
    <row r="26" spans="1:13" ht="15.75">
      <c r="A26" s="25"/>
      <c r="B26" s="34">
        <v>2</v>
      </c>
      <c r="C26" s="25" t="s">
        <v>97</v>
      </c>
      <c r="D26" s="25"/>
      <c r="E26" s="25"/>
      <c r="F26" s="24"/>
      <c r="G26" s="25"/>
      <c r="H26" s="29"/>
      <c r="I26" s="24"/>
      <c r="J26" s="25"/>
      <c r="K26" s="26"/>
    </row>
    <row r="27" spans="1:13" ht="15.75">
      <c r="A27" s="25"/>
      <c r="B27" s="34">
        <v>3</v>
      </c>
      <c r="C27" s="25" t="s">
        <v>98</v>
      </c>
      <c r="D27" s="25"/>
      <c r="E27" s="25"/>
      <c r="F27" s="24"/>
      <c r="G27" s="25"/>
      <c r="H27" s="29"/>
      <c r="I27" s="31"/>
      <c r="J27" s="25"/>
      <c r="K27" s="32"/>
    </row>
    <row r="28" spans="1:13">
      <c r="A28" s="25"/>
      <c r="B28" s="34">
        <v>4</v>
      </c>
      <c r="C28" s="25" t="s">
        <v>99</v>
      </c>
      <c r="D28" s="25"/>
      <c r="E28" s="25"/>
      <c r="F28" s="34">
        <v>5</v>
      </c>
      <c r="G28" s="25" t="s">
        <v>100</v>
      </c>
      <c r="H28" s="29"/>
      <c r="I28" s="31"/>
      <c r="J28" s="25"/>
      <c r="K28" s="32"/>
    </row>
    <row r="29" spans="1:13" ht="15.75">
      <c r="A29" s="25"/>
      <c r="B29" s="34"/>
      <c r="C29" s="42" t="s">
        <v>114</v>
      </c>
      <c r="D29" s="25"/>
      <c r="E29" s="25"/>
      <c r="F29" s="24"/>
      <c r="G29" s="42" t="s">
        <v>120</v>
      </c>
      <c r="H29" s="29"/>
      <c r="I29" s="31"/>
      <c r="J29" s="25"/>
      <c r="K29" s="32"/>
    </row>
    <row r="30" spans="1:13" ht="15.75">
      <c r="A30" s="25"/>
      <c r="B30" s="34"/>
      <c r="C30" s="42" t="s">
        <v>115</v>
      </c>
      <c r="D30" s="25"/>
      <c r="E30" s="25"/>
      <c r="F30" s="24"/>
      <c r="G30" s="42" t="s">
        <v>121</v>
      </c>
      <c r="H30" s="29"/>
      <c r="I30" s="31"/>
      <c r="J30" s="25"/>
      <c r="K30" s="32"/>
    </row>
    <row r="31" spans="1:13" ht="15.75">
      <c r="A31" s="25"/>
      <c r="B31" s="34"/>
      <c r="C31" s="42" t="s">
        <v>116</v>
      </c>
      <c r="D31" s="25"/>
      <c r="E31" s="25"/>
      <c r="F31" s="24"/>
      <c r="G31" s="42" t="s">
        <v>122</v>
      </c>
      <c r="H31" s="29"/>
      <c r="I31" s="31"/>
      <c r="J31" s="25"/>
      <c r="K31" s="32"/>
    </row>
    <row r="32" spans="1:13" ht="15.75">
      <c r="A32" s="25"/>
      <c r="B32" s="34"/>
      <c r="C32" s="42" t="s">
        <v>117</v>
      </c>
      <c r="D32" s="25"/>
      <c r="E32" s="25"/>
      <c r="F32" s="24"/>
      <c r="G32" s="42" t="s">
        <v>32</v>
      </c>
      <c r="H32" s="29"/>
      <c r="I32" s="31"/>
      <c r="J32" s="25"/>
      <c r="K32" s="32"/>
    </row>
    <row r="33" spans="1:11" ht="15.75">
      <c r="A33" s="25"/>
      <c r="B33" s="34"/>
      <c r="C33" s="42" t="s">
        <v>118</v>
      </c>
      <c r="D33" s="25"/>
      <c r="E33" s="25"/>
      <c r="F33" s="24"/>
      <c r="G33" s="25"/>
      <c r="H33" s="29"/>
      <c r="I33" s="31"/>
      <c r="J33" s="25"/>
      <c r="K33" s="32"/>
    </row>
    <row r="34" spans="1:11" ht="15.75">
      <c r="A34" s="25"/>
      <c r="B34" s="34"/>
      <c r="C34" s="42" t="s">
        <v>119</v>
      </c>
      <c r="D34" s="25"/>
      <c r="E34" s="25"/>
      <c r="F34" s="24"/>
      <c r="G34" s="25"/>
      <c r="H34" s="29"/>
      <c r="I34" s="31"/>
      <c r="J34" s="25"/>
      <c r="K34" s="32"/>
    </row>
    <row r="35" spans="1:11" ht="15.75">
      <c r="A35" s="25"/>
      <c r="B35" s="34">
        <v>6</v>
      </c>
      <c r="C35" s="25" t="s">
        <v>101</v>
      </c>
      <c r="D35" s="25"/>
      <c r="E35" s="25"/>
      <c r="F35" s="24"/>
      <c r="G35" s="25"/>
      <c r="H35" s="29"/>
      <c r="I35" s="31"/>
      <c r="J35" s="25"/>
      <c r="K35" s="32"/>
    </row>
    <row r="36" spans="1:11" ht="15.75">
      <c r="A36" s="25"/>
      <c r="B36" s="34">
        <v>7</v>
      </c>
      <c r="C36" t="s">
        <v>123</v>
      </c>
      <c r="D36" s="25"/>
      <c r="E36" s="25"/>
      <c r="F36" s="24"/>
      <c r="G36" s="25"/>
      <c r="H36" s="29"/>
      <c r="I36" s="31"/>
      <c r="J36" s="25"/>
      <c r="K36" s="32"/>
    </row>
    <row r="37" spans="1:11" ht="15.75">
      <c r="A37" s="25"/>
      <c r="B37" s="35"/>
      <c r="C37" s="25"/>
      <c r="D37" s="25"/>
      <c r="E37" s="25"/>
      <c r="F37" s="24"/>
      <c r="G37" s="25"/>
      <c r="H37" s="25"/>
      <c r="I37" s="24"/>
      <c r="J37" s="25"/>
      <c r="K37" s="26"/>
    </row>
    <row r="38" spans="1:11" ht="15.75">
      <c r="A38" s="25"/>
      <c r="B38" s="25"/>
      <c r="C38" s="36" t="s">
        <v>49</v>
      </c>
      <c r="D38" s="25"/>
      <c r="E38" s="25"/>
      <c r="F38" s="24"/>
      <c r="G38" s="25"/>
      <c r="H38" s="25"/>
      <c r="I38" s="24"/>
      <c r="J38" s="25"/>
      <c r="K38" s="26"/>
    </row>
    <row r="39" spans="1:11" ht="15.75">
      <c r="A39" s="25"/>
      <c r="B39" s="25"/>
      <c r="C39" s="36" t="s">
        <v>50</v>
      </c>
      <c r="D39" s="25"/>
      <c r="E39" s="24"/>
      <c r="F39" s="24"/>
      <c r="G39" s="25"/>
      <c r="H39" s="25"/>
      <c r="I39" s="24"/>
      <c r="J39" s="25"/>
      <c r="K39" s="26"/>
    </row>
    <row r="40" spans="1:11" ht="15.7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6"/>
    </row>
    <row r="41" spans="1:11" ht="15.75">
      <c r="A41" s="25"/>
      <c r="B41" s="25"/>
      <c r="C41" s="25"/>
      <c r="D41" s="25"/>
      <c r="E41" s="25"/>
      <c r="F41" s="25"/>
      <c r="G41" s="25"/>
      <c r="H41" s="25"/>
      <c r="I41" s="25"/>
      <c r="K41" s="26"/>
    </row>
    <row r="42" spans="1:11" ht="23.25">
      <c r="A42" s="76"/>
      <c r="B42" s="77"/>
      <c r="C42" s="77"/>
      <c r="D42" s="77"/>
      <c r="E42" s="77"/>
      <c r="F42" s="77"/>
      <c r="G42" s="77"/>
      <c r="H42" s="77"/>
      <c r="I42" s="77"/>
      <c r="J42" s="77"/>
      <c r="K42" s="78"/>
    </row>
    <row r="43" spans="1:11" ht="15" customHeight="1"/>
    <row r="45" spans="1:11">
      <c r="B45" s="1" t="s">
        <v>3</v>
      </c>
    </row>
    <row r="46" spans="1:11" ht="18">
      <c r="B46" s="2" t="s">
        <v>95</v>
      </c>
    </row>
    <row r="47" spans="1:11">
      <c r="B47" t="s">
        <v>96</v>
      </c>
    </row>
    <row r="48" spans="1:11" ht="15.75" thickBot="1"/>
    <row r="49" spans="2:11" ht="16.5" thickBot="1">
      <c r="E49" s="38">
        <v>1</v>
      </c>
      <c r="F49" s="38">
        <v>2</v>
      </c>
      <c r="G49" s="38">
        <v>3</v>
      </c>
      <c r="H49" s="38">
        <v>4</v>
      </c>
      <c r="I49" s="38">
        <v>5</v>
      </c>
      <c r="J49" s="38">
        <v>6</v>
      </c>
    </row>
    <row r="50" spans="2:11" ht="27" customHeight="1">
      <c r="B50" s="6" t="s">
        <v>4</v>
      </c>
      <c r="C50" s="6" t="s">
        <v>5</v>
      </c>
      <c r="D50" s="6" t="s">
        <v>6</v>
      </c>
      <c r="E50" s="6" t="s">
        <v>77</v>
      </c>
      <c r="F50" s="6" t="s">
        <v>78</v>
      </c>
      <c r="G50" s="6" t="s">
        <v>79</v>
      </c>
      <c r="H50" s="6" t="s">
        <v>80</v>
      </c>
      <c r="I50" s="6" t="s">
        <v>81</v>
      </c>
      <c r="J50" s="6" t="s">
        <v>82</v>
      </c>
      <c r="K50" s="1"/>
    </row>
    <row r="51" spans="2:11" ht="18" customHeight="1">
      <c r="B51" s="3" t="s">
        <v>76</v>
      </c>
      <c r="C51" s="5" t="s">
        <v>103</v>
      </c>
      <c r="D51" s="4">
        <v>7</v>
      </c>
      <c r="E51" s="12" t="s">
        <v>138</v>
      </c>
      <c r="F51" s="13">
        <v>1152000</v>
      </c>
      <c r="G51" s="14">
        <v>10080000</v>
      </c>
      <c r="H51" s="14">
        <v>2520000</v>
      </c>
      <c r="I51" s="10" t="s">
        <v>139</v>
      </c>
      <c r="J51" s="14">
        <v>7560000</v>
      </c>
    </row>
    <row r="52" spans="2:11" ht="7.15" customHeight="1">
      <c r="B52" s="37"/>
      <c r="C52" s="37"/>
      <c r="D52" s="37"/>
      <c r="E52" s="37"/>
      <c r="F52" s="37"/>
      <c r="G52" s="37"/>
      <c r="H52" s="37"/>
      <c r="I52" s="37"/>
      <c r="J52" s="37"/>
    </row>
    <row r="53" spans="2:11" ht="18" customHeight="1">
      <c r="B53" s="3">
        <v>1</v>
      </c>
      <c r="C53" s="5" t="s">
        <v>104</v>
      </c>
      <c r="D53" s="4">
        <v>7</v>
      </c>
      <c r="E53" s="12" t="str">
        <f>VLOOKUP(LEFT(C53,FIND("-",C53)-1),$B$65:$C$73,2,0)&amp;"-"&amp;HLOOKUP(RIGHT(C53,2),$C$75:$I$76,2,0)</f>
        <v>Televisi-LG</v>
      </c>
      <c r="F53" s="13">
        <f>MID(C53,4,2)*VLOOKUP(MID(C53,7,3),$E$66:$G$70,3,FALSE)</f>
        <v>1980000</v>
      </c>
      <c r="G53" s="14">
        <f>(F53+(F53*25%))*D53</f>
        <v>17325000</v>
      </c>
      <c r="H53" s="14" cm="1">
        <f t="array" ref="H53">IF(G53&gt;=10000000,25%,_xlfn.SWITCH(TRUE,G53&gt;=8000000,20%,G53&gt;=5000000,15%,G53&gt;=3000000,10%,G53&gt;=2000000,5%,0))*G53</f>
        <v>4331250</v>
      </c>
      <c r="I53" s="10" t="str">
        <f>IF(AND(G53&gt;=5000000, H53&gt;=2000000), "PowerBank", IF(AND(G53&gt;=2000000, H53&gt;=500000), "TWS", IF(AND(G53&lt;2000000, H53&lt;500000), "Voucher", "")))</f>
        <v>PowerBank</v>
      </c>
      <c r="J53" s="14">
        <f>G53-H53</f>
        <v>12993750</v>
      </c>
    </row>
    <row r="54" spans="2:11" ht="18" customHeight="1">
      <c r="B54" s="3">
        <v>2</v>
      </c>
      <c r="C54" s="5" t="s">
        <v>105</v>
      </c>
      <c r="D54" s="4">
        <v>6</v>
      </c>
      <c r="E54" s="12" t="str">
        <f t="shared" ref="E54:E62" si="0">VLOOKUP(LEFT(C54,FIND("-",C54)-1),$B$65:$C$73,2,0)&amp;"-"&amp;HLOOKUP(RIGHT(C54,2),$C$75:$I$76,2,0)</f>
        <v>Handphone-Samsung</v>
      </c>
      <c r="F54" s="13">
        <f t="shared" ref="F54:F62" si="1">MID(C54,4,2)*VLOOKUP(MID(C54,7,3),$E$66:$G$70,3,FALSE)</f>
        <v>1125000</v>
      </c>
      <c r="G54" s="14">
        <f t="shared" ref="G54:G62" si="2">(F54+(F54*25%))*D54</f>
        <v>8437500</v>
      </c>
      <c r="H54" s="14" cm="1">
        <f t="array" ref="H54">IF(G54&gt;=10000000,25%,_xlfn.SWITCH(TRUE,G54&gt;=8000000,20%,G54&gt;=5000000,15%,G54&gt;=3000000,10%,G54&gt;=2000000,5%,0))*G54</f>
        <v>1687500</v>
      </c>
      <c r="I54" s="10" t="str">
        <f t="shared" ref="I54:I62" si="3">IF(AND(G54&gt;=5000000, H54&gt;=2000000), "PowerBank", IF(AND(G54&gt;=2000000, H54&gt;=500000), "TWS", IF(AND(G54&lt;2000000, H54&lt;500000), "Voucher", "")))</f>
        <v>TWS</v>
      </c>
      <c r="J54" s="14">
        <f t="shared" ref="J54:J62" si="4">G54-H54</f>
        <v>6750000</v>
      </c>
    </row>
    <row r="55" spans="2:11" ht="18" customHeight="1">
      <c r="B55" s="3">
        <v>3</v>
      </c>
      <c r="C55" s="5" t="s">
        <v>106</v>
      </c>
      <c r="D55" s="4">
        <v>4</v>
      </c>
      <c r="E55" s="12" t="str">
        <f t="shared" si="0"/>
        <v>Televisi-Panasonic</v>
      </c>
      <c r="F55" s="13">
        <f t="shared" si="1"/>
        <v>1478400</v>
      </c>
      <c r="G55" s="14">
        <f t="shared" si="2"/>
        <v>7392000</v>
      </c>
      <c r="H55" s="14" cm="1">
        <f t="array" ref="H55">IF(G55&gt;=10000000,25%,_xlfn.SWITCH(TRUE,G55&gt;=8000000,20%,G55&gt;=5000000,15%,G55&gt;=3000000,10%,G55&gt;=2000000,5%,0))*G55</f>
        <v>1108800</v>
      </c>
      <c r="I55" s="10" t="str">
        <f t="shared" si="3"/>
        <v>TWS</v>
      </c>
      <c r="J55" s="14">
        <f t="shared" si="4"/>
        <v>6283200</v>
      </c>
    </row>
    <row r="56" spans="2:11" ht="18" customHeight="1">
      <c r="B56" s="3">
        <v>4</v>
      </c>
      <c r="C56" s="5" t="s">
        <v>107</v>
      </c>
      <c r="D56" s="4">
        <v>5</v>
      </c>
      <c r="E56" s="12" t="str">
        <f t="shared" si="0"/>
        <v>AC-Panasonic</v>
      </c>
      <c r="F56" s="13">
        <f t="shared" si="1"/>
        <v>1460000</v>
      </c>
      <c r="G56" s="14">
        <f t="shared" si="2"/>
        <v>9125000</v>
      </c>
      <c r="H56" s="14" cm="1">
        <f t="array" ref="H56">IF(G56&gt;=10000000,25%,_xlfn.SWITCH(TRUE,G56&gt;=8000000,20%,G56&gt;=5000000,15%,G56&gt;=3000000,10%,G56&gt;=2000000,5%,0))*G56</f>
        <v>1825000</v>
      </c>
      <c r="I56" s="10" t="str">
        <f t="shared" si="3"/>
        <v>TWS</v>
      </c>
      <c r="J56" s="14">
        <f t="shared" si="4"/>
        <v>7300000</v>
      </c>
    </row>
    <row r="57" spans="2:11" ht="18" customHeight="1">
      <c r="B57" s="3">
        <v>5</v>
      </c>
      <c r="C57" s="5" t="s">
        <v>108</v>
      </c>
      <c r="D57" s="4">
        <v>3</v>
      </c>
      <c r="E57" s="12" t="str">
        <f t="shared" si="0"/>
        <v>Kulkas-Philips</v>
      </c>
      <c r="F57" s="13">
        <f t="shared" si="1"/>
        <v>1226400</v>
      </c>
      <c r="G57" s="14">
        <f t="shared" si="2"/>
        <v>4599000</v>
      </c>
      <c r="H57" s="14" cm="1">
        <f t="array" ref="H57">IF(G57&gt;=10000000,25%,_xlfn.SWITCH(TRUE,G57&gt;=8000000,20%,G57&gt;=5000000,15%,G57&gt;=3000000,10%,G57&gt;=2000000,5%,0))*G57</f>
        <v>459900</v>
      </c>
      <c r="I57" s="10" t="str">
        <f t="shared" si="3"/>
        <v/>
      </c>
      <c r="J57" s="14">
        <f t="shared" si="4"/>
        <v>4139100</v>
      </c>
    </row>
    <row r="58" spans="2:11" ht="18" customHeight="1">
      <c r="B58" s="3">
        <v>6</v>
      </c>
      <c r="C58" s="5" t="s">
        <v>109</v>
      </c>
      <c r="D58" s="4">
        <v>2</v>
      </c>
      <c r="E58" s="12" t="str">
        <f t="shared" si="0"/>
        <v>Laptop-Sony</v>
      </c>
      <c r="F58" s="13">
        <f t="shared" si="1"/>
        <v>1190000</v>
      </c>
      <c r="G58" s="14">
        <f t="shared" si="2"/>
        <v>2975000</v>
      </c>
      <c r="H58" s="14" cm="1">
        <f t="array" ref="H58">IF(G58&gt;=10000000,25%,_xlfn.SWITCH(TRUE,G58&gt;=8000000,20%,G58&gt;=5000000,15%,G58&gt;=3000000,10%,G58&gt;=2000000,5%,0))*G58</f>
        <v>148750</v>
      </c>
      <c r="I58" s="10" t="str">
        <f t="shared" si="3"/>
        <v/>
      </c>
      <c r="J58" s="14">
        <f t="shared" si="4"/>
        <v>2826250</v>
      </c>
    </row>
    <row r="59" spans="2:11" ht="18" customHeight="1">
      <c r="B59" s="3">
        <v>7</v>
      </c>
      <c r="C59" s="5" t="s">
        <v>110</v>
      </c>
      <c r="D59" s="4">
        <v>4</v>
      </c>
      <c r="E59" s="12" t="str">
        <f t="shared" si="0"/>
        <v>Kulkas-Sharp</v>
      </c>
      <c r="F59" s="13">
        <f t="shared" si="1"/>
        <v>1116000</v>
      </c>
      <c r="G59" s="14">
        <f t="shared" si="2"/>
        <v>5580000</v>
      </c>
      <c r="H59" s="14" cm="1">
        <f t="array" ref="H59">IF(G59&gt;=10000000,25%,_xlfn.SWITCH(TRUE,G59&gt;=8000000,20%,G59&gt;=5000000,15%,G59&gt;=3000000,10%,G59&gt;=2000000,5%,0))*G59</f>
        <v>837000</v>
      </c>
      <c r="I59" s="10" t="str">
        <f t="shared" si="3"/>
        <v>TWS</v>
      </c>
      <c r="J59" s="14">
        <f t="shared" si="4"/>
        <v>4743000</v>
      </c>
    </row>
    <row r="60" spans="2:11" ht="18" customHeight="1">
      <c r="B60" s="3">
        <v>8</v>
      </c>
      <c r="C60" s="5" t="s">
        <v>111</v>
      </c>
      <c r="D60" s="4">
        <v>1</v>
      </c>
      <c r="E60" s="12" t="str">
        <f t="shared" si="0"/>
        <v>Kipas-Philips</v>
      </c>
      <c r="F60" s="13">
        <f t="shared" si="1"/>
        <v>492000</v>
      </c>
      <c r="G60" s="14">
        <f t="shared" si="2"/>
        <v>615000</v>
      </c>
      <c r="H60" s="14" cm="1">
        <f t="array" ref="H60">IF(G60&gt;=10000000,25%,_xlfn.SWITCH(TRUE,G60&gt;=8000000,20%,G60&gt;=5000000,15%,G60&gt;=3000000,10%,G60&gt;=2000000,5%,0))*G60</f>
        <v>0</v>
      </c>
      <c r="I60" s="10" t="str">
        <f t="shared" si="3"/>
        <v>Voucher</v>
      </c>
      <c r="J60" s="14">
        <f t="shared" si="4"/>
        <v>615000</v>
      </c>
    </row>
    <row r="61" spans="2:11" ht="18" customHeight="1">
      <c r="B61" s="3">
        <v>9</v>
      </c>
      <c r="C61" s="5" t="s">
        <v>112</v>
      </c>
      <c r="D61" s="4">
        <v>7</v>
      </c>
      <c r="E61" s="12" t="str">
        <f t="shared" si="0"/>
        <v>Mesin Cuci-Philips</v>
      </c>
      <c r="F61" s="13">
        <f t="shared" si="1"/>
        <v>1680000</v>
      </c>
      <c r="G61" s="14">
        <f t="shared" si="2"/>
        <v>14700000</v>
      </c>
      <c r="H61" s="14" cm="1">
        <f t="array" ref="H61">IF(G61&gt;=10000000,25%,_xlfn.SWITCH(TRUE,G61&gt;=8000000,20%,G61&gt;=5000000,15%,G61&gt;=3000000,10%,G61&gt;=2000000,5%,0))*G61</f>
        <v>3675000</v>
      </c>
      <c r="I61" s="10" t="str">
        <f t="shared" si="3"/>
        <v>PowerBank</v>
      </c>
      <c r="J61" s="14">
        <f t="shared" si="4"/>
        <v>11025000</v>
      </c>
    </row>
    <row r="62" spans="2:11" ht="18" customHeight="1" thickBot="1">
      <c r="B62" s="3">
        <v>10</v>
      </c>
      <c r="C62" s="5" t="s">
        <v>113</v>
      </c>
      <c r="D62" s="4">
        <v>5</v>
      </c>
      <c r="E62" s="12" t="str">
        <f t="shared" si="0"/>
        <v>Tablet-Samsung</v>
      </c>
      <c r="F62" s="13">
        <f t="shared" si="1"/>
        <v>1104000</v>
      </c>
      <c r="G62" s="14">
        <f t="shared" si="2"/>
        <v>6900000</v>
      </c>
      <c r="H62" s="14" cm="1">
        <f t="array" ref="H62">IF(G62&gt;=10000000,25%,_xlfn.SWITCH(TRUE,G62&gt;=8000000,20%,G62&gt;=5000000,15%,G62&gt;=3000000,10%,G62&gt;=2000000,5%,0))*G62</f>
        <v>1035000</v>
      </c>
      <c r="I62" s="10" t="str">
        <f t="shared" si="3"/>
        <v>TWS</v>
      </c>
      <c r="J62" s="14">
        <f t="shared" si="4"/>
        <v>5865000</v>
      </c>
    </row>
    <row r="63" spans="2:11" ht="18" customHeight="1" thickBot="1">
      <c r="B63" s="7"/>
      <c r="C63" s="8"/>
      <c r="D63" s="8"/>
      <c r="E63" s="8"/>
      <c r="F63" s="8"/>
      <c r="I63" s="9" t="s">
        <v>7</v>
      </c>
      <c r="J63" s="15">
        <f>SUM(J53:J62)</f>
        <v>62540300</v>
      </c>
      <c r="K63" s="38">
        <v>7</v>
      </c>
    </row>
    <row r="64" spans="2:11" ht="18" customHeight="1" thickBot="1">
      <c r="B64" s="70" t="s">
        <v>15</v>
      </c>
      <c r="C64" s="70" t="s">
        <v>16</v>
      </c>
      <c r="D64" s="1"/>
      <c r="E64" s="1"/>
      <c r="F64" s="1"/>
      <c r="I64" s="9" t="s">
        <v>9</v>
      </c>
      <c r="J64" s="15">
        <f>MAX(J53:J62)</f>
        <v>12993750</v>
      </c>
      <c r="K64" s="38">
        <v>7</v>
      </c>
    </row>
    <row r="65" spans="2:11" ht="18" customHeight="1" thickBot="1">
      <c r="B65" s="40" t="s">
        <v>62</v>
      </c>
      <c r="C65" s="41" t="s">
        <v>63</v>
      </c>
      <c r="D65" s="1"/>
      <c r="E65" s="46" t="s">
        <v>94</v>
      </c>
      <c r="I65" s="9" t="s">
        <v>13</v>
      </c>
      <c r="J65" s="15">
        <f>MIN(J53:J62)</f>
        <v>615000</v>
      </c>
      <c r="K65" s="38">
        <v>7</v>
      </c>
    </row>
    <row r="66" spans="2:11" ht="18" customHeight="1" thickBot="1">
      <c r="B66" s="40" t="s">
        <v>64</v>
      </c>
      <c r="C66" s="41" t="s">
        <v>65</v>
      </c>
      <c r="D66" s="1"/>
      <c r="E66" s="43" t="s">
        <v>84</v>
      </c>
      <c r="F66" s="47" t="s">
        <v>85</v>
      </c>
      <c r="G66" s="48">
        <v>16800</v>
      </c>
      <c r="I66" s="9" t="s">
        <v>14</v>
      </c>
      <c r="J66" s="15">
        <f>AVERAGE(J53:J62)</f>
        <v>6254030</v>
      </c>
      <c r="K66" s="38">
        <v>7</v>
      </c>
    </row>
    <row r="67" spans="2:11" ht="18" customHeight="1" thickBot="1">
      <c r="B67" s="40" t="s">
        <v>66</v>
      </c>
      <c r="C67" s="41" t="s">
        <v>17</v>
      </c>
      <c r="D67" s="1"/>
      <c r="E67" s="44" t="s">
        <v>86</v>
      </c>
      <c r="F67" s="49" t="s">
        <v>87</v>
      </c>
      <c r="G67" s="50">
        <v>12000</v>
      </c>
      <c r="I67" s="9" t="s">
        <v>83</v>
      </c>
      <c r="J67" s="11">
        <f>COUNTA(E53:E62)</f>
        <v>10</v>
      </c>
      <c r="K67" s="38">
        <v>7</v>
      </c>
    </row>
    <row r="68" spans="2:11" ht="18" customHeight="1">
      <c r="B68" s="40" t="s">
        <v>18</v>
      </c>
      <c r="C68" s="41" t="s">
        <v>19</v>
      </c>
      <c r="D68" s="1"/>
      <c r="E68" s="44" t="s">
        <v>88</v>
      </c>
      <c r="F68" s="49" t="s">
        <v>89</v>
      </c>
      <c r="G68" s="50">
        <v>12500</v>
      </c>
      <c r="K68" s="17"/>
    </row>
    <row r="69" spans="2:11" ht="18" customHeight="1">
      <c r="B69" s="40" t="s">
        <v>67</v>
      </c>
      <c r="C69" s="41" t="s">
        <v>67</v>
      </c>
      <c r="D69" s="1"/>
      <c r="E69" s="44" t="s">
        <v>90</v>
      </c>
      <c r="F69" s="49" t="s">
        <v>91</v>
      </c>
      <c r="G69" s="50">
        <v>14000</v>
      </c>
      <c r="K69" s="17"/>
    </row>
    <row r="70" spans="2:11" ht="18" customHeight="1" thickBot="1">
      <c r="B70" s="40" t="s">
        <v>68</v>
      </c>
      <c r="C70" s="41" t="s">
        <v>69</v>
      </c>
      <c r="D70" s="1"/>
      <c r="E70" s="45" t="s">
        <v>92</v>
      </c>
      <c r="F70" s="51" t="s">
        <v>93</v>
      </c>
      <c r="G70" s="52">
        <v>20000</v>
      </c>
      <c r="K70" s="17"/>
    </row>
    <row r="71" spans="2:11" ht="18" customHeight="1">
      <c r="B71" s="40" t="s">
        <v>70</v>
      </c>
      <c r="C71" s="41" t="s">
        <v>71</v>
      </c>
      <c r="D71" s="1"/>
      <c r="K71" s="17"/>
    </row>
    <row r="72" spans="2:11" ht="18" customHeight="1">
      <c r="B72" s="40" t="s">
        <v>72</v>
      </c>
      <c r="C72" s="41" t="s">
        <v>73</v>
      </c>
      <c r="D72" s="1"/>
      <c r="E72" s="1"/>
      <c r="F72" s="1"/>
      <c r="G72" s="1"/>
      <c r="K72" s="17"/>
    </row>
    <row r="73" spans="2:11" ht="18" customHeight="1">
      <c r="B73" s="40" t="s">
        <v>74</v>
      </c>
      <c r="C73" s="41" t="s">
        <v>75</v>
      </c>
      <c r="D73" s="1"/>
      <c r="E73" s="1"/>
      <c r="F73" s="1"/>
      <c r="K73" s="17"/>
    </row>
    <row r="74" spans="2:11" ht="18" customHeight="1">
      <c r="C74" s="1"/>
      <c r="D74" s="1"/>
      <c r="E74" s="1"/>
      <c r="F74" s="1"/>
      <c r="K74" s="17"/>
    </row>
    <row r="75" spans="2:11" ht="18" customHeight="1">
      <c r="B75" s="70" t="s">
        <v>8</v>
      </c>
      <c r="C75" s="39" t="s">
        <v>55</v>
      </c>
      <c r="D75" s="39" t="s">
        <v>56</v>
      </c>
      <c r="E75" s="39" t="s">
        <v>57</v>
      </c>
      <c r="F75" s="39" t="s">
        <v>58</v>
      </c>
      <c r="G75" s="39" t="s">
        <v>59</v>
      </c>
      <c r="H75" s="39" t="s">
        <v>60</v>
      </c>
      <c r="I75" s="39" t="s">
        <v>61</v>
      </c>
    </row>
    <row r="76" spans="2:11" ht="18" customHeight="1">
      <c r="B76" s="70" t="s">
        <v>141</v>
      </c>
      <c r="C76" s="39" t="s">
        <v>12</v>
      </c>
      <c r="D76" s="39" t="s">
        <v>10</v>
      </c>
      <c r="E76" s="39" t="s">
        <v>51</v>
      </c>
      <c r="F76" s="39" t="s">
        <v>52</v>
      </c>
      <c r="G76" s="39" t="s">
        <v>53</v>
      </c>
      <c r="H76" s="39" t="s">
        <v>54</v>
      </c>
      <c r="I76" s="39" t="s">
        <v>11</v>
      </c>
    </row>
    <row r="77" spans="2:11" ht="18" customHeight="1">
      <c r="C77" s="1"/>
      <c r="D77" s="1"/>
      <c r="E77" s="1"/>
      <c r="F77" s="1"/>
    </row>
    <row r="78" spans="2:11" ht="18" customHeight="1">
      <c r="D78" s="1"/>
      <c r="E78" s="1"/>
      <c r="F78" s="1"/>
    </row>
  </sheetData>
  <mergeCells count="4">
    <mergeCell ref="A18:B18"/>
    <mergeCell ref="E18:F18"/>
    <mergeCell ref="A20:K20"/>
    <mergeCell ref="A42:K4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9421B-8B8F-482A-B867-DBB7C77EDA9D}">
  <sheetPr codeName="Sheet3"/>
  <dimension ref="B1:P32"/>
  <sheetViews>
    <sheetView showGridLines="0" workbookViewId="0">
      <selection activeCell="N22" sqref="N22"/>
    </sheetView>
  </sheetViews>
  <sheetFormatPr defaultColWidth="8.85546875" defaultRowHeight="15"/>
  <cols>
    <col min="1" max="1" width="5.7109375" style="19" customWidth="1"/>
    <col min="2" max="2" width="10" style="19" customWidth="1"/>
    <col min="3" max="6" width="8.85546875" style="19"/>
    <col min="7" max="8" width="4.28515625" style="19" customWidth="1"/>
    <col min="9" max="9" width="8.85546875" style="19"/>
    <col min="10" max="10" width="10.42578125" style="19" customWidth="1"/>
    <col min="11" max="11" width="9.28515625" style="19" customWidth="1"/>
    <col min="12" max="13" width="8.85546875" style="19"/>
    <col min="14" max="14" width="26.42578125" style="19" customWidth="1"/>
    <col min="15" max="16384" width="8.85546875" style="19"/>
  </cols>
  <sheetData>
    <row r="1" spans="7:16">
      <c r="H1" s="18"/>
      <c r="I1" s="18"/>
      <c r="J1" s="18"/>
      <c r="K1" s="18"/>
      <c r="L1" s="18"/>
      <c r="M1" s="18"/>
      <c r="N1" s="18"/>
      <c r="O1" s="18"/>
      <c r="P1" s="18"/>
    </row>
    <row r="2" spans="7:16">
      <c r="H2" s="18"/>
      <c r="I2" s="18"/>
      <c r="J2" s="18"/>
      <c r="K2" s="18"/>
      <c r="L2" s="18"/>
      <c r="M2" s="18"/>
      <c r="N2" s="18"/>
      <c r="O2" s="18"/>
      <c r="P2" s="18"/>
    </row>
    <row r="3" spans="7:16">
      <c r="G3" s="54"/>
      <c r="H3" s="55"/>
      <c r="I3" s="18"/>
      <c r="J3" s="18"/>
      <c r="K3" s="18"/>
      <c r="L3" s="18"/>
      <c r="M3" s="18"/>
      <c r="N3" s="18"/>
      <c r="O3" s="18"/>
      <c r="P3" s="18"/>
    </row>
    <row r="4" spans="7:16">
      <c r="G4" s="54"/>
      <c r="H4" s="55"/>
      <c r="I4" s="18"/>
      <c r="J4" s="18"/>
      <c r="K4" s="18"/>
      <c r="L4" s="18"/>
      <c r="M4" s="18"/>
      <c r="N4" s="18"/>
      <c r="O4" s="18"/>
      <c r="P4" s="18"/>
    </row>
    <row r="5" spans="7:16">
      <c r="G5" s="54"/>
      <c r="H5" s="55"/>
      <c r="I5" s="18"/>
      <c r="J5" s="18"/>
      <c r="K5" s="18"/>
      <c r="L5" s="18"/>
      <c r="M5" s="18"/>
      <c r="N5" s="18"/>
      <c r="O5" s="18"/>
      <c r="P5" s="18"/>
    </row>
    <row r="6" spans="7:16">
      <c r="G6" s="54"/>
      <c r="H6" s="55"/>
      <c r="I6" s="18" t="s">
        <v>33</v>
      </c>
      <c r="J6" s="18"/>
      <c r="K6" s="18"/>
      <c r="L6" s="18"/>
      <c r="M6" s="18"/>
      <c r="N6" s="18"/>
      <c r="O6" s="18"/>
      <c r="P6" s="18"/>
    </row>
    <row r="7" spans="7:16">
      <c r="G7" s="54"/>
      <c r="H7" s="55"/>
      <c r="I7" s="18" t="s">
        <v>34</v>
      </c>
      <c r="J7" s="18"/>
      <c r="K7" s="18"/>
      <c r="L7" s="18"/>
      <c r="M7" s="18"/>
      <c r="N7" s="18"/>
      <c r="O7" s="18"/>
      <c r="P7" s="18"/>
    </row>
    <row r="8" spans="7:16">
      <c r="G8" s="54"/>
      <c r="H8" s="55"/>
      <c r="I8" s="18"/>
      <c r="J8" s="18"/>
      <c r="K8" s="18"/>
      <c r="L8" s="18"/>
      <c r="M8" s="18"/>
      <c r="N8" s="18"/>
      <c r="O8" s="18"/>
      <c r="P8" s="18"/>
    </row>
    <row r="9" spans="7:16">
      <c r="G9" s="54"/>
      <c r="H9" s="55"/>
      <c r="I9" s="18"/>
      <c r="J9" s="18"/>
      <c r="K9" s="18"/>
      <c r="L9" s="18"/>
      <c r="M9" s="18"/>
      <c r="N9" s="18"/>
      <c r="O9" s="18"/>
      <c r="P9" s="18"/>
    </row>
    <row r="10" spans="7:16">
      <c r="G10" s="54"/>
      <c r="H10" s="55"/>
      <c r="I10" s="18" t="s">
        <v>35</v>
      </c>
      <c r="J10" s="18"/>
      <c r="K10" s="18"/>
      <c r="L10" s="18"/>
      <c r="M10" s="18"/>
      <c r="N10" s="18"/>
      <c r="O10" s="18"/>
      <c r="P10" s="18"/>
    </row>
    <row r="11" spans="7:16">
      <c r="G11" s="54"/>
      <c r="H11" s="55"/>
      <c r="I11" s="18"/>
      <c r="J11" s="18"/>
      <c r="K11" s="18"/>
      <c r="L11" s="18"/>
      <c r="M11" s="18"/>
      <c r="N11" s="18"/>
      <c r="O11" s="18"/>
      <c r="P11" s="18"/>
    </row>
    <row r="12" spans="7:16">
      <c r="G12" s="54"/>
      <c r="H12" s="55"/>
      <c r="I12" s="56"/>
      <c r="J12" s="85" t="s">
        <v>36</v>
      </c>
      <c r="K12" s="85"/>
      <c r="L12" s="86" t="s">
        <v>37</v>
      </c>
      <c r="M12" s="86"/>
      <c r="N12" s="18"/>
      <c r="O12" s="18"/>
      <c r="P12" s="18"/>
    </row>
    <row r="13" spans="7:16">
      <c r="G13" s="54"/>
      <c r="H13" s="55"/>
      <c r="I13" s="56"/>
      <c r="J13" s="85" t="s">
        <v>38</v>
      </c>
      <c r="K13" s="85"/>
      <c r="L13" s="57" t="s">
        <v>39</v>
      </c>
      <c r="M13" s="57"/>
      <c r="N13" s="18"/>
      <c r="O13" s="18"/>
      <c r="P13" s="18"/>
    </row>
    <row r="14" spans="7:16">
      <c r="G14" s="54"/>
      <c r="H14" s="55"/>
      <c r="I14" s="56"/>
      <c r="J14" s="85" t="s">
        <v>40</v>
      </c>
      <c r="K14" s="85"/>
      <c r="L14" s="57" t="s">
        <v>41</v>
      </c>
      <c r="M14" s="58"/>
      <c r="N14" s="18"/>
      <c r="O14" s="18"/>
      <c r="P14" s="18"/>
    </row>
    <row r="15" spans="7:16">
      <c r="G15" s="54"/>
      <c r="H15" s="55"/>
      <c r="I15" s="56"/>
      <c r="J15" s="85" t="s">
        <v>42</v>
      </c>
      <c r="K15" s="85"/>
      <c r="L15" s="57" t="s">
        <v>43</v>
      </c>
      <c r="M15" s="58"/>
      <c r="N15" s="18"/>
      <c r="O15" s="18"/>
      <c r="P15" s="18"/>
    </row>
    <row r="16" spans="7:16">
      <c r="G16" s="54"/>
      <c r="H16" s="55"/>
      <c r="I16" s="56"/>
      <c r="J16" s="85" t="s">
        <v>44</v>
      </c>
      <c r="K16" s="85"/>
      <c r="L16" s="57" t="s">
        <v>45</v>
      </c>
      <c r="M16" s="58"/>
      <c r="N16" s="18"/>
      <c r="O16" s="18"/>
      <c r="P16" s="18"/>
    </row>
    <row r="17" spans="2:16" ht="54.6" customHeight="1">
      <c r="B17" s="79" t="s">
        <v>128</v>
      </c>
      <c r="C17" s="79"/>
      <c r="D17" s="79"/>
      <c r="E17" s="79"/>
      <c r="F17" s="80"/>
      <c r="G17" s="59"/>
      <c r="H17" s="55"/>
      <c r="I17" s="18" t="s">
        <v>46</v>
      </c>
      <c r="J17" s="18"/>
      <c r="K17" s="18"/>
      <c r="L17" s="18"/>
      <c r="M17" s="18"/>
      <c r="N17" s="18"/>
      <c r="O17" s="18"/>
      <c r="P17" s="18"/>
    </row>
    <row r="18" spans="2:16" ht="54.6" customHeight="1">
      <c r="B18" s="81" t="s">
        <v>129</v>
      </c>
      <c r="C18" s="81"/>
      <c r="D18" s="81"/>
      <c r="E18" s="81"/>
      <c r="F18" s="82"/>
      <c r="G18" s="60"/>
      <c r="H18" s="55"/>
      <c r="I18" s="61" t="s">
        <v>20</v>
      </c>
      <c r="J18" s="18"/>
      <c r="K18" s="18"/>
      <c r="L18" s="18"/>
      <c r="M18" s="18"/>
      <c r="N18" s="18"/>
      <c r="O18" s="18"/>
      <c r="P18" s="18"/>
    </row>
    <row r="19" spans="2:16">
      <c r="B19" s="62" t="s">
        <v>130</v>
      </c>
      <c r="H19" s="18"/>
      <c r="J19" s="18"/>
      <c r="K19" s="18"/>
      <c r="L19" s="18"/>
      <c r="M19" s="18"/>
      <c r="N19" s="18"/>
      <c r="O19" s="18"/>
      <c r="P19" s="18"/>
    </row>
    <row r="20" spans="2:16">
      <c r="B20" s="63" t="s">
        <v>131</v>
      </c>
      <c r="C20" s="16" t="s">
        <v>132</v>
      </c>
      <c r="H20" s="18"/>
      <c r="J20" s="18"/>
      <c r="K20" s="18"/>
      <c r="L20" s="18"/>
      <c r="M20" s="18"/>
      <c r="N20" s="18"/>
      <c r="O20" s="18"/>
      <c r="P20" s="18"/>
    </row>
    <row r="21" spans="2:16">
      <c r="B21" s="64" t="s">
        <v>133</v>
      </c>
      <c r="C21" s="16" t="s">
        <v>134</v>
      </c>
      <c r="H21" s="18"/>
      <c r="I21" s="18"/>
      <c r="J21" s="18"/>
      <c r="K21" s="18"/>
      <c r="L21" s="18"/>
      <c r="M21" s="18"/>
      <c r="N21" s="18"/>
      <c r="O21" s="18"/>
      <c r="P21" s="18"/>
    </row>
    <row r="22" spans="2:16">
      <c r="H22" s="18"/>
      <c r="I22" s="18"/>
      <c r="J22" s="18"/>
      <c r="K22" s="18"/>
      <c r="L22" s="18"/>
      <c r="M22" s="18"/>
      <c r="N22" s="18"/>
      <c r="O22" s="18"/>
      <c r="P22" s="18"/>
    </row>
    <row r="23" spans="2:16">
      <c r="N23" s="18"/>
      <c r="O23" s="18"/>
      <c r="P23" s="18"/>
    </row>
    <row r="24" spans="2:16">
      <c r="N24" s="18"/>
      <c r="O24" s="18"/>
      <c r="P24" s="18"/>
    </row>
    <row r="25" spans="2:16">
      <c r="B25" s="83"/>
      <c r="C25" s="84"/>
      <c r="D25" s="84"/>
      <c r="E25" s="84"/>
      <c r="F25" s="84"/>
      <c r="G25" s="84"/>
      <c r="H25" s="84"/>
      <c r="I25" s="84"/>
      <c r="N25" s="18"/>
      <c r="O25" s="18"/>
      <c r="P25" s="18"/>
    </row>
    <row r="26" spans="2:16">
      <c r="B26" s="65"/>
      <c r="C26" s="66"/>
      <c r="D26" s="65"/>
      <c r="E26" s="65"/>
      <c r="F26" s="65"/>
      <c r="G26" s="65"/>
      <c r="H26" s="65"/>
      <c r="I26" s="65"/>
    </row>
    <row r="27" spans="2:16">
      <c r="B27" s="65"/>
      <c r="C27" s="65"/>
      <c r="D27" s="67" t="s">
        <v>135</v>
      </c>
      <c r="E27" s="65"/>
      <c r="F27" s="65"/>
      <c r="G27" s="65"/>
      <c r="H27" s="65"/>
      <c r="I27" s="65"/>
    </row>
    <row r="28" spans="2:16">
      <c r="B28" s="65"/>
      <c r="C28" s="65"/>
      <c r="D28" s="68" t="s">
        <v>136</v>
      </c>
      <c r="E28" s="65"/>
      <c r="F28" s="65"/>
      <c r="G28" s="65"/>
      <c r="H28" s="65"/>
      <c r="I28" s="65"/>
    </row>
    <row r="29" spans="2:16">
      <c r="B29" s="65"/>
      <c r="C29" s="65"/>
      <c r="D29" s="69" t="s">
        <v>137</v>
      </c>
      <c r="E29" s="65"/>
      <c r="F29" s="65"/>
      <c r="G29" s="65"/>
      <c r="H29" s="65"/>
      <c r="I29" s="65"/>
    </row>
    <row r="30" spans="2:16">
      <c r="B30" s="65"/>
      <c r="C30" s="65"/>
      <c r="D30" s="65"/>
      <c r="E30" s="65"/>
      <c r="F30" s="65"/>
      <c r="G30" s="65"/>
      <c r="H30" s="65"/>
      <c r="I30" s="65"/>
    </row>
    <row r="31" spans="2:16">
      <c r="B31" s="65"/>
      <c r="C31" s="65"/>
      <c r="D31" s="65"/>
      <c r="E31" s="65"/>
      <c r="F31" s="65"/>
      <c r="G31" s="65"/>
      <c r="H31" s="65"/>
      <c r="I31" s="65"/>
    </row>
    <row r="32" spans="2:16">
      <c r="B32" s="83"/>
      <c r="C32" s="84"/>
      <c r="D32" s="84"/>
      <c r="E32" s="84"/>
      <c r="F32" s="84"/>
      <c r="G32" s="84"/>
      <c r="H32" s="84"/>
      <c r="I32" s="84"/>
    </row>
  </sheetData>
  <mergeCells count="10">
    <mergeCell ref="L12:M12"/>
    <mergeCell ref="J13:K13"/>
    <mergeCell ref="J14:K14"/>
    <mergeCell ref="J15:K15"/>
    <mergeCell ref="J16:K16"/>
    <mergeCell ref="B17:F17"/>
    <mergeCell ref="B18:F18"/>
    <mergeCell ref="B25:I25"/>
    <mergeCell ref="B32:I32"/>
    <mergeCell ref="J12:K12"/>
  </mergeCells>
  <hyperlinks>
    <hyperlink ref="I18" r:id="rId1" xr:uid="{AE9A266E-748E-48B5-9F89-C6A57A824D2D}"/>
    <hyperlink ref="C21" r:id="rId2" xr:uid="{92F40949-F624-48A3-9B18-0BC2BB110EB2}"/>
    <hyperlink ref="C20" r:id="rId3" xr:uid="{EED616C9-C8E5-4A2F-90CB-469AE537B04B}"/>
    <hyperlink ref="D29" r:id="rId4" xr:uid="{E1C4D130-83C9-4CAA-A269-F2871908A90F}"/>
  </hyperlinks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15A5E-EF86-4DBD-91BD-B836081502AA}">
  <sheetPr codeName="Sheet2"/>
  <dimension ref="A1:Y51"/>
  <sheetViews>
    <sheetView topLeftCell="A25" workbookViewId="0">
      <selection activeCell="I37" sqref="I37"/>
    </sheetView>
  </sheetViews>
  <sheetFormatPr defaultRowHeight="15"/>
  <cols>
    <col min="2" max="2" width="7.7109375" customWidth="1"/>
    <col min="3" max="3" width="10" bestFit="1" customWidth="1"/>
    <col min="4" max="4" width="19.28515625" customWidth="1"/>
    <col min="5" max="5" width="10.42578125" customWidth="1"/>
    <col min="6" max="6" width="10.7109375" customWidth="1"/>
    <col min="7" max="7" width="16.85546875" customWidth="1"/>
    <col min="8" max="8" width="11.140625" customWidth="1"/>
    <col min="9" max="9" width="10.7109375" customWidth="1"/>
    <col min="10" max="10" width="14.28515625" customWidth="1"/>
    <col min="20" max="20" width="125.7109375" bestFit="1" customWidth="1"/>
    <col min="21" max="21" width="21.85546875" customWidth="1"/>
    <col min="22" max="22" width="13.140625" customWidth="1"/>
    <col min="23" max="23" width="11.28515625" customWidth="1"/>
    <col min="24" max="24" width="12.28515625" customWidth="1"/>
    <col min="25" max="25" width="9.7109375" customWidth="1"/>
  </cols>
  <sheetData>
    <row r="1" spans="1:25">
      <c r="A1" t="s">
        <v>21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T1">
        <v>1</v>
      </c>
      <c r="U1">
        <v>2</v>
      </c>
      <c r="V1">
        <v>3</v>
      </c>
      <c r="W1">
        <v>4</v>
      </c>
      <c r="X1">
        <v>5</v>
      </c>
      <c r="Y1">
        <v>6</v>
      </c>
    </row>
    <row r="2" spans="1:25">
      <c r="A2" t="s">
        <v>127</v>
      </c>
      <c r="C2">
        <v>1</v>
      </c>
      <c r="D2" t="str">
        <f>'XL-Test'!E53</f>
        <v>Televisi-LG</v>
      </c>
      <c r="E2">
        <f>'XL-Test'!F53</f>
        <v>1980000</v>
      </c>
      <c r="F2">
        <f>'XL-Test'!G53</f>
        <v>17325000</v>
      </c>
      <c r="G2">
        <f>'XL-Test'!H53</f>
        <v>4331250</v>
      </c>
      <c r="H2" t="str">
        <f>'XL-Test'!I53</f>
        <v>PowerBank</v>
      </c>
      <c r="I2">
        <f>'XL-Test'!J53</f>
        <v>12993750</v>
      </c>
      <c r="J2">
        <f>'XL-Test'!J63</f>
        <v>62540300</v>
      </c>
      <c r="S2">
        <v>1</v>
      </c>
      <c r="T2" t="str">
        <f ca="1">_xlfn.FORMULATEXT('XL-Test'!E53)</f>
        <v>=VLOOKUP(LEFT(C53;FIND("-";C53)-1);$B$65:$C$73;2;0)&amp;"-"&amp;HLOOKUP(RIGHT(C53;2);$C$75:$I$76;2;0)</v>
      </c>
      <c r="U2" t="str">
        <f ca="1">_xlfn.FORMULATEXT('XL-Test'!F53)</f>
        <v>=MID(C53;4;2)*VLOOKUP(MID(C53;7;3);$E$66:$G$70;3;FALSE)</v>
      </c>
      <c r="V2" t="str">
        <f ca="1">_xlfn.FORMULATEXT('XL-Test'!G53)</f>
        <v>=(F53+(F53*25%))*D53</v>
      </c>
      <c r="W2" t="str">
        <f ca="1">_xlfn.FORMULATEXT('XL-Test'!H53)</f>
        <v>=IF(G53&gt;=10000000;25%;SWITCH(TRUE;G53&gt;=8000000;20%;G53&gt;=5000000;15%;G53&gt;=3000000;10%;G53&gt;=2000000;5%;0))*G53</v>
      </c>
      <c r="X2" t="str">
        <f ca="1">_xlfn.FORMULATEXT('XL-Test'!I53)</f>
        <v>=IF(AND(G53&gt;=5000000; H53&gt;=2000000); "PowerBank"; IF(AND(G53&gt;=2000000; H53&gt;=500000); "TWS"; IF(AND(G53&lt;2000000; H53&lt;500000); "Voucher"; "")))</v>
      </c>
      <c r="Y2" t="str">
        <f ca="1">_xlfn.FORMULATEXT('XL-Test'!J53)</f>
        <v>=G53-H53</v>
      </c>
    </row>
    <row r="3" spans="1:25">
      <c r="C3">
        <v>2</v>
      </c>
      <c r="D3" t="str">
        <f>'XL-Test'!E54</f>
        <v>Handphone-Samsung</v>
      </c>
      <c r="E3">
        <f>'XL-Test'!F54</f>
        <v>1125000</v>
      </c>
      <c r="F3">
        <f>'XL-Test'!G54</f>
        <v>8437500</v>
      </c>
      <c r="G3">
        <f>'XL-Test'!H54</f>
        <v>1687500</v>
      </c>
      <c r="H3" t="str">
        <f>'XL-Test'!I54</f>
        <v>TWS</v>
      </c>
      <c r="I3">
        <f>'XL-Test'!J54</f>
        <v>6750000</v>
      </c>
      <c r="J3">
        <f>'XL-Test'!J64</f>
        <v>12993750</v>
      </c>
      <c r="S3">
        <v>2</v>
      </c>
      <c r="T3" t="str">
        <f ca="1">_xlfn.FORMULATEXT('XL-Test'!F53)</f>
        <v>=MID(C53;4;2)*VLOOKUP(MID(C53;7;3);$E$66:$G$70;3;FALSE)</v>
      </c>
    </row>
    <row r="4" spans="1:25">
      <c r="C4">
        <v>3</v>
      </c>
      <c r="D4" t="str">
        <f>'XL-Test'!E55</f>
        <v>Televisi-Panasonic</v>
      </c>
      <c r="E4">
        <f>'XL-Test'!F55</f>
        <v>1478400</v>
      </c>
      <c r="F4">
        <f>'XL-Test'!G55</f>
        <v>7392000</v>
      </c>
      <c r="G4">
        <f>'XL-Test'!H55</f>
        <v>1108800</v>
      </c>
      <c r="H4" t="str">
        <f>'XL-Test'!I55</f>
        <v>TWS</v>
      </c>
      <c r="I4">
        <f>'XL-Test'!J55</f>
        <v>6283200</v>
      </c>
      <c r="J4">
        <f>'XL-Test'!J65</f>
        <v>615000</v>
      </c>
      <c r="S4">
        <v>3</v>
      </c>
      <c r="T4" t="str">
        <f ca="1">_xlfn.FORMULATEXT('XL-Test'!G53)</f>
        <v>=(F53+(F53*25%))*D53</v>
      </c>
    </row>
    <row r="5" spans="1:25">
      <c r="C5">
        <v>4</v>
      </c>
      <c r="D5" t="str">
        <f>'XL-Test'!E56</f>
        <v>AC-Panasonic</v>
      </c>
      <c r="E5">
        <f>'XL-Test'!F56</f>
        <v>1460000</v>
      </c>
      <c r="F5">
        <f>'XL-Test'!G56</f>
        <v>9125000</v>
      </c>
      <c r="G5">
        <f>'XL-Test'!H56</f>
        <v>1825000</v>
      </c>
      <c r="H5" t="str">
        <f>'XL-Test'!I56</f>
        <v>TWS</v>
      </c>
      <c r="I5">
        <f>'XL-Test'!J56</f>
        <v>7300000</v>
      </c>
      <c r="J5">
        <f>'XL-Test'!J66</f>
        <v>6254030</v>
      </c>
      <c r="S5">
        <v>4</v>
      </c>
      <c r="T5" t="str">
        <f ca="1">_xlfn.FORMULATEXT('XL-Test'!H53)</f>
        <v>=IF(G53&gt;=10000000;25%;SWITCH(TRUE;G53&gt;=8000000;20%;G53&gt;=5000000;15%;G53&gt;=3000000;10%;G53&gt;=2000000;5%;0))*G53</v>
      </c>
    </row>
    <row r="6" spans="1:25">
      <c r="C6">
        <v>5</v>
      </c>
      <c r="D6" t="str">
        <f>'XL-Test'!E57</f>
        <v>Kulkas-Philips</v>
      </c>
      <c r="E6">
        <f>'XL-Test'!F57</f>
        <v>1226400</v>
      </c>
      <c r="F6">
        <f>'XL-Test'!G57</f>
        <v>4599000</v>
      </c>
      <c r="G6">
        <f>'XL-Test'!H57</f>
        <v>459900</v>
      </c>
      <c r="H6" t="str">
        <f>'XL-Test'!I57</f>
        <v/>
      </c>
      <c r="I6">
        <f>'XL-Test'!J57</f>
        <v>4139100</v>
      </c>
      <c r="J6">
        <f>'XL-Test'!J67</f>
        <v>10</v>
      </c>
      <c r="S6">
        <v>5</v>
      </c>
      <c r="T6" t="str">
        <f ca="1">_xlfn.FORMULATEXT('XL-Test'!I53)</f>
        <v>=IF(AND(G53&gt;=5000000; H53&gt;=2000000); "PowerBank"; IF(AND(G53&gt;=2000000; H53&gt;=500000); "TWS"; IF(AND(G53&lt;2000000; H53&lt;500000); "Voucher"; "")))</v>
      </c>
    </row>
    <row r="7" spans="1:25">
      <c r="C7">
        <v>6</v>
      </c>
      <c r="D7" t="str">
        <f>'XL-Test'!E58</f>
        <v>Laptop-Sony</v>
      </c>
      <c r="E7">
        <f>'XL-Test'!F58</f>
        <v>1190000</v>
      </c>
      <c r="F7">
        <f>'XL-Test'!G58</f>
        <v>2975000</v>
      </c>
      <c r="G7">
        <f>'XL-Test'!H58</f>
        <v>148750</v>
      </c>
      <c r="H7" t="str">
        <f>'XL-Test'!I58</f>
        <v/>
      </c>
      <c r="I7">
        <f>'XL-Test'!J58</f>
        <v>2826250</v>
      </c>
      <c r="S7">
        <v>6</v>
      </c>
      <c r="T7" t="str">
        <f ca="1">_xlfn.FORMULATEXT('XL-Test'!J53)</f>
        <v>=G53-H53</v>
      </c>
    </row>
    <row r="8" spans="1:25">
      <c r="C8">
        <v>7</v>
      </c>
      <c r="D8" t="str">
        <f>'XL-Test'!E59</f>
        <v>Kulkas-Sharp</v>
      </c>
      <c r="E8">
        <f>'XL-Test'!F59</f>
        <v>1116000</v>
      </c>
      <c r="F8">
        <f>'XL-Test'!G59</f>
        <v>5580000</v>
      </c>
      <c r="G8">
        <f>'XL-Test'!H59</f>
        <v>837000</v>
      </c>
      <c r="H8" t="str">
        <f>'XL-Test'!I59</f>
        <v>TWS</v>
      </c>
      <c r="I8">
        <f>'XL-Test'!J59</f>
        <v>4743000</v>
      </c>
      <c r="P8" t="b">
        <f ca="1">AND(ISNUMBER(FIND("=",T8)),ISNUMBER(FIND("(",T8)))</f>
        <v>1</v>
      </c>
      <c r="Q8" t="b">
        <f ca="1">ISNUMBER(FIND("SUM",T8))</f>
        <v>1</v>
      </c>
      <c r="S8">
        <v>71</v>
      </c>
      <c r="T8" t="str">
        <f ca="1">_xlfn.FORMULATEXT('XL-Test'!J63)</f>
        <v>=SUM(J53:J62)</v>
      </c>
    </row>
    <row r="9" spans="1:25">
      <c r="C9">
        <v>8</v>
      </c>
      <c r="D9" t="str">
        <f>'XL-Test'!E60</f>
        <v>Kipas-Philips</v>
      </c>
      <c r="E9">
        <f>'XL-Test'!F60</f>
        <v>492000</v>
      </c>
      <c r="F9">
        <f>'XL-Test'!G60</f>
        <v>615000</v>
      </c>
      <c r="G9">
        <f>'XL-Test'!H60</f>
        <v>0</v>
      </c>
      <c r="H9" t="str">
        <f>'XL-Test'!I60</f>
        <v>Voucher</v>
      </c>
      <c r="I9">
        <f>'XL-Test'!J60</f>
        <v>615000</v>
      </c>
      <c r="P9" t="b">
        <f ca="1">AND(ISNUMBER(FIND("=",T9)),ISNUMBER(FIND("(",T9)))</f>
        <v>1</v>
      </c>
      <c r="Q9" t="b">
        <f ca="1">ISNUMBER(FIND("MAX",T9))</f>
        <v>1</v>
      </c>
      <c r="S9">
        <v>71</v>
      </c>
      <c r="T9" t="str">
        <f ca="1">_xlfn.FORMULATEXT('XL-Test'!J64)</f>
        <v>=MAX(J53:J62)</v>
      </c>
    </row>
    <row r="10" spans="1:25">
      <c r="C10">
        <v>9</v>
      </c>
      <c r="D10" t="str">
        <f>'XL-Test'!E61</f>
        <v>Mesin Cuci-Philips</v>
      </c>
      <c r="E10">
        <f>'XL-Test'!F61</f>
        <v>1680000</v>
      </c>
      <c r="F10">
        <f>'XL-Test'!G61</f>
        <v>14700000</v>
      </c>
      <c r="G10">
        <f>'XL-Test'!H61</f>
        <v>3675000</v>
      </c>
      <c r="H10" t="str">
        <f>'XL-Test'!I61</f>
        <v>PowerBank</v>
      </c>
      <c r="I10">
        <f>'XL-Test'!J61</f>
        <v>11025000</v>
      </c>
      <c r="P10" t="b">
        <f ca="1">AND(ISNUMBER(FIND("=",T10)),ISNUMBER(FIND("(",T10)))</f>
        <v>1</v>
      </c>
      <c r="Q10" t="b">
        <f ca="1">ISNUMBER(FIND("MIN",T10))</f>
        <v>1</v>
      </c>
      <c r="S10">
        <v>71</v>
      </c>
      <c r="T10" t="str">
        <f ca="1">_xlfn.FORMULATEXT('XL-Test'!J65)</f>
        <v>=MIN(J53:J62)</v>
      </c>
    </row>
    <row r="11" spans="1:25">
      <c r="C11">
        <v>10</v>
      </c>
      <c r="D11" t="str">
        <f>'XL-Test'!E62</f>
        <v>Tablet-Samsung</v>
      </c>
      <c r="E11">
        <f>'XL-Test'!F62</f>
        <v>1104000</v>
      </c>
      <c r="F11">
        <f>'XL-Test'!G62</f>
        <v>6900000</v>
      </c>
      <c r="G11">
        <f>'XL-Test'!H62</f>
        <v>1035000</v>
      </c>
      <c r="H11" t="str">
        <f>'XL-Test'!I62</f>
        <v>TWS</v>
      </c>
      <c r="I11">
        <f>'XL-Test'!J62</f>
        <v>5865000</v>
      </c>
      <c r="P11" t="b">
        <f ca="1">AND(ISNUMBER(FIND("=",T11)),ISNUMBER(FIND("(",T11)))</f>
        <v>1</v>
      </c>
      <c r="Q11" t="b">
        <f ca="1">ISNUMBER(FIND("AVE",T11))</f>
        <v>1</v>
      </c>
      <c r="S11">
        <v>71</v>
      </c>
      <c r="T11" t="str">
        <f ca="1">_xlfn.FORMULATEXT('XL-Test'!J66)</f>
        <v>=AVERAGE(J53:J62)</v>
      </c>
    </row>
    <row r="12" spans="1:25">
      <c r="P12" t="b">
        <f ca="1">AND(ISNUMBER(FIND("=",T12)),ISNUMBER(FIND("(",T12)))</f>
        <v>1</v>
      </c>
      <c r="Q12" t="b">
        <f ca="1">ISNUMBER(FIND("COU",T12))</f>
        <v>1</v>
      </c>
      <c r="S12">
        <v>71</v>
      </c>
      <c r="T12" t="str">
        <f ca="1">_xlfn.FORMULATEXT('XL-Test'!J67)</f>
        <v>=COUNTA(E53:E62)</v>
      </c>
    </row>
    <row r="13" spans="1:25">
      <c r="C13" t="s">
        <v>22</v>
      </c>
      <c r="D13">
        <f>CODE(LEFT(D2))+CODE(RIGHT(D2))+CODE(LEFT(D3))+CODE(RIGHT(D3))+CODE(LEFT(D4))+CODE(RIGHT(D4))+CODE(LEFT(D5))+CODE(RIGHT(D5))+CODE(LEFT(D6))+CODE(RIGHT(D6))+CODE(LEFT(D6))+CODE(RIGHT(D6))+CODE(LEFT(D7))+CODE(RIGHT(D7))+CODE(LEFT(D8))+CODE(RIGHT(D8))+CODE(LEFT(D9))+CODE(RIGHT(D9))+CODE(LEFT(D10))+CODE(RIGHT(D10))+CODE(LEFT(D11))+CODE(RIGHT(D11))+CODE(MID(D2,3,1))+CODE(MID(D3,14,1))+CODE(MID(D11,3,1))+CODE(LEFT(RIGHT(D9,3)))</f>
        <v>2436</v>
      </c>
      <c r="E13">
        <f>SUM(E2:E11)/100</f>
        <v>128518</v>
      </c>
      <c r="F13">
        <f>SUM(F2:F11)/100</f>
        <v>776485</v>
      </c>
      <c r="G13">
        <f t="shared" ref="G13:J13" si="0">SUM(G2:G11)</f>
        <v>15108200</v>
      </c>
      <c r="H13">
        <f>CODE(LEFT(H2))+CODE(RIGHT(H2))+CODE(LEFT(H3))+CODE(RIGHT(H3))+CODE(LEFT(H4))+CODE(RIGHT(H4))+CODE(LEFT(H5))+CODE(RIGHT(H5))+IF(H6="",1,0)+IF(H7="",1,0)+CODE(LEFT(H9))+CODE(RIGHT(H9))+CODE(LEFT(H10))+CODE(RIGHT(H10))+CODE(LEFT(H11))+CODE(RIGHT(H11))+CODE(MID(H2,2,1))+CODE(MID(H3,2,1))+CODE(MID(H11,3,1))+CODE(LEFT(RIGHT(H9,3)))+CODE(LEFT(H8))</f>
        <v>1713</v>
      </c>
      <c r="I13">
        <f t="shared" si="0"/>
        <v>62540300</v>
      </c>
      <c r="J13">
        <f t="shared" si="0"/>
        <v>82403090</v>
      </c>
    </row>
    <row r="14" spans="1:25">
      <c r="C14" t="s">
        <v>30</v>
      </c>
      <c r="D14" t="str">
        <f ca="1">IFERROR(DEC2HEX(IF(OR(D2="",D2=0),D15,D13))&amp;D20,"FFFF")</f>
        <v>9841</v>
      </c>
      <c r="E14" t="str">
        <f t="shared" ref="E14:J14" ca="1" si="1">IFERROR(DEC2HEX(IF(OR(E2="",E2=0),E15,E13))&amp;E20,"FFFF")</f>
        <v>1F6061</v>
      </c>
      <c r="F14" t="str">
        <f t="shared" ca="1" si="1"/>
        <v>BD9251</v>
      </c>
      <c r="G14" t="str">
        <f t="shared" ca="1" si="1"/>
        <v>E688681</v>
      </c>
      <c r="H14" t="str">
        <f t="shared" ca="1" si="1"/>
        <v>6B11</v>
      </c>
      <c r="I14" t="str">
        <f t="shared" ca="1" si="1"/>
        <v>3BA4A0C1</v>
      </c>
      <c r="J14" t="str">
        <f t="shared" ca="1" si="1"/>
        <v>4E95F121</v>
      </c>
    </row>
    <row r="15" spans="1:25">
      <c r="C15" t="s">
        <v>23</v>
      </c>
      <c r="D15">
        <v>4939</v>
      </c>
      <c r="E15">
        <v>5969</v>
      </c>
      <c r="F15">
        <v>5674</v>
      </c>
      <c r="G15">
        <v>3794</v>
      </c>
      <c r="H15">
        <v>3289</v>
      </c>
      <c r="I15">
        <v>7644</v>
      </c>
      <c r="J15">
        <v>6815</v>
      </c>
    </row>
    <row r="17" spans="3:15">
      <c r="C17" t="b">
        <v>1</v>
      </c>
      <c r="D17" t="str">
        <f>LEFT(DEC2HEX(D15),2)</f>
        <v>13</v>
      </c>
      <c r="E17" t="str">
        <f t="shared" ref="E17:J17" si="2">LEFT(DEC2HEX(E15),2)</f>
        <v>17</v>
      </c>
      <c r="F17" t="str">
        <f t="shared" si="2"/>
        <v>16</v>
      </c>
      <c r="G17" t="str">
        <f t="shared" si="2"/>
        <v>ED</v>
      </c>
      <c r="H17" t="str">
        <f t="shared" si="2"/>
        <v>CD</v>
      </c>
      <c r="I17" t="str">
        <f t="shared" si="2"/>
        <v>1D</v>
      </c>
      <c r="J17" t="str">
        <f t="shared" si="2"/>
        <v>1A</v>
      </c>
    </row>
    <row r="18" spans="3:15">
      <c r="C18" t="b">
        <v>0</v>
      </c>
      <c r="D18" t="str">
        <f>RIGHT(DEC2HEX(D15),2)</f>
        <v>4B</v>
      </c>
      <c r="E18" t="str">
        <f t="shared" ref="E18:J18" si="3">RIGHT(DEC2HEX(E15),2)</f>
        <v>51</v>
      </c>
      <c r="F18" t="str">
        <f t="shared" si="3"/>
        <v>2A</v>
      </c>
      <c r="G18" t="str">
        <f t="shared" si="3"/>
        <v>D2</v>
      </c>
      <c r="H18" t="str">
        <f t="shared" si="3"/>
        <v>D9</v>
      </c>
      <c r="I18" t="str">
        <f t="shared" si="3"/>
        <v>DC</v>
      </c>
      <c r="J18" t="str">
        <f t="shared" si="3"/>
        <v>9F</v>
      </c>
    </row>
    <row r="20" spans="3:15">
      <c r="C20" t="s">
        <v>25</v>
      </c>
      <c r="D20">
        <f ca="1">AND(ISNUMBER(FIND("=",T2)),ISNUMBER(FIND("(",T2)))+0</f>
        <v>1</v>
      </c>
      <c r="E20">
        <f ca="1">AND(ISNUMBER(FIND("=",U2)),ISNUMBER(FIND("(",U2)))+0</f>
        <v>1</v>
      </c>
      <c r="F20">
        <f ca="1">AND(ISNUMBER(FIND("=",V2)),ISNUMBER(FIND("*",V2)))+0</f>
        <v>1</v>
      </c>
      <c r="G20">
        <f ca="1">AND(ISNUMBER(FIND("=",W2)),ISNUMBER(FIND("(",W2)))+0</f>
        <v>1</v>
      </c>
      <c r="H20">
        <f t="shared" ref="H20" ca="1" si="4">AND(ISNUMBER(FIND("=",X2)),ISNUMBER(FIND("(",X2)))+0</f>
        <v>1</v>
      </c>
      <c r="I20">
        <f ca="1">AND(ISNUMBER(FIND("=",Y2)),ISNUMBER(FIND("-",Y2)))+0</f>
        <v>1</v>
      </c>
      <c r="J20">
        <f ca="1">AND(P8,P9,P10,P11,P12)+0</f>
        <v>1</v>
      </c>
    </row>
    <row r="22" spans="3:15">
      <c r="C22" t="s">
        <v>26</v>
      </c>
      <c r="D22" t="b">
        <f ca="1">AND(ISNUMBER(FIND("VLO",T2)),ISNUMBER(FIND("HLO",T2)))</f>
        <v>1</v>
      </c>
      <c r="E22" t="b">
        <f ca="1">AND(ISNUMBER(FIND("MID",U2)),ISNUMBER(FIND("LOOK",U2)))</f>
        <v>1</v>
      </c>
      <c r="F22" t="b">
        <f ca="1">AND(ISNUMBER(FIND("*",V2)),ISNUMBER(FIND("25",V2)))</f>
        <v>1</v>
      </c>
      <c r="G22" t="b">
        <f ca="1">OR(ISNUMBER(FIND("IF",W2)),ISNUMBER(FIND("SW",W2)))</f>
        <v>1</v>
      </c>
      <c r="H22" t="b">
        <f ca="1">OR(ISNUMBER(FIND("IF",X2)),ISNUMBER(FIND("SW",X2)))</f>
        <v>1</v>
      </c>
      <c r="I22" t="b">
        <f ca="1">ISNUMBER(FIND("-",Y2))</f>
        <v>1</v>
      </c>
      <c r="J22" t="b">
        <f ca="1">AND(Q8,Q9,Q10,Q11,Q12)</f>
        <v>1</v>
      </c>
    </row>
    <row r="24" spans="3:15">
      <c r="C24" t="s">
        <v>24</v>
      </c>
      <c r="D24">
        <f ca="1">IFERROR(LEN(T2)-LEN(SUBSTITUTE(T2,"(","")),99)</f>
        <v>5</v>
      </c>
      <c r="E24">
        <f t="shared" ref="E24:I24" ca="1" si="5">IFERROR(LEN(U2)-LEN(SUBSTITUTE(U2,"(","")),99)</f>
        <v>3</v>
      </c>
      <c r="F24">
        <f t="shared" ca="1" si="5"/>
        <v>2</v>
      </c>
      <c r="G24">
        <f t="shared" ca="1" si="5"/>
        <v>2</v>
      </c>
      <c r="H24">
        <f t="shared" ca="1" si="5"/>
        <v>6</v>
      </c>
      <c r="I24">
        <f t="shared" ca="1" si="5"/>
        <v>0</v>
      </c>
    </row>
    <row r="25" spans="3:15">
      <c r="C25" t="s">
        <v>27</v>
      </c>
      <c r="D25">
        <v>5</v>
      </c>
      <c r="E25">
        <v>3</v>
      </c>
      <c r="F25">
        <v>2</v>
      </c>
      <c r="G25">
        <v>5</v>
      </c>
      <c r="H25">
        <v>6</v>
      </c>
      <c r="I25">
        <v>1</v>
      </c>
    </row>
    <row r="27" spans="3:15">
      <c r="C27" t="s">
        <v>28</v>
      </c>
      <c r="D27">
        <f t="shared" ref="D27:I27" ca="1" si="6">AND(D24&lt;=D25,D51)+0</f>
        <v>1</v>
      </c>
      <c r="E27">
        <f t="shared" ca="1" si="6"/>
        <v>1</v>
      </c>
      <c r="F27">
        <f t="shared" ca="1" si="6"/>
        <v>1</v>
      </c>
      <c r="G27">
        <f t="shared" ca="1" si="6"/>
        <v>1</v>
      </c>
      <c r="H27">
        <f t="shared" ca="1" si="6"/>
        <v>1</v>
      </c>
      <c r="I27">
        <f t="shared" ca="1" si="6"/>
        <v>1</v>
      </c>
      <c r="N27" t="s">
        <v>125</v>
      </c>
      <c r="O27" t="s">
        <v>126</v>
      </c>
    </row>
    <row r="29" spans="3:15">
      <c r="C29" t="s">
        <v>31</v>
      </c>
      <c r="D29" t="str">
        <f ca="1">IF(D22,D17,D18)&amp;D27</f>
        <v>131</v>
      </c>
      <c r="E29" t="str">
        <f t="shared" ref="E29:J29" ca="1" si="7">IF(E22,E17,E18)&amp;E27</f>
        <v>171</v>
      </c>
      <c r="F29" t="str">
        <f t="shared" ca="1" si="7"/>
        <v>161</v>
      </c>
      <c r="G29" t="str">
        <f t="shared" ca="1" si="7"/>
        <v>ED1</v>
      </c>
      <c r="H29" t="str">
        <f t="shared" ca="1" si="7"/>
        <v>CD1</v>
      </c>
      <c r="I29" t="str">
        <f t="shared" ca="1" si="7"/>
        <v>1D1</v>
      </c>
      <c r="J29" t="str">
        <f t="shared" ca="1" si="7"/>
        <v>1A</v>
      </c>
    </row>
    <row r="30" spans="3:15">
      <c r="C30" t="s">
        <v>29</v>
      </c>
      <c r="D30" t="str">
        <f ca="1">D29&amp;"-"&amp;D14&amp;";"</f>
        <v>131-9841;</v>
      </c>
      <c r="E30" t="str">
        <f t="shared" ref="E30:I30" ca="1" si="8">E29&amp;"-"&amp;E14&amp;";"</f>
        <v>171-1F6061;</v>
      </c>
      <c r="F30" t="str">
        <f t="shared" ca="1" si="8"/>
        <v>161-BD9251;</v>
      </c>
      <c r="G30" t="str">
        <f t="shared" ca="1" si="8"/>
        <v>ED1-E688681;</v>
      </c>
      <c r="H30" t="str">
        <f t="shared" ca="1" si="8"/>
        <v>CD1-6B11;</v>
      </c>
      <c r="I30" t="str">
        <f t="shared" ca="1" si="8"/>
        <v>1D1-3BA4A0C1;</v>
      </c>
      <c r="J30" t="str">
        <f ca="1">J29&amp;"-"&amp;J14</f>
        <v>1A-4E95F121</v>
      </c>
    </row>
    <row r="31" spans="3:15">
      <c r="N31" t="str" cm="1">
        <f t="array" aca="1" ref="N31" ca="1">INDIRECT(N27&amp;O27&amp;"d")</f>
        <v>EG3|131-9841;171-1F6061;161-BD9251;ED1-E688681;CD1-6B11;1D1-3BA4A0C1;1A-4E95F121</v>
      </c>
    </row>
    <row r="32" spans="3:15">
      <c r="D32" t="str">
        <f ca="1">A2&amp;"|"&amp;D30&amp;E30&amp;F30&amp;G30&amp;H30&amp;I30&amp;J30</f>
        <v>EG3|131-9841;171-1F6061;161-BD9251;ED1-E688681;CD1-6B11;1D1-3BA4A0C1;1A-4E95F121</v>
      </c>
    </row>
    <row r="35" spans="3:13">
      <c r="C35">
        <v>1</v>
      </c>
      <c r="D35">
        <f ca="1">LEN(_xlfn.FORMULATEXT('XL-Test'!E53))</f>
        <v>93</v>
      </c>
      <c r="E35">
        <f ca="1">LEN(_xlfn.FORMULATEXT('XL-Test'!F53))</f>
        <v>55</v>
      </c>
      <c r="F35">
        <f ca="1">LEN(_xlfn.FORMULATEXT('XL-Test'!G53))</f>
        <v>20</v>
      </c>
      <c r="G35">
        <f ca="1">LEN(_xlfn.FORMULATEXT('XL-Test'!H53))</f>
        <v>108</v>
      </c>
      <c r="H35">
        <f ca="1">LEN(_xlfn.FORMULATEXT('XL-Test'!I53))</f>
        <v>141</v>
      </c>
      <c r="I35">
        <f ca="1">LEN(_xlfn.FORMULATEXT('XL-Test'!J53))</f>
        <v>8</v>
      </c>
      <c r="M35" t="str">
        <f ca="1">D32</f>
        <v>EG3|131-9841;171-1F6061;161-BD9251;ED1-E688681;CD1-6B11;1D1-3BA4A0C1;1A-4E95F121</v>
      </c>
    </row>
    <row r="36" spans="3:13">
      <c r="C36">
        <v>2</v>
      </c>
      <c r="D36">
        <f ca="1">LEN(_xlfn.FORMULATEXT('XL-Test'!E54))</f>
        <v>93</v>
      </c>
      <c r="E36">
        <f ca="1">LEN(_xlfn.FORMULATEXT('XL-Test'!F54))</f>
        <v>55</v>
      </c>
      <c r="F36">
        <f ca="1">LEN(_xlfn.FORMULATEXT('XL-Test'!G54))</f>
        <v>20</v>
      </c>
      <c r="G36">
        <f ca="1">LEN(_xlfn.FORMULATEXT('XL-Test'!H54))</f>
        <v>108</v>
      </c>
      <c r="H36">
        <f ca="1">LEN(_xlfn.FORMULATEXT('XL-Test'!I54))</f>
        <v>141</v>
      </c>
      <c r="I36">
        <f ca="1">LEN(_xlfn.FORMULATEXT('XL-Test'!J54))</f>
        <v>8</v>
      </c>
    </row>
    <row r="37" spans="3:13">
      <c r="C37">
        <v>3</v>
      </c>
      <c r="D37">
        <f ca="1">LEN(_xlfn.FORMULATEXT('XL-Test'!E55))</f>
        <v>93</v>
      </c>
      <c r="E37">
        <f ca="1">LEN(_xlfn.FORMULATEXT('XL-Test'!F55))</f>
        <v>55</v>
      </c>
      <c r="F37">
        <f ca="1">LEN(_xlfn.FORMULATEXT('XL-Test'!G55))</f>
        <v>20</v>
      </c>
      <c r="G37">
        <f ca="1">LEN(_xlfn.FORMULATEXT('XL-Test'!H55))</f>
        <v>108</v>
      </c>
      <c r="H37">
        <f ca="1">LEN(_xlfn.FORMULATEXT('XL-Test'!I55))</f>
        <v>141</v>
      </c>
      <c r="I37">
        <f ca="1">LEN(_xlfn.FORMULATEXT('XL-Test'!J55))</f>
        <v>8</v>
      </c>
    </row>
    <row r="38" spans="3:13">
      <c r="C38">
        <v>4</v>
      </c>
      <c r="D38">
        <f ca="1">LEN(_xlfn.FORMULATEXT('XL-Test'!E56))</f>
        <v>93</v>
      </c>
      <c r="E38">
        <f ca="1">LEN(_xlfn.FORMULATEXT('XL-Test'!F56))</f>
        <v>55</v>
      </c>
      <c r="F38">
        <f ca="1">LEN(_xlfn.FORMULATEXT('XL-Test'!G56))</f>
        <v>20</v>
      </c>
      <c r="G38">
        <f ca="1">LEN(_xlfn.FORMULATEXT('XL-Test'!H56))</f>
        <v>108</v>
      </c>
      <c r="H38">
        <f ca="1">LEN(_xlfn.FORMULATEXT('XL-Test'!I56))</f>
        <v>141</v>
      </c>
      <c r="I38">
        <f ca="1">LEN(_xlfn.FORMULATEXT('XL-Test'!J56))</f>
        <v>8</v>
      </c>
    </row>
    <row r="39" spans="3:13">
      <c r="C39">
        <v>5</v>
      </c>
      <c r="D39">
        <f ca="1">LEN(_xlfn.FORMULATEXT('XL-Test'!E57))</f>
        <v>93</v>
      </c>
      <c r="E39">
        <f ca="1">LEN(_xlfn.FORMULATEXT('XL-Test'!F57))</f>
        <v>55</v>
      </c>
      <c r="F39">
        <f ca="1">LEN(_xlfn.FORMULATEXT('XL-Test'!G57))</f>
        <v>20</v>
      </c>
      <c r="G39">
        <f ca="1">LEN(_xlfn.FORMULATEXT('XL-Test'!H57))</f>
        <v>108</v>
      </c>
      <c r="H39">
        <f ca="1">LEN(_xlfn.FORMULATEXT('XL-Test'!I57))</f>
        <v>141</v>
      </c>
      <c r="I39">
        <f ca="1">LEN(_xlfn.FORMULATEXT('XL-Test'!J57))</f>
        <v>8</v>
      </c>
    </row>
    <row r="40" spans="3:13">
      <c r="C40">
        <v>6</v>
      </c>
      <c r="D40">
        <f ca="1">LEN(_xlfn.FORMULATEXT('XL-Test'!E58))</f>
        <v>93</v>
      </c>
      <c r="E40">
        <f ca="1">LEN(_xlfn.FORMULATEXT('XL-Test'!F58))</f>
        <v>55</v>
      </c>
      <c r="F40">
        <f ca="1">LEN(_xlfn.FORMULATEXT('XL-Test'!G58))</f>
        <v>20</v>
      </c>
      <c r="G40">
        <f ca="1">LEN(_xlfn.FORMULATEXT('XL-Test'!H58))</f>
        <v>108</v>
      </c>
      <c r="H40">
        <f ca="1">LEN(_xlfn.FORMULATEXT('XL-Test'!I58))</f>
        <v>141</v>
      </c>
      <c r="I40">
        <f ca="1">LEN(_xlfn.FORMULATEXT('XL-Test'!J58))</f>
        <v>8</v>
      </c>
    </row>
    <row r="41" spans="3:13">
      <c r="C41">
        <v>7</v>
      </c>
      <c r="D41">
        <f ca="1">LEN(_xlfn.FORMULATEXT('XL-Test'!E59))</f>
        <v>93</v>
      </c>
      <c r="E41">
        <f ca="1">LEN(_xlfn.FORMULATEXT('XL-Test'!F59))</f>
        <v>55</v>
      </c>
      <c r="F41">
        <f ca="1">LEN(_xlfn.FORMULATEXT('XL-Test'!G59))</f>
        <v>20</v>
      </c>
      <c r="G41">
        <f ca="1">LEN(_xlfn.FORMULATEXT('XL-Test'!H59))</f>
        <v>108</v>
      </c>
      <c r="H41">
        <f ca="1">LEN(_xlfn.FORMULATEXT('XL-Test'!I59))</f>
        <v>141</v>
      </c>
      <c r="I41">
        <f ca="1">LEN(_xlfn.FORMULATEXT('XL-Test'!J59))</f>
        <v>8</v>
      </c>
    </row>
    <row r="42" spans="3:13">
      <c r="C42">
        <v>8</v>
      </c>
      <c r="D42">
        <f ca="1">LEN(_xlfn.FORMULATEXT('XL-Test'!E60))</f>
        <v>93</v>
      </c>
      <c r="E42">
        <f ca="1">LEN(_xlfn.FORMULATEXT('XL-Test'!F60))</f>
        <v>55</v>
      </c>
      <c r="F42">
        <f ca="1">LEN(_xlfn.FORMULATEXT('XL-Test'!G60))</f>
        <v>20</v>
      </c>
      <c r="G42">
        <f ca="1">LEN(_xlfn.FORMULATEXT('XL-Test'!H60))</f>
        <v>108</v>
      </c>
      <c r="H42">
        <f ca="1">LEN(_xlfn.FORMULATEXT('XL-Test'!I60))</f>
        <v>141</v>
      </c>
      <c r="I42">
        <f ca="1">LEN(_xlfn.FORMULATEXT('XL-Test'!J60))</f>
        <v>8</v>
      </c>
    </row>
    <row r="43" spans="3:13">
      <c r="C43">
        <v>9</v>
      </c>
      <c r="D43">
        <f ca="1">LEN(_xlfn.FORMULATEXT('XL-Test'!E61))</f>
        <v>93</v>
      </c>
      <c r="E43">
        <f ca="1">LEN(_xlfn.FORMULATEXT('XL-Test'!F61))</f>
        <v>55</v>
      </c>
      <c r="F43">
        <f ca="1">LEN(_xlfn.FORMULATEXT('XL-Test'!G61))</f>
        <v>20</v>
      </c>
      <c r="G43">
        <f ca="1">LEN(_xlfn.FORMULATEXT('XL-Test'!H61))</f>
        <v>108</v>
      </c>
      <c r="H43">
        <f ca="1">LEN(_xlfn.FORMULATEXT('XL-Test'!I61))</f>
        <v>141</v>
      </c>
      <c r="I43">
        <f ca="1">LEN(_xlfn.FORMULATEXT('XL-Test'!J61))</f>
        <v>8</v>
      </c>
    </row>
    <row r="44" spans="3:13">
      <c r="C44">
        <v>10</v>
      </c>
      <c r="D44">
        <f ca="1">LEN(_xlfn.FORMULATEXT('XL-Test'!E62))</f>
        <v>93</v>
      </c>
      <c r="E44">
        <f ca="1">LEN(_xlfn.FORMULATEXT('XL-Test'!F62))</f>
        <v>55</v>
      </c>
      <c r="F44">
        <f ca="1">LEN(_xlfn.FORMULATEXT('XL-Test'!G62))</f>
        <v>20</v>
      </c>
      <c r="G44">
        <f ca="1">LEN(_xlfn.FORMULATEXT('XL-Test'!H62))</f>
        <v>108</v>
      </c>
      <c r="H44">
        <f ca="1">LEN(_xlfn.FORMULATEXT('XL-Test'!I62))</f>
        <v>141</v>
      </c>
      <c r="I44">
        <f ca="1">LEN(_xlfn.FORMULATEXT('XL-Test'!J62))</f>
        <v>8</v>
      </c>
    </row>
    <row r="46" spans="3:13">
      <c r="D46">
        <f t="shared" ref="D46:I46" ca="1" si="9">AVERAGE(D35:D44)</f>
        <v>93</v>
      </c>
      <c r="E46">
        <f t="shared" ca="1" si="9"/>
        <v>55</v>
      </c>
      <c r="F46">
        <f t="shared" ca="1" si="9"/>
        <v>20</v>
      </c>
      <c r="G46">
        <f t="shared" ca="1" si="9"/>
        <v>108</v>
      </c>
      <c r="H46">
        <f t="shared" ca="1" si="9"/>
        <v>141</v>
      </c>
      <c r="I46">
        <f t="shared" ca="1" si="9"/>
        <v>8</v>
      </c>
    </row>
    <row r="48" spans="3:13">
      <c r="D48" t="b">
        <f t="shared" ref="D48:I48" ca="1" si="10">D46=D35</f>
        <v>1</v>
      </c>
      <c r="E48" t="b">
        <f t="shared" ca="1" si="10"/>
        <v>1</v>
      </c>
      <c r="F48" t="b">
        <f t="shared" ca="1" si="10"/>
        <v>1</v>
      </c>
      <c r="G48" t="b">
        <f t="shared" ca="1" si="10"/>
        <v>1</v>
      </c>
      <c r="H48" t="b">
        <f t="shared" ca="1" si="10"/>
        <v>1</v>
      </c>
      <c r="I48" t="b">
        <f t="shared" ca="1" si="10"/>
        <v>1</v>
      </c>
      <c r="J48" t="b">
        <v>1</v>
      </c>
    </row>
    <row r="49" spans="3:10">
      <c r="C49" t="s">
        <v>124</v>
      </c>
      <c r="D49" t="b">
        <f ca="1">AND(D35&gt;0,D38=0,D5&gt;0)</f>
        <v>0</v>
      </c>
      <c r="E49" t="b">
        <f t="shared" ref="E49:J49" ca="1" si="11">AND(E35&gt;0,E38=0,E5&gt;0)</f>
        <v>0</v>
      </c>
      <c r="F49" t="b">
        <f t="shared" ca="1" si="11"/>
        <v>0</v>
      </c>
      <c r="G49" t="b">
        <f t="shared" ca="1" si="11"/>
        <v>0</v>
      </c>
      <c r="H49" t="b">
        <f t="shared" ca="1" si="11"/>
        <v>0</v>
      </c>
      <c r="I49" t="b">
        <f t="shared" ca="1" si="11"/>
        <v>0</v>
      </c>
      <c r="J49" t="b">
        <f t="shared" si="11"/>
        <v>0</v>
      </c>
    </row>
    <row r="51" spans="3:10">
      <c r="D51" t="b">
        <f ca="1">IFERROR(OR(D48,D49),FALSE)</f>
        <v>1</v>
      </c>
      <c r="E51" t="b">
        <f t="shared" ref="E51:J51" ca="1" si="12">IFERROR(OR(E48,E49),FALSE)</f>
        <v>1</v>
      </c>
      <c r="F51" t="b">
        <f t="shared" ca="1" si="12"/>
        <v>1</v>
      </c>
      <c r="G51" t="b">
        <f t="shared" ca="1" si="12"/>
        <v>1</v>
      </c>
      <c r="H51" t="b">
        <f t="shared" ca="1" si="12"/>
        <v>1</v>
      </c>
      <c r="I51" t="b">
        <f t="shared" ca="1" si="12"/>
        <v>1</v>
      </c>
      <c r="J51" t="b">
        <f t="shared" si="12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XL-Test</vt:lpstr>
      <vt:lpstr>About</vt:lpstr>
      <vt:lpstr>kode_jawaban</vt:lpstr>
      <vt:lpstr>DF!sayad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andi setiadi</dc:creator>
  <cp:keywords/>
  <dc:description/>
  <cp:lastModifiedBy>Siti Rukoyah Al Munazalah</cp:lastModifiedBy>
  <cp:revision/>
  <dcterms:created xsi:type="dcterms:W3CDTF">2025-05-23T12:21:29Z</dcterms:created>
  <dcterms:modified xsi:type="dcterms:W3CDTF">2026-03-19T06:13:50Z</dcterms:modified>
  <cp:category/>
  <cp:contentStatus/>
</cp:coreProperties>
</file>