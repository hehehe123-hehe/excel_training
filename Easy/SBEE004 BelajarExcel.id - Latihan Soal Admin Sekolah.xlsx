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Portofolio Project\sql\Excel\"/>
    </mc:Choice>
  </mc:AlternateContent>
  <xr:revisionPtr revIDLastSave="0" documentId="13_ncr:1_{6632BFA8-6958-466D-94AD-BB4CD4F2B99E}" xr6:coauthVersionLast="47" xr6:coauthVersionMax="47" xr10:uidLastSave="{00000000-0000-0000-0000-000000000000}"/>
  <workbookProtection workbookAlgorithmName="SHA-512" workbookHashValue="Rxf05HZ9A747toRVm8G0tSAyxtgbGMrhmIJFZUWOWou8jU28L0KoFznPKNN+eHytxlWpK5HOZdOsXgZ2tRDL1A==" workbookSaltValue="xrNTniMyo7+FyQdegEOjnA==" workbookSpinCount="100000" lockStructure="1"/>
  <bookViews>
    <workbookView xWindow="-120" yWindow="-120" windowWidth="20730" windowHeight="11760" xr2:uid="{5F0B4059-075A-4114-8962-38C63ECE4E04}"/>
  </bookViews>
  <sheets>
    <sheet name="XL-TEST" sheetId="1" r:id="rId1"/>
    <sheet name="About" sheetId="3" r:id="rId2"/>
    <sheet name="DF" sheetId="2" state="veryHidden" r:id="rId3"/>
  </sheets>
  <definedNames>
    <definedName name="kode_jawaban">DF!$D$51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1" l="1"/>
  <c r="J8" i="1"/>
  <c r="K8" i="1" s="1"/>
  <c r="J9" i="1"/>
  <c r="J10" i="1"/>
  <c r="J11" i="1"/>
  <c r="J12" i="1"/>
  <c r="H8" i="2" s="1"/>
  <c r="J13" i="1"/>
  <c r="J14" i="1"/>
  <c r="J15" i="1"/>
  <c r="J6" i="1"/>
  <c r="E7" i="1"/>
  <c r="E8" i="1"/>
  <c r="E9" i="1"/>
  <c r="E10" i="1"/>
  <c r="D6" i="2" s="1"/>
  <c r="E11" i="1"/>
  <c r="E12" i="1"/>
  <c r="E13" i="1"/>
  <c r="E14" i="1"/>
  <c r="E15" i="1"/>
  <c r="E6" i="1"/>
  <c r="K12" i="1"/>
  <c r="K7" i="1"/>
  <c r="K11" i="1"/>
  <c r="K15" i="1"/>
  <c r="I7" i="1"/>
  <c r="I8" i="1"/>
  <c r="I9" i="1"/>
  <c r="I10" i="1"/>
  <c r="G6" i="2" s="1"/>
  <c r="I11" i="1"/>
  <c r="I12" i="1"/>
  <c r="I13" i="1"/>
  <c r="I14" i="1"/>
  <c r="I15" i="1"/>
  <c r="I6" i="1"/>
  <c r="G7" i="1"/>
  <c r="G8" i="1"/>
  <c r="G9" i="1"/>
  <c r="G10" i="1"/>
  <c r="F6" i="2" s="1"/>
  <c r="G11" i="1"/>
  <c r="G12" i="1"/>
  <c r="G13" i="1"/>
  <c r="G14" i="1"/>
  <c r="F10" i="2" s="1"/>
  <c r="G15" i="1"/>
  <c r="G6" i="1"/>
  <c r="F2" i="2" s="1"/>
  <c r="F7" i="1"/>
  <c r="F8" i="1"/>
  <c r="F9" i="1"/>
  <c r="F10" i="1"/>
  <c r="F11" i="1"/>
  <c r="F12" i="1"/>
  <c r="F13" i="1"/>
  <c r="E9" i="2" s="1"/>
  <c r="F14" i="1"/>
  <c r="F15" i="1"/>
  <c r="F6" i="1"/>
  <c r="E5" i="2"/>
  <c r="E6" i="2"/>
  <c r="D8" i="2"/>
  <c r="E41" i="2"/>
  <c r="F41" i="2"/>
  <c r="G41" i="2"/>
  <c r="H41" i="2"/>
  <c r="I41" i="2"/>
  <c r="D41" i="2"/>
  <c r="E40" i="2"/>
  <c r="F40" i="2"/>
  <c r="G40" i="2"/>
  <c r="H40" i="2"/>
  <c r="I40" i="2"/>
  <c r="D40" i="2"/>
  <c r="G3" i="2"/>
  <c r="G5" i="2"/>
  <c r="F3" i="2"/>
  <c r="F4" i="2"/>
  <c r="F5" i="2"/>
  <c r="F7" i="2"/>
  <c r="F8" i="2"/>
  <c r="F9" i="2"/>
  <c r="F11" i="2"/>
  <c r="E3" i="2"/>
  <c r="E4" i="2"/>
  <c r="E8" i="2"/>
  <c r="E10" i="2"/>
  <c r="H4" i="2"/>
  <c r="D3" i="2"/>
  <c r="D4" i="2"/>
  <c r="D9" i="2"/>
  <c r="I28" i="2"/>
  <c r="E28" i="2"/>
  <c r="E29" i="2"/>
  <c r="E30" i="2"/>
  <c r="E31" i="2"/>
  <c r="D29" i="2"/>
  <c r="R2" i="2"/>
  <c r="V2" i="2"/>
  <c r="I31" i="2"/>
  <c r="H30" i="2"/>
  <c r="U2" i="2"/>
  <c r="I29" i="2"/>
  <c r="F28" i="2"/>
  <c r="F29" i="2"/>
  <c r="F30" i="2"/>
  <c r="F31" i="2"/>
  <c r="D30" i="2"/>
  <c r="S2" i="2"/>
  <c r="Q2" i="2"/>
  <c r="H28" i="2"/>
  <c r="D28" i="2"/>
  <c r="I30" i="2"/>
  <c r="G28" i="2"/>
  <c r="G29" i="2"/>
  <c r="G30" i="2"/>
  <c r="G31" i="2"/>
  <c r="D31" i="2"/>
  <c r="T2" i="2"/>
  <c r="H29" i="2"/>
  <c r="H31" i="2"/>
  <c r="K9" i="1" l="1"/>
  <c r="K6" i="1"/>
  <c r="H10" i="2"/>
  <c r="K14" i="1"/>
  <c r="I10" i="2" s="1"/>
  <c r="K13" i="1"/>
  <c r="H9" i="2"/>
  <c r="K10" i="1"/>
  <c r="D5" i="2"/>
  <c r="D10" i="2"/>
  <c r="G26" i="2"/>
  <c r="F26" i="2"/>
  <c r="H26" i="2"/>
  <c r="I26" i="2"/>
  <c r="E26" i="2"/>
  <c r="H5" i="2"/>
  <c r="H36" i="2" s="1"/>
  <c r="I5" i="2"/>
  <c r="I36" i="2" s="1"/>
  <c r="F13" i="2"/>
  <c r="F21" i="2"/>
  <c r="F17" i="2"/>
  <c r="I33" i="2"/>
  <c r="I34" i="2" s="1"/>
  <c r="E33" i="2"/>
  <c r="E34" i="2" s="1"/>
  <c r="E36" i="2"/>
  <c r="F33" i="2"/>
  <c r="F34" i="2" s="1"/>
  <c r="F36" i="2"/>
  <c r="G33" i="2"/>
  <c r="G34" i="2" s="1"/>
  <c r="G36" i="2"/>
  <c r="H33" i="2"/>
  <c r="H34" i="2" s="1"/>
  <c r="D33" i="2"/>
  <c r="D34" i="2" s="1"/>
  <c r="D36" i="2"/>
  <c r="E18" i="2"/>
  <c r="E20" i="2" s="1"/>
  <c r="F18" i="2"/>
  <c r="F20" i="2" s="1"/>
  <c r="G18" i="2"/>
  <c r="G20" i="2" s="1"/>
  <c r="H18" i="2"/>
  <c r="H20" i="2" s="1"/>
  <c r="I18" i="2"/>
  <c r="I20" i="2" s="1"/>
  <c r="D18" i="2"/>
  <c r="D20" i="2" s="1"/>
  <c r="D26" i="2"/>
  <c r="D16" i="2"/>
  <c r="Q3" i="2"/>
  <c r="E16" i="2"/>
  <c r="Q4" i="2"/>
  <c r="F16" i="2"/>
  <c r="Q5" i="2"/>
  <c r="G16" i="2"/>
  <c r="Q6" i="2"/>
  <c r="H16" i="2"/>
  <c r="Q7" i="2"/>
  <c r="I16" i="2"/>
  <c r="I4" i="2"/>
  <c r="G4" i="2"/>
  <c r="I8" i="2"/>
  <c r="G8" i="2"/>
  <c r="I9" i="2"/>
  <c r="G9" i="2"/>
  <c r="G10" i="2"/>
  <c r="I3" i="2"/>
  <c r="H3" i="2"/>
  <c r="I6" i="2"/>
  <c r="H6" i="2"/>
  <c r="I7" i="2"/>
  <c r="I11" i="2"/>
  <c r="I2" i="2"/>
  <c r="H7" i="2"/>
  <c r="H11" i="2"/>
  <c r="H2" i="2"/>
  <c r="G7" i="2"/>
  <c r="G11" i="2"/>
  <c r="G2" i="2"/>
  <c r="E7" i="2"/>
  <c r="E11" i="2"/>
  <c r="E2" i="2"/>
  <c r="D11" i="2"/>
  <c r="D7" i="2"/>
  <c r="D2" i="2"/>
  <c r="I21" i="2" l="1"/>
  <c r="I17" i="2"/>
  <c r="I13" i="2"/>
  <c r="H21" i="2"/>
  <c r="H17" i="2"/>
  <c r="H13" i="2"/>
  <c r="G21" i="2"/>
  <c r="G17" i="2"/>
  <c r="G13" i="2"/>
  <c r="E13" i="2"/>
  <c r="E21" i="2"/>
  <c r="E17" i="2"/>
  <c r="D21" i="2"/>
  <c r="D17" i="2"/>
  <c r="D13" i="2"/>
  <c r="D23" i="2"/>
  <c r="D43" i="2" s="1"/>
  <c r="I27" i="2"/>
  <c r="I38" i="2" s="1"/>
  <c r="I44" i="2" s="1"/>
  <c r="E27" i="2"/>
  <c r="E38" i="2" s="1"/>
  <c r="E44" i="2" s="1"/>
  <c r="F27" i="2"/>
  <c r="F38" i="2" s="1"/>
  <c r="F44" i="2" s="1"/>
  <c r="G27" i="2"/>
  <c r="G38" i="2" s="1"/>
  <c r="G44" i="2" s="1"/>
  <c r="H27" i="2"/>
  <c r="H38" i="2" s="1"/>
  <c r="H44" i="2" s="1"/>
  <c r="D27" i="2"/>
  <c r="D38" i="2" s="1"/>
  <c r="D44" i="2" s="1"/>
  <c r="F23" i="2"/>
  <c r="F43" i="2" s="1"/>
  <c r="G23" i="2"/>
  <c r="G43" i="2" l="1"/>
  <c r="E23" i="2"/>
  <c r="E43" i="2" s="1"/>
  <c r="E45" i="2" s="1"/>
  <c r="I23" i="2"/>
  <c r="I43" i="2" s="1"/>
  <c r="I45" i="2" s="1"/>
  <c r="H23" i="2"/>
  <c r="H43" i="2" s="1"/>
  <c r="H45" i="2" s="1"/>
  <c r="G45" i="2"/>
  <c r="F45" i="2"/>
  <c r="D45" i="2"/>
  <c r="D47" i="2" l="1"/>
  <c r="D49" i="2" s="1"/>
  <c r="D51" i="2" a="1"/>
  <c r="D51" i="2" l="1"/>
  <c r="G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<sst xmlns="http://schemas.openxmlformats.org/spreadsheetml/2006/main" count="113" uniqueCount="110">
  <si>
    <t>No</t>
  </si>
  <si>
    <t>NPM</t>
  </si>
  <si>
    <t>Nama Mahasiswa</t>
  </si>
  <si>
    <t>Kampus Cabang</t>
  </si>
  <si>
    <t>Jurusan</t>
  </si>
  <si>
    <t>IPK</t>
  </si>
  <si>
    <t>Potongan</t>
  </si>
  <si>
    <t>Biaya Wisuda</t>
  </si>
  <si>
    <t>Daniel Hadinata</t>
  </si>
  <si>
    <t>Anzy Novitaria</t>
  </si>
  <si>
    <t>Siska Sintya</t>
  </si>
  <si>
    <t>Syafira Utami</t>
  </si>
  <si>
    <t>Fitri Lestari</t>
  </si>
  <si>
    <t>Alka Cantika</t>
  </si>
  <si>
    <t>Kevin Wijaya</t>
  </si>
  <si>
    <t>Dimas Mirana</t>
  </si>
  <si>
    <t>Linda Fatimah</t>
  </si>
  <si>
    <t>Luis Hamilton</t>
  </si>
  <si>
    <t>Ketentuan Soal</t>
  </si>
  <si>
    <t>Tabel Jurusan</t>
  </si>
  <si>
    <t>Kode</t>
  </si>
  <si>
    <t>EK</t>
  </si>
  <si>
    <t>Ekonomi</t>
  </si>
  <si>
    <t>HK</t>
  </si>
  <si>
    <t>Hukum</t>
  </si>
  <si>
    <t>Jurusan diambil dari tabel bantu dengan fungsi VLOOKUP (2 karakter dari kiri Nomor Pokok Mahasiswa)</t>
  </si>
  <si>
    <t>TA</t>
  </si>
  <si>
    <t>Arsitek</t>
  </si>
  <si>
    <t>TS</t>
  </si>
  <si>
    <t>Teknik Sipil</t>
  </si>
  <si>
    <t>Kampus cabang, Potongan, dan Uang Kuliah menggunakan Fungsi IF dengan kriteria berikut:</t>
  </si>
  <si>
    <t>SP</t>
  </si>
  <si>
    <t>Sosial Politik</t>
  </si>
  <si>
    <t>* Jika IPK 2,5 - 3,5 ; Potongan 5%</t>
  </si>
  <si>
    <t>* Jika IPK &gt;3,5 ;       Potongan 15%</t>
  </si>
  <si>
    <t>Biaya Seluruhnya = Biaya Wisuda - Potongan</t>
  </si>
  <si>
    <t>EK20151</t>
  </si>
  <si>
    <t>TS20142</t>
  </si>
  <si>
    <t>HK20132</t>
  </si>
  <si>
    <t>EK20153</t>
  </si>
  <si>
    <t>TA20151</t>
  </si>
  <si>
    <t>SP20143</t>
  </si>
  <si>
    <t>TS20153</t>
  </si>
  <si>
    <t>EK20133</t>
  </si>
  <si>
    <t>HK20152</t>
  </si>
  <si>
    <t>TA20141</t>
  </si>
  <si>
    <t>Angkatan diambil 4 karakter di tengah Nomor Pokok Mahasiswa (Karakter 3 sampai 6) Menggunakan Fungsi MID</t>
  </si>
  <si>
    <t>* Jika Angkatan 2013, Biaya Wisuda = 5.000.000</t>
  </si>
  <si>
    <t>* Jika Angkatan 2014, Biaya Wisuda = 6.000.000</t>
  </si>
  <si>
    <t>* Jika Angkatan 2015, Biaya Wisuda = 7.000.000</t>
  </si>
  <si>
    <t>KODE SOAL</t>
  </si>
  <si>
    <t>SBEE004</t>
  </si>
  <si>
    <t>KODE JAWABAN</t>
  </si>
  <si>
    <r>
      <t xml:space="preserve">* Jika karakter ke - 7 NPM = 1, Maka Cabang  </t>
    </r>
    <r>
      <rPr>
        <b/>
        <sz val="11"/>
        <color theme="1"/>
        <rFont val="Aptos Narrow"/>
        <family val="2"/>
        <scheme val="minor"/>
      </rPr>
      <t>Bekasi</t>
    </r>
  </si>
  <si>
    <r>
      <t xml:space="preserve">* Jika karakter ke - 7 NPM = 2, Maka Cabang  </t>
    </r>
    <r>
      <rPr>
        <b/>
        <sz val="11"/>
        <color theme="1"/>
        <rFont val="Aptos Narrow"/>
        <family val="2"/>
        <scheme val="minor"/>
      </rPr>
      <t>Depok</t>
    </r>
  </si>
  <si>
    <r>
      <t xml:space="preserve">* Jika karakter ke - 7 NPM = 3, Maka Cabang  </t>
    </r>
    <r>
      <rPr>
        <b/>
        <sz val="11"/>
        <color theme="1"/>
        <rFont val="Aptos Narrow"/>
        <family val="2"/>
        <scheme val="minor"/>
      </rPr>
      <t>Bogor</t>
    </r>
  </si>
  <si>
    <t>https://belajarexcel.id/xl-test/</t>
  </si>
  <si>
    <r>
      <t xml:space="preserve">Easy Level  </t>
    </r>
    <r>
      <rPr>
        <sz val="9"/>
        <color rgb="FFFFC000"/>
        <rFont val="Aptos Narrow"/>
        <family val="2"/>
        <scheme val="minor"/>
      </rPr>
      <t>(⭐)</t>
    </r>
  </si>
  <si>
    <r>
      <t xml:space="preserve">Angkatan </t>
    </r>
    <r>
      <rPr>
        <b/>
        <vertAlign val="superscript"/>
        <sz val="11"/>
        <color rgb="FFFFFF00"/>
        <rFont val="Aptos Narrow"/>
        <family val="2"/>
        <scheme val="minor"/>
      </rPr>
      <t>1</t>
    </r>
  </si>
  <si>
    <r>
      <t xml:space="preserve">Jurusan </t>
    </r>
    <r>
      <rPr>
        <b/>
        <vertAlign val="superscript"/>
        <sz val="11"/>
        <color rgb="FFFFFF00"/>
        <rFont val="Aptos Narrow"/>
        <family val="2"/>
        <scheme val="minor"/>
      </rPr>
      <t>2</t>
    </r>
  </si>
  <si>
    <r>
      <t xml:space="preserve">Kampus Cabang </t>
    </r>
    <r>
      <rPr>
        <b/>
        <vertAlign val="superscript"/>
        <sz val="11"/>
        <color rgb="FFFFFF00"/>
        <rFont val="Aptos Narrow"/>
        <family val="2"/>
        <scheme val="minor"/>
      </rPr>
      <t>3</t>
    </r>
  </si>
  <si>
    <r>
      <t xml:space="preserve">Potongan </t>
    </r>
    <r>
      <rPr>
        <b/>
        <vertAlign val="superscript"/>
        <sz val="11"/>
        <color rgb="FFFFFF00"/>
        <rFont val="Aptos Narrow"/>
        <family val="2"/>
        <scheme val="minor"/>
      </rPr>
      <t>4</t>
    </r>
  </si>
  <si>
    <r>
      <t xml:space="preserve">Biaya Wisuda </t>
    </r>
    <r>
      <rPr>
        <b/>
        <vertAlign val="superscript"/>
        <sz val="11"/>
        <color rgb="FFFFFF00"/>
        <rFont val="Aptos Narrow"/>
        <family val="2"/>
        <scheme val="minor"/>
      </rPr>
      <t>5</t>
    </r>
  </si>
  <si>
    <r>
      <t xml:space="preserve">Biaya Seluruhnya </t>
    </r>
    <r>
      <rPr>
        <b/>
        <vertAlign val="superscript"/>
        <sz val="11"/>
        <color rgb="FFFFFF00"/>
        <rFont val="Aptos Narrow"/>
        <family val="2"/>
        <scheme val="minor"/>
      </rPr>
      <t>6</t>
    </r>
  </si>
  <si>
    <t>3,4,5</t>
  </si>
  <si>
    <t>* Jika IPK &lt;2,5;        Tidak ada potongan ( 0%)</t>
  </si>
  <si>
    <t>DF</t>
  </si>
  <si>
    <t>Tahun Angkatan harus berupa Number</t>
  </si>
  <si>
    <t>value</t>
  </si>
  <si>
    <t>Cek Nilai</t>
  </si>
  <si>
    <t>Cek Fungsi</t>
  </si>
  <si>
    <t>Cek Manual</t>
  </si>
  <si>
    <t>Cek Kosong</t>
  </si>
  <si>
    <t>Final C V</t>
  </si>
  <si>
    <t>**</t>
  </si>
  <si>
    <t>Cek Formula</t>
  </si>
  <si>
    <t>Cek Tarik</t>
  </si>
  <si>
    <t>AVG</t>
  </si>
  <si>
    <t>Array</t>
  </si>
  <si>
    <t>Final F</t>
  </si>
  <si>
    <t>rand</t>
  </si>
  <si>
    <t>##</t>
  </si>
  <si>
    <t>Value</t>
  </si>
  <si>
    <t>Formula</t>
  </si>
  <si>
    <t>Fix</t>
  </si>
  <si>
    <t>Jadi</t>
  </si>
  <si>
    <t>ED1</t>
  </si>
  <si>
    <t>T</t>
  </si>
  <si>
    <t>R</t>
  </si>
  <si>
    <t>E</t>
  </si>
  <si>
    <t>W</t>
  </si>
  <si>
    <t>Q</t>
  </si>
  <si>
    <t>S</t>
  </si>
  <si>
    <t>D</t>
  </si>
  <si>
    <t>Sudah selesai mengerjakan?</t>
  </si>
  <si>
    <r>
      <t xml:space="preserve">kirim </t>
    </r>
    <r>
      <rPr>
        <b/>
        <i/>
        <sz val="11"/>
        <color rgb="FF0070C0"/>
        <rFont val="Aptos Narrow"/>
        <family val="2"/>
        <scheme val="minor"/>
      </rPr>
      <t>Kode Soal</t>
    </r>
    <r>
      <rPr>
        <i/>
        <sz val="11"/>
        <color rgb="FF0070C0"/>
        <rFont val="Aptos Narrow"/>
        <family val="2"/>
        <scheme val="minor"/>
      </rPr>
      <t xml:space="preserve"> dan </t>
    </r>
    <r>
      <rPr>
        <b/>
        <i/>
        <sz val="11"/>
        <color rgb="FF0070C0"/>
        <rFont val="Aptos Narrow"/>
        <family val="2"/>
        <scheme val="minor"/>
      </rPr>
      <t>Kode Jawaban</t>
    </r>
    <r>
      <rPr>
        <i/>
        <sz val="11"/>
        <color rgb="FF0070C0"/>
        <rFont val="Aptos Narrow"/>
        <family val="2"/>
        <scheme val="minor"/>
      </rPr>
      <t xml:space="preserve"> diatas ke alamat :  </t>
    </r>
    <r>
      <rPr>
        <b/>
        <i/>
        <u/>
        <sz val="11"/>
        <color rgb="FF0070C0"/>
        <rFont val="Aptos Narrow"/>
        <family val="2"/>
        <scheme val="minor"/>
      </rPr>
      <t>https://belajarexcel.id/xl-test/jawaban</t>
    </r>
    <r>
      <rPr>
        <i/>
        <sz val="11"/>
        <color rgb="FF0070C0"/>
        <rFont val="Aptos Narrow"/>
        <family val="2"/>
        <scheme val="minor"/>
      </rPr>
      <t xml:space="preserve">  untuk mengecek hasil benar/salah</t>
    </r>
  </si>
  <si>
    <t>XL-TEST adalah platform inovatif yang menyediakan latihan Excel interaktif dengan pemeriksaan otomatis,</t>
  </si>
  <si>
    <t>sehingga pengguna dapat langsung mengetahui jawaban yang benar maupun salah.</t>
  </si>
  <si>
    <t>Terdapat 5 Level soal :</t>
  </si>
  <si>
    <t xml:space="preserve">Easy Level  </t>
  </si>
  <si>
    <t>(⭐)</t>
  </si>
  <si>
    <t xml:space="preserve">Medium Level        </t>
  </si>
  <si>
    <t>(⭐⭐)</t>
  </si>
  <si>
    <t xml:space="preserve">Hard Level </t>
  </si>
  <si>
    <t>(⭐⭐⭐)</t>
  </si>
  <si>
    <t xml:space="preserve">Extreme Level </t>
  </si>
  <si>
    <t>(⭐⭐⭐⭐)</t>
  </si>
  <si>
    <t xml:space="preserve">Championship Level </t>
  </si>
  <si>
    <t>(⭐⭐⭐⭐⭐)</t>
  </si>
  <si>
    <t>Free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</si>
</sst>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[$Rp-3809]* #,##0.00_-;\-[$Rp-3809]* #,##0.00_-;_-[$Rp-3809]* &quot;-&quot;??_-;_-@_-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Yu Gothic UI Semibold"/>
      <family val="2"/>
    </font>
    <font>
      <sz val="11"/>
      <color theme="0"/>
      <name val="Yu Gothic UI Semibold"/>
      <family val="2"/>
    </font>
    <font>
      <sz val="1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color rgb="FF0070C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9"/>
      <color rgb="FFFFC000"/>
      <name val="Aptos Narrow"/>
      <family val="2"/>
      <scheme val="minor"/>
    </font>
    <font>
      <sz val="16"/>
      <color theme="0"/>
      <name val="Aptos Narrow"/>
      <family val="2"/>
      <scheme val="minor"/>
    </font>
    <font>
      <b/>
      <vertAlign val="superscript"/>
      <sz val="11"/>
      <color rgb="FFFFFF0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i/>
      <sz val="11"/>
      <color theme="2" tint="-0.499984740745262"/>
      <name val="Aptos Narrow"/>
      <family val="2"/>
      <scheme val="minor"/>
    </font>
    <font>
      <i/>
      <sz val="11"/>
      <color rgb="FF0070C0"/>
      <name val="Aptos Narrow"/>
      <family val="2"/>
      <scheme val="minor"/>
    </font>
    <font>
      <b/>
      <i/>
      <sz val="11"/>
      <color rgb="FF0070C0"/>
      <name val="Aptos Narrow"/>
      <family val="2"/>
      <scheme val="minor"/>
    </font>
    <font>
      <b/>
      <i/>
      <u/>
      <sz val="11"/>
      <color rgb="FF0070C0"/>
      <name val="Aptos Narrow"/>
      <family val="2"/>
      <scheme val="minor"/>
    </font>
    <font>
      <sz val="10"/>
      <color theme="6" tint="-0.249977111117893"/>
      <name val="Aptos Narrow"/>
      <family val="2"/>
      <scheme val="minor"/>
    </font>
    <font>
      <sz val="9"/>
      <color theme="6" tint="-0.249977111117893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0" fontId="8" fillId="0" borderId="0" applyNumberForma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8" fillId="0" borderId="0" xfId="3" applyFont="1"/>
    <xf numFmtId="0" fontId="13" fillId="7" borderId="0" xfId="0" applyFont="1" applyFill="1"/>
    <xf numFmtId="0" fontId="9" fillId="8" borderId="0" xfId="0" applyFont="1" applyFill="1"/>
    <xf numFmtId="0" fontId="0" fillId="8" borderId="0" xfId="0" applyFill="1"/>
    <xf numFmtId="0" fontId="3" fillId="0" borderId="0" xfId="3" applyBorder="1" applyAlignment="1"/>
    <xf numFmtId="0" fontId="10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" xfId="0" applyFill="1" applyBorder="1" applyAlignment="1">
      <alignment horizontal="left" indent="2"/>
    </xf>
    <xf numFmtId="0" fontId="6" fillId="0" borderId="0" xfId="0" applyFont="1"/>
    <xf numFmtId="0" fontId="7" fillId="0" borderId="0" xfId="0" applyFont="1" applyAlignment="1">
      <alignment vertical="top"/>
    </xf>
    <xf numFmtId="0" fontId="15" fillId="0" borderId="0" xfId="0" applyFont="1" applyAlignment="1">
      <alignment horizontal="center" vertical="top"/>
    </xf>
    <xf numFmtId="0" fontId="15" fillId="0" borderId="0" xfId="0" applyFont="1"/>
    <xf numFmtId="0" fontId="5" fillId="2" borderId="1" xfId="0" applyFont="1" applyFill="1" applyBorder="1" applyAlignment="1">
      <alignment horizontal="left" vertical="center" indent="2"/>
    </xf>
    <xf numFmtId="0" fontId="0" fillId="0" borderId="0" xfId="0" applyAlignment="1">
      <alignment vertical="top" wrapText="1"/>
    </xf>
    <xf numFmtId="0" fontId="16" fillId="0" borderId="0" xfId="0" applyFont="1" applyAlignment="1">
      <alignment vertical="top"/>
    </xf>
    <xf numFmtId="0" fontId="17" fillId="0" borderId="0" xfId="0" applyFont="1"/>
    <xf numFmtId="10" fontId="5" fillId="2" borderId="1" xfId="2" applyNumberFormat="1" applyFont="1" applyFill="1" applyBorder="1" applyAlignment="1">
      <alignment horizontal="right" vertical="center" indent="2"/>
    </xf>
    <xf numFmtId="165" fontId="5" fillId="2" borderId="1" xfId="1" applyNumberFormat="1" applyFont="1" applyFill="1" applyBorder="1" applyAlignment="1">
      <alignment horizontal="left" vertical="center" indent="1"/>
    </xf>
    <xf numFmtId="165" fontId="5" fillId="2" borderId="1" xfId="0" applyNumberFormat="1" applyFont="1" applyFill="1" applyBorder="1" applyAlignment="1">
      <alignment horizontal="left" vertical="center" indent="1"/>
    </xf>
    <xf numFmtId="0" fontId="1" fillId="0" borderId="1" xfId="4" applyBorder="1"/>
    <xf numFmtId="0" fontId="1" fillId="0" borderId="0" xfId="4"/>
    <xf numFmtId="0" fontId="21" fillId="0" borderId="1" xfId="4" applyFont="1" applyBorder="1" applyAlignment="1">
      <alignment horizontal="left"/>
    </xf>
    <xf numFmtId="0" fontId="22" fillId="0" borderId="1" xfId="4" applyFont="1" applyBorder="1" applyAlignment="1">
      <alignment horizontal="left"/>
    </xf>
    <xf numFmtId="0" fontId="22" fillId="0" borderId="1" xfId="4" applyFont="1" applyBorder="1"/>
    <xf numFmtId="0" fontId="8" fillId="0" borderId="1" xfId="5" applyBorder="1"/>
    <xf numFmtId="0" fontId="13" fillId="7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10" fillId="6" borderId="3" xfId="0" applyFont="1" applyFill="1" applyBorder="1" applyAlignment="1">
      <alignment horizontal="center"/>
    </xf>
    <xf numFmtId="0" fontId="10" fillId="6" borderId="4" xfId="0" applyFont="1" applyFill="1" applyBorder="1" applyAlignment="1">
      <alignment horizontal="center"/>
    </xf>
    <xf numFmtId="0" fontId="0" fillId="0" borderId="0" xfId="0" applyAlignment="1">
      <alignment horizontal="left" vertical="top" wrapText="1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10" borderId="0" xfId="0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20" fillId="0" borderId="1" xfId="4" applyFont="1" applyBorder="1" applyAlignment="1">
      <alignment horizontal="left"/>
    </xf>
    <xf numFmtId="0" fontId="21" fillId="0" borderId="1" xfId="4" applyFont="1" applyBorder="1" applyAlignment="1">
      <alignment horizontal="left"/>
    </xf>
  </cellXfs>
  <cellStyles count="6">
    <cellStyle name="Comma" xfId="1" builtinId="3"/>
    <cellStyle name="Hyperlink" xfId="3" builtinId="8"/>
    <cellStyle name="Hyperlink 2" xfId="5" xr:uid="{DB69488E-78CF-4BE3-A75B-F1A77F888701}"/>
    <cellStyle name="Normal" xfId="0" builtinId="0"/>
    <cellStyle name="Normal 2" xfId="4" xr:uid="{654947F7-2633-4D17-9D92-F020F51414E1}"/>
    <cellStyle name="Percent" xfId="2" builtinId="5"/>
  </cellStyles>
  <dxfs count="1">
    <dxf>
      <border>
        <bottom style="thin">
          <color rgb="FF00B05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belajarexcel.id/xl-test/jawaban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</xdr:colOff>
      <xdr:row>34</xdr:row>
      <xdr:rowOff>91440</xdr:rowOff>
    </xdr:from>
    <xdr:to>
      <xdr:col>3</xdr:col>
      <xdr:colOff>533400</xdr:colOff>
      <xdr:row>36</xdr:row>
      <xdr:rowOff>15240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8241E-8C7E-4135-9777-B07D407262ED}"/>
            </a:ext>
          </a:extLst>
        </xdr:cNvPr>
        <xdr:cNvSpPr/>
      </xdr:nvSpPr>
      <xdr:spPr>
        <a:xfrm>
          <a:off x="1691640" y="8199120"/>
          <a:ext cx="1470660" cy="28956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Cek hasil Jawaban</a:t>
          </a:r>
        </a:p>
      </xdr:txBody>
    </xdr:sp>
    <xdr:clientData/>
  </xdr:twoCellAnchor>
  <xdr:oneCellAnchor>
    <xdr:from>
      <xdr:col>8</xdr:col>
      <xdr:colOff>1021080</xdr:colOff>
      <xdr:row>29</xdr:row>
      <xdr:rowOff>137160</xdr:rowOff>
    </xdr:from>
    <xdr:ext cx="2422144" cy="914400"/>
    <xdr:pic>
      <xdr:nvPicPr>
        <xdr:cNvPr id="5" name="Picture 4">
          <a:extLst>
            <a:ext uri="{FF2B5EF4-FFF2-40B4-BE49-F238E27FC236}">
              <a16:creationId xmlns:a16="http://schemas.microsoft.com/office/drawing/2014/main" id="{CE7A4222-9F1E-4EC8-B462-493C5E5FD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77400" y="6652260"/>
          <a:ext cx="2422144" cy="9144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502920</xdr:colOff>
      <xdr:row>1</xdr:row>
      <xdr:rowOff>53340</xdr:rowOff>
    </xdr:from>
    <xdr:ext cx="1554479" cy="586842"/>
    <xdr:pic>
      <xdr:nvPicPr>
        <xdr:cNvPr id="2" name="Picture 1">
          <a:extLst>
            <a:ext uri="{FF2B5EF4-FFF2-40B4-BE49-F238E27FC236}">
              <a16:creationId xmlns:a16="http://schemas.microsoft.com/office/drawing/2014/main" id="{105ADB9B-800F-4E17-916E-D46B0F313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0" y="236220"/>
          <a:ext cx="1554479" cy="58684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belajarexcel.id/xl-te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785E9-6CC0-43E7-B996-F1FE13DB4EA8}">
  <sheetPr codeName="Sheet1"/>
  <dimension ref="A1:U37"/>
  <sheetViews>
    <sheetView tabSelected="1" topLeftCell="A15" workbookViewId="0">
      <selection activeCell="G2" sqref="G2"/>
    </sheetView>
  </sheetViews>
  <sheetFormatPr defaultRowHeight="15" x14ac:dyDescent="0.25"/>
  <cols>
    <col min="2" max="2" width="6.140625" customWidth="1"/>
    <col min="3" max="3" width="17.28515625" customWidth="1"/>
    <col min="4" max="4" width="19.7109375" customWidth="1"/>
    <col min="5" max="5" width="20.7109375" customWidth="1"/>
    <col min="6" max="6" width="22.5703125" customWidth="1"/>
    <col min="7" max="7" width="19.140625" customWidth="1"/>
    <col min="8" max="8" width="11.85546875" customWidth="1"/>
    <col min="9" max="9" width="15.7109375" customWidth="1"/>
    <col min="10" max="10" width="21.28515625" customWidth="1"/>
    <col min="11" max="11" width="20.5703125" customWidth="1"/>
  </cols>
  <sheetData>
    <row r="1" spans="2:21" ht="15.6" customHeight="1" x14ac:dyDescent="0.25">
      <c r="B1" s="37" t="s">
        <v>57</v>
      </c>
      <c r="C1" s="37"/>
    </row>
    <row r="2" spans="2:21" ht="24" x14ac:dyDescent="0.4">
      <c r="B2" s="36" t="s">
        <v>50</v>
      </c>
      <c r="C2" s="36"/>
      <c r="D2" s="7" t="s">
        <v>51</v>
      </c>
      <c r="F2" s="6" t="s">
        <v>52</v>
      </c>
      <c r="G2" s="7" t="str">
        <f ca="1">kode_jawaban</f>
        <v>ED1|25-7605;5B-B52;3E-878;60-1D4C;21-16B48;2F-15856</v>
      </c>
      <c r="H2" s="8"/>
      <c r="I2" s="8"/>
      <c r="J2" s="8"/>
      <c r="K2" s="8"/>
    </row>
    <row r="4" spans="2:21" ht="16.5" x14ac:dyDescent="0.3">
      <c r="B4" s="2"/>
      <c r="C4" s="43"/>
      <c r="D4" s="43"/>
      <c r="E4" s="9"/>
      <c r="F4" s="9"/>
      <c r="G4" s="9"/>
      <c r="H4" s="9"/>
    </row>
    <row r="5" spans="2:21" ht="36.6" customHeight="1" x14ac:dyDescent="0.55000000000000004">
      <c r="B5" s="10" t="s">
        <v>0</v>
      </c>
      <c r="C5" s="10" t="s">
        <v>1</v>
      </c>
      <c r="D5" s="10" t="s">
        <v>2</v>
      </c>
      <c r="E5" s="11" t="s">
        <v>58</v>
      </c>
      <c r="F5" s="11" t="s">
        <v>59</v>
      </c>
      <c r="G5" s="11" t="s">
        <v>60</v>
      </c>
      <c r="H5" s="11" t="s">
        <v>5</v>
      </c>
      <c r="I5" s="11" t="s">
        <v>61</v>
      </c>
      <c r="J5" s="11" t="s">
        <v>62</v>
      </c>
      <c r="K5" s="11" t="s">
        <v>63</v>
      </c>
      <c r="O5" s="19"/>
      <c r="P5" s="19"/>
      <c r="Q5" s="19"/>
      <c r="R5" s="19"/>
      <c r="S5" s="19"/>
      <c r="T5" s="19"/>
      <c r="U5" s="19"/>
    </row>
    <row r="6" spans="2:21" ht="19.899999999999999" customHeight="1" x14ac:dyDescent="0.25">
      <c r="B6" s="12">
        <v>1</v>
      </c>
      <c r="C6" s="15" t="s">
        <v>36</v>
      </c>
      <c r="D6" s="15" t="s">
        <v>8</v>
      </c>
      <c r="E6" s="13">
        <f>VALUE(MID(C6,3,4))</f>
        <v>2015</v>
      </c>
      <c r="F6" s="23" t="str">
        <f>VLOOKUP(LEFT(C6,2),$J$19:$K$23,2,0)</f>
        <v>Ekonomi</v>
      </c>
      <c r="G6" s="23" t="str">
        <f>IF(RIGHT(C6,1)="1","Bekasi",IF(RIGHT(C6,1)="2","Depok","Bogor"))</f>
        <v>Bekasi</v>
      </c>
      <c r="H6" s="14">
        <v>4</v>
      </c>
      <c r="I6" s="27">
        <f>IF(H6&gt;3.5,15%,IF(H6&gt;2.5,5%,0%))</f>
        <v>0.15</v>
      </c>
      <c r="J6" s="28">
        <f>IF(E6=2013,5000000,IF(E6=2014,6000000,7000000))</f>
        <v>7000000</v>
      </c>
      <c r="K6" s="29">
        <f>J6-(J6*I6)</f>
        <v>5950000</v>
      </c>
      <c r="O6" s="20"/>
      <c r="P6" s="20"/>
      <c r="Q6" s="20"/>
      <c r="R6" s="20"/>
      <c r="S6" s="20"/>
      <c r="T6" s="20"/>
      <c r="U6" s="20"/>
    </row>
    <row r="7" spans="2:21" ht="19.899999999999999" customHeight="1" x14ac:dyDescent="0.25">
      <c r="B7" s="12">
        <v>2</v>
      </c>
      <c r="C7" s="15" t="s">
        <v>37</v>
      </c>
      <c r="D7" s="15" t="s">
        <v>9</v>
      </c>
      <c r="E7" s="13">
        <f t="shared" ref="E7:E15" si="0">VALUE(MID(C7,3,4))</f>
        <v>2014</v>
      </c>
      <c r="F7" s="23" t="str">
        <f t="shared" ref="F7:F15" si="1">VLOOKUP(LEFT(C7,2),$J$19:$K$23,2,0)</f>
        <v>Teknik Sipil</v>
      </c>
      <c r="G7" s="23" t="str">
        <f t="shared" ref="G7:G15" si="2">IF(RIGHT(C7,1)="1","Bekasi",IF(RIGHT(C7,1)="2","Depok","Bogor"))</f>
        <v>Depok</v>
      </c>
      <c r="H7" s="14">
        <v>3</v>
      </c>
      <c r="I7" s="27">
        <f t="shared" ref="I7:I15" si="3">IF(H7&gt;3.5,15%,IF(H7&gt;2.5,5%,0%))</f>
        <v>0.05</v>
      </c>
      <c r="J7" s="28">
        <f t="shared" ref="J7:J15" si="4">IF(E7=2013,5000000,IF(E7=2014,6000000,7000000))</f>
        <v>6000000</v>
      </c>
      <c r="K7" s="29">
        <f t="shared" ref="K7:K15" si="5">J7-(J7*I7)</f>
        <v>5700000</v>
      </c>
      <c r="O7" s="20"/>
      <c r="P7" s="20"/>
      <c r="Q7" s="20"/>
      <c r="R7" s="20"/>
      <c r="S7" s="20"/>
      <c r="T7" s="20"/>
      <c r="U7" s="20"/>
    </row>
    <row r="8" spans="2:21" ht="19.899999999999999" customHeight="1" x14ac:dyDescent="0.25">
      <c r="B8" s="12">
        <v>3</v>
      </c>
      <c r="C8" s="15" t="s">
        <v>38</v>
      </c>
      <c r="D8" s="15" t="s">
        <v>10</v>
      </c>
      <c r="E8" s="13">
        <f t="shared" si="0"/>
        <v>2013</v>
      </c>
      <c r="F8" s="23" t="str">
        <f t="shared" si="1"/>
        <v>Hukum</v>
      </c>
      <c r="G8" s="23" t="str">
        <f t="shared" si="2"/>
        <v>Depok</v>
      </c>
      <c r="H8" s="14">
        <v>3.4</v>
      </c>
      <c r="I8" s="27">
        <f t="shared" si="3"/>
        <v>0.05</v>
      </c>
      <c r="J8" s="28">
        <f t="shared" si="4"/>
        <v>5000000</v>
      </c>
      <c r="K8" s="29">
        <f t="shared" si="5"/>
        <v>4750000</v>
      </c>
    </row>
    <row r="9" spans="2:21" ht="19.899999999999999" customHeight="1" x14ac:dyDescent="0.25">
      <c r="B9" s="12">
        <v>4</v>
      </c>
      <c r="C9" s="15" t="s">
        <v>39</v>
      </c>
      <c r="D9" s="15" t="s">
        <v>11</v>
      </c>
      <c r="E9" s="13">
        <f t="shared" si="0"/>
        <v>2015</v>
      </c>
      <c r="F9" s="23" t="str">
        <f t="shared" si="1"/>
        <v>Ekonomi</v>
      </c>
      <c r="G9" s="23" t="str">
        <f t="shared" si="2"/>
        <v>Bogor</v>
      </c>
      <c r="H9" s="14">
        <v>2.2000000000000002</v>
      </c>
      <c r="I9" s="27">
        <f t="shared" si="3"/>
        <v>0</v>
      </c>
      <c r="J9" s="28">
        <f t="shared" si="4"/>
        <v>7000000</v>
      </c>
      <c r="K9" s="29">
        <f t="shared" si="5"/>
        <v>7000000</v>
      </c>
    </row>
    <row r="10" spans="2:21" ht="19.899999999999999" customHeight="1" x14ac:dyDescent="0.25">
      <c r="B10" s="12">
        <v>5</v>
      </c>
      <c r="C10" s="15" t="s">
        <v>40</v>
      </c>
      <c r="D10" s="15" t="s">
        <v>12</v>
      </c>
      <c r="E10" s="13">
        <f t="shared" si="0"/>
        <v>2015</v>
      </c>
      <c r="F10" s="23" t="str">
        <f t="shared" si="1"/>
        <v>Arsitek</v>
      </c>
      <c r="G10" s="23" t="str">
        <f t="shared" si="2"/>
        <v>Bekasi</v>
      </c>
      <c r="H10" s="14">
        <v>4</v>
      </c>
      <c r="I10" s="27">
        <f t="shared" si="3"/>
        <v>0.15</v>
      </c>
      <c r="J10" s="28">
        <f t="shared" si="4"/>
        <v>7000000</v>
      </c>
      <c r="K10" s="29">
        <f t="shared" si="5"/>
        <v>5950000</v>
      </c>
    </row>
    <row r="11" spans="2:21" ht="19.899999999999999" customHeight="1" x14ac:dyDescent="0.25">
      <c r="B11" s="12">
        <v>6</v>
      </c>
      <c r="C11" s="15" t="s">
        <v>41</v>
      </c>
      <c r="D11" s="15" t="s">
        <v>13</v>
      </c>
      <c r="E11" s="13">
        <f t="shared" si="0"/>
        <v>2014</v>
      </c>
      <c r="F11" s="23" t="str">
        <f t="shared" si="1"/>
        <v>Sosial Politik</v>
      </c>
      <c r="G11" s="23" t="str">
        <f t="shared" si="2"/>
        <v>Bogor</v>
      </c>
      <c r="H11" s="14">
        <v>3</v>
      </c>
      <c r="I11" s="27">
        <f t="shared" si="3"/>
        <v>0.05</v>
      </c>
      <c r="J11" s="28">
        <f t="shared" si="4"/>
        <v>6000000</v>
      </c>
      <c r="K11" s="29">
        <f t="shared" si="5"/>
        <v>5700000</v>
      </c>
    </row>
    <row r="12" spans="2:21" ht="19.899999999999999" customHeight="1" x14ac:dyDescent="0.25">
      <c r="B12" s="12">
        <v>7</v>
      </c>
      <c r="C12" s="15" t="s">
        <v>42</v>
      </c>
      <c r="D12" s="15" t="s">
        <v>14</v>
      </c>
      <c r="E12" s="13">
        <f t="shared" si="0"/>
        <v>2015</v>
      </c>
      <c r="F12" s="23" t="str">
        <f t="shared" si="1"/>
        <v>Teknik Sipil</v>
      </c>
      <c r="G12" s="23" t="str">
        <f t="shared" si="2"/>
        <v>Bogor</v>
      </c>
      <c r="H12" s="14">
        <v>3.5</v>
      </c>
      <c r="I12" s="27">
        <f t="shared" si="3"/>
        <v>0.05</v>
      </c>
      <c r="J12" s="28">
        <f t="shared" si="4"/>
        <v>7000000</v>
      </c>
      <c r="K12" s="29">
        <f t="shared" si="5"/>
        <v>6650000</v>
      </c>
    </row>
    <row r="13" spans="2:21" ht="19.899999999999999" customHeight="1" x14ac:dyDescent="0.25">
      <c r="B13" s="12">
        <v>8</v>
      </c>
      <c r="C13" s="15" t="s">
        <v>43</v>
      </c>
      <c r="D13" s="15" t="s">
        <v>15</v>
      </c>
      <c r="E13" s="13">
        <f t="shared" si="0"/>
        <v>2013</v>
      </c>
      <c r="F13" s="23" t="str">
        <f t="shared" si="1"/>
        <v>Ekonomi</v>
      </c>
      <c r="G13" s="23" t="str">
        <f t="shared" si="2"/>
        <v>Bogor</v>
      </c>
      <c r="H13" s="14">
        <v>2.2999999999999998</v>
      </c>
      <c r="I13" s="27">
        <f t="shared" si="3"/>
        <v>0</v>
      </c>
      <c r="J13" s="28">
        <f t="shared" si="4"/>
        <v>5000000</v>
      </c>
      <c r="K13" s="29">
        <f t="shared" si="5"/>
        <v>5000000</v>
      </c>
      <c r="N13" s="5"/>
    </row>
    <row r="14" spans="2:21" ht="19.899999999999999" customHeight="1" x14ac:dyDescent="0.25">
      <c r="B14" s="12">
        <v>9</v>
      </c>
      <c r="C14" s="15" t="s">
        <v>44</v>
      </c>
      <c r="D14" s="15" t="s">
        <v>16</v>
      </c>
      <c r="E14" s="13">
        <f t="shared" si="0"/>
        <v>2015</v>
      </c>
      <c r="F14" s="23" t="str">
        <f t="shared" si="1"/>
        <v>Hukum</v>
      </c>
      <c r="G14" s="23" t="str">
        <f t="shared" si="2"/>
        <v>Depok</v>
      </c>
      <c r="H14" s="14">
        <v>3.3</v>
      </c>
      <c r="I14" s="27">
        <f t="shared" si="3"/>
        <v>0.05</v>
      </c>
      <c r="J14" s="28">
        <f t="shared" si="4"/>
        <v>7000000</v>
      </c>
      <c r="K14" s="29">
        <f t="shared" si="5"/>
        <v>6650000</v>
      </c>
    </row>
    <row r="15" spans="2:21" ht="19.899999999999999" customHeight="1" x14ac:dyDescent="0.25">
      <c r="B15" s="12">
        <v>10</v>
      </c>
      <c r="C15" s="15" t="s">
        <v>45</v>
      </c>
      <c r="D15" s="15" t="s">
        <v>17</v>
      </c>
      <c r="E15" s="13">
        <f t="shared" si="0"/>
        <v>2014</v>
      </c>
      <c r="F15" s="23" t="str">
        <f t="shared" si="1"/>
        <v>Arsitek</v>
      </c>
      <c r="G15" s="23" t="str">
        <f t="shared" si="2"/>
        <v>Bekasi</v>
      </c>
      <c r="H15" s="14">
        <v>3</v>
      </c>
      <c r="I15" s="27">
        <f t="shared" si="3"/>
        <v>0.05</v>
      </c>
      <c r="J15" s="28">
        <f t="shared" si="4"/>
        <v>6000000</v>
      </c>
      <c r="K15" s="29">
        <f t="shared" si="5"/>
        <v>5700000</v>
      </c>
    </row>
    <row r="16" spans="2:21" x14ac:dyDescent="0.25">
      <c r="B16" s="1"/>
      <c r="C16" s="1"/>
      <c r="H16" s="3"/>
      <c r="I16" s="3"/>
    </row>
    <row r="17" spans="1:11" x14ac:dyDescent="0.25">
      <c r="B17" s="44" t="s">
        <v>18</v>
      </c>
      <c r="C17" s="44"/>
      <c r="D17" s="44"/>
      <c r="E17" s="44"/>
      <c r="F17" s="44"/>
      <c r="G17" s="44"/>
      <c r="J17" s="38" t="s">
        <v>19</v>
      </c>
      <c r="K17" s="39"/>
    </row>
    <row r="18" spans="1:11" ht="16.5" x14ac:dyDescent="0.3">
      <c r="B18" s="44"/>
      <c r="C18" s="44"/>
      <c r="D18" s="44"/>
      <c r="E18" s="44"/>
      <c r="F18" s="44"/>
      <c r="G18" s="44"/>
      <c r="J18" s="16" t="s">
        <v>20</v>
      </c>
      <c r="K18" s="16" t="s">
        <v>4</v>
      </c>
    </row>
    <row r="19" spans="1:11" ht="14.45" customHeight="1" x14ac:dyDescent="0.25">
      <c r="B19" s="21">
        <v>1</v>
      </c>
      <c r="C19" s="40" t="s">
        <v>46</v>
      </c>
      <c r="D19" s="40"/>
      <c r="E19" s="40"/>
      <c r="F19" s="40"/>
      <c r="G19" s="40"/>
      <c r="J19" s="17" t="s">
        <v>21</v>
      </c>
      <c r="K19" s="18" t="s">
        <v>22</v>
      </c>
    </row>
    <row r="20" spans="1:11" x14ac:dyDescent="0.25">
      <c r="B20" s="21"/>
      <c r="C20" s="25" t="s">
        <v>67</v>
      </c>
      <c r="D20" s="24"/>
      <c r="E20" s="24"/>
      <c r="F20" s="24"/>
      <c r="G20" s="24"/>
      <c r="J20" s="17" t="s">
        <v>23</v>
      </c>
      <c r="K20" s="18" t="s">
        <v>24</v>
      </c>
    </row>
    <row r="21" spans="1:11" x14ac:dyDescent="0.25">
      <c r="B21" s="21">
        <v>2</v>
      </c>
      <c r="C21" s="40" t="s">
        <v>25</v>
      </c>
      <c r="D21" s="40"/>
      <c r="E21" s="40"/>
      <c r="F21" s="40"/>
      <c r="G21" s="40"/>
      <c r="J21" s="17" t="s">
        <v>26</v>
      </c>
      <c r="K21" s="18" t="s">
        <v>27</v>
      </c>
    </row>
    <row r="22" spans="1:11" x14ac:dyDescent="0.25">
      <c r="B22" s="21"/>
      <c r="C22" s="40"/>
      <c r="D22" s="40"/>
      <c r="E22" s="40"/>
      <c r="F22" s="40"/>
      <c r="G22" s="40"/>
      <c r="J22" s="17" t="s">
        <v>28</v>
      </c>
      <c r="K22" s="18" t="s">
        <v>29</v>
      </c>
    </row>
    <row r="23" spans="1:11" x14ac:dyDescent="0.25">
      <c r="B23" s="21" t="s">
        <v>64</v>
      </c>
      <c r="C23" s="46" t="s">
        <v>30</v>
      </c>
      <c r="D23" s="46"/>
      <c r="E23" s="46"/>
      <c r="F23" s="46"/>
      <c r="G23" s="46"/>
      <c r="J23" s="17" t="s">
        <v>31</v>
      </c>
      <c r="K23" s="18" t="s">
        <v>32</v>
      </c>
    </row>
    <row r="24" spans="1:11" ht="18.600000000000001" customHeight="1" x14ac:dyDescent="0.25">
      <c r="B24" s="22"/>
    </row>
    <row r="25" spans="1:11" x14ac:dyDescent="0.25">
      <c r="A25" s="4"/>
      <c r="B25" s="21"/>
      <c r="C25" s="41" t="s">
        <v>3</v>
      </c>
      <c r="D25" s="41"/>
      <c r="E25" s="41"/>
      <c r="F25" s="42" t="s">
        <v>6</v>
      </c>
      <c r="G25" s="42"/>
      <c r="H25" s="42"/>
      <c r="I25" s="41" t="s">
        <v>7</v>
      </c>
      <c r="J25" s="41"/>
      <c r="K25" s="41"/>
    </row>
    <row r="26" spans="1:11" x14ac:dyDescent="0.25">
      <c r="B26" s="21"/>
      <c r="C26" s="45" t="s">
        <v>53</v>
      </c>
      <c r="D26" s="45"/>
      <c r="E26" s="45"/>
      <c r="F26" s="45" t="s">
        <v>65</v>
      </c>
      <c r="G26" s="45"/>
      <c r="H26" s="45"/>
      <c r="I26" s="43" t="s">
        <v>47</v>
      </c>
      <c r="J26" s="43"/>
      <c r="K26" s="43"/>
    </row>
    <row r="27" spans="1:11" x14ac:dyDescent="0.25">
      <c r="B27" s="21"/>
      <c r="C27" s="45" t="s">
        <v>54</v>
      </c>
      <c r="D27" s="45"/>
      <c r="E27" s="45"/>
      <c r="F27" s="45" t="s">
        <v>33</v>
      </c>
      <c r="G27" s="45"/>
      <c r="H27" s="45"/>
      <c r="I27" s="43" t="s">
        <v>48</v>
      </c>
      <c r="J27" s="43"/>
      <c r="K27" s="43"/>
    </row>
    <row r="28" spans="1:11" x14ac:dyDescent="0.25">
      <c r="B28" s="21"/>
      <c r="C28" s="45" t="s">
        <v>55</v>
      </c>
      <c r="D28" s="45"/>
      <c r="E28" s="45"/>
      <c r="F28" s="45" t="s">
        <v>34</v>
      </c>
      <c r="G28" s="45"/>
      <c r="H28" s="45"/>
      <c r="I28" s="43" t="s">
        <v>49</v>
      </c>
      <c r="J28" s="43"/>
      <c r="K28" s="43"/>
    </row>
    <row r="29" spans="1:11" x14ac:dyDescent="0.25">
      <c r="B29" s="22"/>
    </row>
    <row r="30" spans="1:11" x14ac:dyDescent="0.25">
      <c r="B30" s="21">
        <v>6</v>
      </c>
      <c r="C30" t="s">
        <v>35</v>
      </c>
    </row>
    <row r="31" spans="1:11" x14ac:dyDescent="0.25">
      <c r="B31" s="1"/>
    </row>
    <row r="33" spans="2:3" x14ac:dyDescent="0.25">
      <c r="C33" s="26" t="s">
        <v>94</v>
      </c>
    </row>
    <row r="34" spans="2:3" x14ac:dyDescent="0.25">
      <c r="C34" s="26" t="s">
        <v>95</v>
      </c>
    </row>
    <row r="35" spans="2:3" x14ac:dyDescent="0.25">
      <c r="B35" s="1"/>
    </row>
    <row r="36" spans="2:3" x14ac:dyDescent="0.25">
      <c r="B36" s="1"/>
    </row>
    <row r="37" spans="2:3" x14ac:dyDescent="0.25">
      <c r="B37" s="1"/>
    </row>
  </sheetData>
  <mergeCells count="20">
    <mergeCell ref="C28:E28"/>
    <mergeCell ref="F28:H28"/>
    <mergeCell ref="I28:K28"/>
    <mergeCell ref="C26:E26"/>
    <mergeCell ref="F26:H26"/>
    <mergeCell ref="I26:K26"/>
    <mergeCell ref="C27:E27"/>
    <mergeCell ref="F27:H27"/>
    <mergeCell ref="I27:K27"/>
    <mergeCell ref="B2:C2"/>
    <mergeCell ref="B1:C1"/>
    <mergeCell ref="J17:K17"/>
    <mergeCell ref="C19:G19"/>
    <mergeCell ref="C25:E25"/>
    <mergeCell ref="F25:H25"/>
    <mergeCell ref="I25:K25"/>
    <mergeCell ref="C4:D4"/>
    <mergeCell ref="B17:G18"/>
    <mergeCell ref="C21:G22"/>
    <mergeCell ref="C23:G23"/>
  </mergeCells>
  <conditionalFormatting sqref="B6:K15">
    <cfRule type="expression" dxfId="0" priority="1">
      <formula>$B6=10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BD6B8-7E6D-4895-84C7-7DD1511CE1A9}">
  <sheetPr codeName="Sheet2"/>
  <dimension ref="A1:J25"/>
  <sheetViews>
    <sheetView showGridLines="0" workbookViewId="0">
      <selection activeCell="H29" sqref="H29:H30"/>
    </sheetView>
  </sheetViews>
  <sheetFormatPr defaultColWidth="8.85546875" defaultRowHeight="15" x14ac:dyDescent="0.25"/>
  <cols>
    <col min="1" max="3" width="8.85546875" style="31"/>
    <col min="4" max="4" width="10.42578125" style="31" customWidth="1"/>
    <col min="5" max="5" width="9.28515625" style="31" customWidth="1"/>
    <col min="6" max="7" width="8.85546875" style="31"/>
    <col min="8" max="8" width="26.42578125" style="31" customWidth="1"/>
    <col min="9" max="16384" width="8.85546875" style="31"/>
  </cols>
  <sheetData>
    <row r="1" spans="1:10" x14ac:dyDescent="0.25">
      <c r="A1" s="30"/>
      <c r="B1" s="30"/>
      <c r="C1" s="30"/>
      <c r="D1" s="30"/>
      <c r="E1" s="30"/>
      <c r="F1" s="30"/>
      <c r="G1" s="30"/>
      <c r="H1" s="30"/>
      <c r="I1" s="30"/>
      <c r="J1" s="30"/>
    </row>
    <row r="2" spans="1:10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</row>
    <row r="3" spans="1:10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</row>
    <row r="4" spans="1:10" x14ac:dyDescent="0.25">
      <c r="A4" s="30"/>
      <c r="B4" s="30"/>
      <c r="C4" s="30"/>
      <c r="D4" s="30"/>
      <c r="E4" s="30"/>
      <c r="F4" s="30"/>
      <c r="G4" s="30"/>
      <c r="H4" s="30"/>
      <c r="I4" s="30"/>
      <c r="J4" s="30"/>
    </row>
    <row r="5" spans="1:10" x14ac:dyDescent="0.25">
      <c r="A5" s="30"/>
      <c r="B5" s="30"/>
      <c r="C5" s="30"/>
      <c r="D5" s="30"/>
      <c r="E5" s="30"/>
      <c r="F5" s="30"/>
      <c r="G5" s="30"/>
      <c r="H5" s="30"/>
      <c r="I5" s="30"/>
      <c r="J5" s="30"/>
    </row>
    <row r="6" spans="1:10" x14ac:dyDescent="0.25">
      <c r="A6" s="30"/>
      <c r="B6" s="30"/>
      <c r="C6" s="30" t="s">
        <v>96</v>
      </c>
      <c r="D6" s="30"/>
      <c r="E6" s="30"/>
      <c r="F6" s="30"/>
      <c r="G6" s="30"/>
      <c r="H6" s="30"/>
      <c r="I6" s="30"/>
      <c r="J6" s="30"/>
    </row>
    <row r="7" spans="1:10" x14ac:dyDescent="0.25">
      <c r="A7" s="30"/>
      <c r="B7" s="30"/>
      <c r="C7" s="30" t="s">
        <v>97</v>
      </c>
      <c r="D7" s="30"/>
      <c r="E7" s="30"/>
      <c r="F7" s="30"/>
      <c r="G7" s="30"/>
      <c r="H7" s="30"/>
      <c r="I7" s="30"/>
      <c r="J7" s="30"/>
    </row>
    <row r="8" spans="1:10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</row>
    <row r="9" spans="1:10" x14ac:dyDescent="0.25">
      <c r="A9" s="30"/>
      <c r="B9" s="30"/>
      <c r="C9" s="30"/>
      <c r="D9" s="30"/>
      <c r="E9" s="30"/>
      <c r="F9" s="30"/>
      <c r="G9" s="30"/>
      <c r="H9" s="30"/>
      <c r="I9" s="30"/>
      <c r="J9" s="30"/>
    </row>
    <row r="10" spans="1:10" x14ac:dyDescent="0.25">
      <c r="A10" s="30"/>
      <c r="B10" s="30"/>
      <c r="C10" s="30" t="s">
        <v>98</v>
      </c>
      <c r="D10" s="30"/>
      <c r="E10" s="30"/>
      <c r="F10" s="30"/>
      <c r="G10" s="30"/>
      <c r="H10" s="30"/>
      <c r="I10" s="30"/>
      <c r="J10" s="30"/>
    </row>
    <row r="11" spans="1:10" x14ac:dyDescent="0.25">
      <c r="A11" s="30"/>
      <c r="B11" s="30"/>
      <c r="C11" s="30"/>
      <c r="D11" s="30"/>
      <c r="E11" s="30"/>
      <c r="F11" s="30"/>
      <c r="G11" s="30"/>
      <c r="H11" s="30"/>
      <c r="I11" s="30"/>
      <c r="J11" s="30"/>
    </row>
    <row r="12" spans="1:10" x14ac:dyDescent="0.25">
      <c r="A12" s="30"/>
      <c r="B12" s="30"/>
      <c r="C12" s="30"/>
      <c r="D12" s="47" t="s">
        <v>99</v>
      </c>
      <c r="E12" s="47"/>
      <c r="F12" s="48" t="s">
        <v>100</v>
      </c>
      <c r="G12" s="48"/>
      <c r="H12" s="30"/>
      <c r="I12" s="30"/>
      <c r="J12" s="30"/>
    </row>
    <row r="13" spans="1:10" x14ac:dyDescent="0.25">
      <c r="A13" s="30"/>
      <c r="B13" s="30"/>
      <c r="C13" s="30"/>
      <c r="D13" s="47" t="s">
        <v>101</v>
      </c>
      <c r="E13" s="47"/>
      <c r="F13" s="32" t="s">
        <v>102</v>
      </c>
      <c r="G13" s="33"/>
      <c r="H13" s="30"/>
      <c r="I13" s="30"/>
      <c r="J13" s="30"/>
    </row>
    <row r="14" spans="1:10" x14ac:dyDescent="0.25">
      <c r="A14" s="30"/>
      <c r="B14" s="30"/>
      <c r="C14" s="30"/>
      <c r="D14" s="47" t="s">
        <v>103</v>
      </c>
      <c r="E14" s="47"/>
      <c r="F14" s="32" t="s">
        <v>104</v>
      </c>
      <c r="G14" s="34"/>
      <c r="H14" s="30"/>
      <c r="I14" s="30"/>
      <c r="J14" s="30"/>
    </row>
    <row r="15" spans="1:10" x14ac:dyDescent="0.25">
      <c r="A15" s="30"/>
      <c r="B15" s="30"/>
      <c r="C15" s="30"/>
      <c r="D15" s="47" t="s">
        <v>105</v>
      </c>
      <c r="E15" s="47"/>
      <c r="F15" s="32" t="s">
        <v>106</v>
      </c>
      <c r="G15" s="34"/>
      <c r="H15" s="30"/>
      <c r="I15" s="30"/>
      <c r="J15" s="30"/>
    </row>
    <row r="16" spans="1:10" x14ac:dyDescent="0.25">
      <c r="A16" s="30"/>
      <c r="B16" s="30"/>
      <c r="C16" s="30"/>
      <c r="D16" s="47" t="s">
        <v>107</v>
      </c>
      <c r="E16" s="47"/>
      <c r="F16" s="32" t="s">
        <v>108</v>
      </c>
      <c r="G16" s="34"/>
      <c r="H16" s="30"/>
      <c r="I16" s="30"/>
      <c r="J16" s="30"/>
    </row>
    <row r="17" spans="1:10" x14ac:dyDescent="0.25">
      <c r="A17" s="30"/>
      <c r="B17" s="30"/>
      <c r="C17" s="30"/>
      <c r="D17" s="30"/>
      <c r="E17" s="30"/>
      <c r="F17" s="30"/>
      <c r="G17" s="30"/>
      <c r="H17" s="30"/>
      <c r="I17" s="30"/>
      <c r="J17" s="30"/>
    </row>
    <row r="18" spans="1:10" x14ac:dyDescent="0.25">
      <c r="A18" s="30"/>
      <c r="B18" s="30"/>
      <c r="C18" s="30"/>
      <c r="D18" s="30"/>
      <c r="E18" s="30"/>
      <c r="F18" s="30"/>
      <c r="G18" s="30"/>
      <c r="H18" s="30"/>
      <c r="I18" s="30"/>
      <c r="J18" s="30"/>
    </row>
    <row r="19" spans="1:10" x14ac:dyDescent="0.25">
      <c r="A19" s="30"/>
      <c r="B19" s="30"/>
      <c r="C19" s="30" t="s">
        <v>109</v>
      </c>
      <c r="D19" s="30"/>
      <c r="E19" s="30"/>
      <c r="F19" s="30"/>
      <c r="G19" s="30"/>
      <c r="H19" s="30"/>
      <c r="I19" s="30"/>
      <c r="J19" s="30"/>
    </row>
    <row r="20" spans="1:10" x14ac:dyDescent="0.25">
      <c r="A20" s="30"/>
      <c r="B20" s="30"/>
      <c r="C20" s="35" t="s">
        <v>56</v>
      </c>
      <c r="D20" s="30"/>
      <c r="E20" s="30"/>
      <c r="F20" s="30"/>
      <c r="G20" s="30"/>
      <c r="H20" s="30"/>
      <c r="I20" s="30"/>
      <c r="J20" s="30"/>
    </row>
    <row r="21" spans="1:10" x14ac:dyDescent="0.25">
      <c r="A21" s="30"/>
      <c r="B21" s="30"/>
      <c r="C21" s="30"/>
      <c r="D21" s="30"/>
      <c r="E21" s="30"/>
      <c r="F21" s="30"/>
      <c r="G21" s="30"/>
      <c r="H21" s="30"/>
      <c r="I21" s="30"/>
      <c r="J21" s="30"/>
    </row>
    <row r="22" spans="1:10" x14ac:dyDescent="0.25">
      <c r="A22" s="30"/>
      <c r="B22" s="30"/>
      <c r="C22" s="30"/>
      <c r="D22" s="30"/>
      <c r="E22" s="30"/>
      <c r="F22" s="30"/>
      <c r="G22" s="30"/>
      <c r="H22" s="30"/>
      <c r="I22" s="30"/>
      <c r="J22" s="30"/>
    </row>
    <row r="23" spans="1:10" x14ac:dyDescent="0.25">
      <c r="A23" s="30"/>
      <c r="B23" s="30"/>
      <c r="C23" s="30"/>
      <c r="D23" s="30"/>
      <c r="E23" s="30"/>
      <c r="F23" s="30"/>
      <c r="G23" s="30"/>
      <c r="H23" s="30"/>
      <c r="I23" s="30"/>
      <c r="J23" s="30"/>
    </row>
    <row r="24" spans="1:10" x14ac:dyDescent="0.25">
      <c r="A24" s="30"/>
      <c r="B24" s="30"/>
      <c r="C24" s="30"/>
      <c r="D24" s="30"/>
      <c r="E24" s="30"/>
      <c r="F24" s="30"/>
      <c r="G24" s="30"/>
      <c r="H24" s="30"/>
      <c r="I24" s="30"/>
      <c r="J24" s="30"/>
    </row>
    <row r="25" spans="1:10" x14ac:dyDescent="0.25">
      <c r="A25" s="30"/>
      <c r="B25" s="30"/>
      <c r="C25" s="30"/>
      <c r="D25" s="30"/>
      <c r="E25" s="30"/>
      <c r="F25" s="30"/>
      <c r="G25" s="30"/>
      <c r="H25" s="30"/>
      <c r="I25" s="30"/>
      <c r="J25" s="30"/>
    </row>
  </sheetData>
  <mergeCells count="6">
    <mergeCell ref="D16:E16"/>
    <mergeCell ref="D12:E12"/>
    <mergeCell ref="F12:G12"/>
    <mergeCell ref="D13:E13"/>
    <mergeCell ref="D14:E14"/>
    <mergeCell ref="D15:E15"/>
  </mergeCells>
  <hyperlinks>
    <hyperlink ref="C20" r:id="rId1" xr:uid="{7D845A40-96B3-4976-8A54-2475E26BC7AD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30378-E40F-41C6-B216-A50E892D2636}">
  <sheetPr codeName="Sheet3"/>
  <dimension ref="A1:V51"/>
  <sheetViews>
    <sheetView topLeftCell="A10" workbookViewId="0">
      <selection activeCell="L17" sqref="L17"/>
    </sheetView>
  </sheetViews>
  <sheetFormatPr defaultRowHeight="15" x14ac:dyDescent="0.25"/>
  <cols>
    <col min="3" max="3" width="12" customWidth="1"/>
    <col min="4" max="4" width="9.7109375" customWidth="1"/>
    <col min="5" max="5" width="10.28515625" customWidth="1"/>
    <col min="6" max="6" width="9.7109375" customWidth="1"/>
    <col min="7" max="7" width="10.140625" customWidth="1"/>
    <col min="8" max="8" width="12.140625" customWidth="1"/>
    <col min="9" max="9" width="14.140625" customWidth="1"/>
    <col min="17" max="17" width="53.140625" bestFit="1" customWidth="1"/>
  </cols>
  <sheetData>
    <row r="1" spans="1:22" x14ac:dyDescent="0.25">
      <c r="A1" t="s">
        <v>66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Q1">
        <v>1</v>
      </c>
      <c r="R1">
        <v>2</v>
      </c>
      <c r="S1">
        <v>3</v>
      </c>
      <c r="T1">
        <v>4</v>
      </c>
      <c r="U1">
        <v>5</v>
      </c>
      <c r="V1">
        <v>6</v>
      </c>
    </row>
    <row r="2" spans="1:22" x14ac:dyDescent="0.25">
      <c r="A2" t="s">
        <v>86</v>
      </c>
      <c r="C2">
        <v>1</v>
      </c>
      <c r="D2">
        <f>'XL-TEST'!E6</f>
        <v>2015</v>
      </c>
      <c r="E2" t="str">
        <f>'XL-TEST'!F6</f>
        <v>Ekonomi</v>
      </c>
      <c r="F2" t="str">
        <f>UPPER('XL-TEST'!G6)</f>
        <v>BEKASI</v>
      </c>
      <c r="G2">
        <f>'XL-TEST'!I6</f>
        <v>0.15</v>
      </c>
      <c r="H2">
        <f>'XL-TEST'!J6</f>
        <v>7000000</v>
      </c>
      <c r="I2">
        <f>'XL-TEST'!K6</f>
        <v>5950000</v>
      </c>
      <c r="P2">
        <v>1</v>
      </c>
      <c r="Q2" t="str">
        <f ca="1">_xlfn.FORMULATEXT('XL-TEST'!E6)</f>
        <v>=VALUE(MID(C6;3;4))</v>
      </c>
      <c r="R2" t="str">
        <f ca="1">_xlfn.FORMULATEXT('XL-TEST'!F6)</f>
        <v>=VLOOKUP(LEFT(C6;2);$J$19:$K$23;2;0)</v>
      </c>
      <c r="S2" t="str">
        <f ca="1">_xlfn.FORMULATEXT('XL-TEST'!G6)</f>
        <v>=IF(RIGHT(C6;1)="1";"Bekasi";IF(RIGHT(C6;1)="2";"Depok";"Bogor"))</v>
      </c>
      <c r="T2" t="str">
        <f ca="1">_xlfn.FORMULATEXT('XL-TEST'!I6)</f>
        <v>=IF(H6&gt;3,5;15%;IF(H6&gt;2,5;5%;0%))</v>
      </c>
      <c r="U2" t="str">
        <f ca="1">_xlfn.FORMULATEXT('XL-TEST'!J6)</f>
        <v>=IF(E6=2013;5000000;IF(E6=2014;6000000;7000000))</v>
      </c>
      <c r="V2" t="str">
        <f ca="1">_xlfn.FORMULATEXT('XL-TEST'!K6)</f>
        <v>=J6-(J6*I6)</v>
      </c>
    </row>
    <row r="3" spans="1:22" x14ac:dyDescent="0.25">
      <c r="C3">
        <v>2</v>
      </c>
      <c r="D3">
        <f>'XL-TEST'!E7</f>
        <v>2014</v>
      </c>
      <c r="E3" t="str">
        <f>'XL-TEST'!F7</f>
        <v>Teknik Sipil</v>
      </c>
      <c r="F3" t="str">
        <f>UPPER('XL-TEST'!G7)</f>
        <v>DEPOK</v>
      </c>
      <c r="G3">
        <f>'XL-TEST'!I7</f>
        <v>0.05</v>
      </c>
      <c r="H3">
        <f>'XL-TEST'!J7</f>
        <v>6000000</v>
      </c>
      <c r="I3">
        <f>'XL-TEST'!K7</f>
        <v>5700000</v>
      </c>
      <c r="P3">
        <v>2</v>
      </c>
      <c r="Q3" t="str">
        <f ca="1">R2</f>
        <v>=VLOOKUP(LEFT(C6;2);$J$19:$K$23;2;0)</v>
      </c>
    </row>
    <row r="4" spans="1:22" x14ac:dyDescent="0.25">
      <c r="C4">
        <v>3</v>
      </c>
      <c r="D4">
        <f>'XL-TEST'!E8</f>
        <v>2013</v>
      </c>
      <c r="E4" t="str">
        <f>'XL-TEST'!F8</f>
        <v>Hukum</v>
      </c>
      <c r="F4" t="str">
        <f>UPPER('XL-TEST'!G8)</f>
        <v>DEPOK</v>
      </c>
      <c r="G4">
        <f>'XL-TEST'!I8</f>
        <v>0.05</v>
      </c>
      <c r="H4">
        <f>'XL-TEST'!J8</f>
        <v>5000000</v>
      </c>
      <c r="I4">
        <f>'XL-TEST'!K8</f>
        <v>4750000</v>
      </c>
      <c r="P4">
        <v>3</v>
      </c>
      <c r="Q4" t="str">
        <f ca="1">S2</f>
        <v>=IF(RIGHT(C6;1)="1";"Bekasi";IF(RIGHT(C6;1)="2";"Depok";"Bogor"))</v>
      </c>
    </row>
    <row r="5" spans="1:22" x14ac:dyDescent="0.25">
      <c r="C5">
        <v>4</v>
      </c>
      <c r="D5">
        <f>'XL-TEST'!E9</f>
        <v>2015</v>
      </c>
      <c r="E5" t="str">
        <f>'XL-TEST'!F9</f>
        <v>Ekonomi</v>
      </c>
      <c r="F5" t="str">
        <f>UPPER('XL-TEST'!G9)</f>
        <v>BOGOR</v>
      </c>
      <c r="G5">
        <f>'XL-TEST'!I9</f>
        <v>0</v>
      </c>
      <c r="H5">
        <f>'XL-TEST'!J9</f>
        <v>7000000</v>
      </c>
      <c r="I5">
        <f>'XL-TEST'!K9</f>
        <v>7000000</v>
      </c>
      <c r="P5">
        <v>4</v>
      </c>
      <c r="Q5" t="str">
        <f ca="1">T2</f>
        <v>=IF(H6&gt;3,5;15%;IF(H6&gt;2,5;5%;0%))</v>
      </c>
    </row>
    <row r="6" spans="1:22" x14ac:dyDescent="0.25">
      <c r="C6">
        <v>5</v>
      </c>
      <c r="D6">
        <f>'XL-TEST'!E10</f>
        <v>2015</v>
      </c>
      <c r="E6" t="str">
        <f>'XL-TEST'!F10</f>
        <v>Arsitek</v>
      </c>
      <c r="F6" t="str">
        <f>UPPER('XL-TEST'!G10)</f>
        <v>BEKASI</v>
      </c>
      <c r="G6">
        <f>'XL-TEST'!I10</f>
        <v>0.15</v>
      </c>
      <c r="H6">
        <f>'XL-TEST'!J10</f>
        <v>7000000</v>
      </c>
      <c r="I6">
        <f>'XL-TEST'!K10</f>
        <v>5950000</v>
      </c>
      <c r="P6">
        <v>5</v>
      </c>
      <c r="Q6" t="str">
        <f ca="1">U2</f>
        <v>=IF(E6=2013;5000000;IF(E6=2014;6000000;7000000))</v>
      </c>
    </row>
    <row r="7" spans="1:22" x14ac:dyDescent="0.25">
      <c r="C7">
        <v>6</v>
      </c>
      <c r="D7">
        <f>'XL-TEST'!E11</f>
        <v>2014</v>
      </c>
      <c r="E7" t="str">
        <f>'XL-TEST'!F11</f>
        <v>Sosial Politik</v>
      </c>
      <c r="F7" t="str">
        <f>UPPER('XL-TEST'!G11)</f>
        <v>BOGOR</v>
      </c>
      <c r="G7">
        <f>'XL-TEST'!I11</f>
        <v>0.05</v>
      </c>
      <c r="H7">
        <f>'XL-TEST'!J11</f>
        <v>6000000</v>
      </c>
      <c r="I7">
        <f>'XL-TEST'!K11</f>
        <v>5700000</v>
      </c>
      <c r="P7">
        <v>6</v>
      </c>
      <c r="Q7" t="str">
        <f ca="1">V2</f>
        <v>=J6-(J6*I6)</v>
      </c>
    </row>
    <row r="8" spans="1:22" x14ac:dyDescent="0.25">
      <c r="C8">
        <v>7</v>
      </c>
      <c r="D8">
        <f>'XL-TEST'!E12</f>
        <v>2015</v>
      </c>
      <c r="E8" t="str">
        <f>'XL-TEST'!F12</f>
        <v>Teknik Sipil</v>
      </c>
      <c r="F8" t="str">
        <f>UPPER('XL-TEST'!G12)</f>
        <v>BOGOR</v>
      </c>
      <c r="G8">
        <f>'XL-TEST'!I12</f>
        <v>0.05</v>
      </c>
      <c r="H8">
        <f>'XL-TEST'!J12</f>
        <v>7000000</v>
      </c>
      <c r="I8">
        <f>'XL-TEST'!K12</f>
        <v>6650000</v>
      </c>
    </row>
    <row r="9" spans="1:22" x14ac:dyDescent="0.25">
      <c r="C9">
        <v>8</v>
      </c>
      <c r="D9">
        <f>'XL-TEST'!E13</f>
        <v>2013</v>
      </c>
      <c r="E9" t="str">
        <f>'XL-TEST'!F13</f>
        <v>Ekonomi</v>
      </c>
      <c r="F9" t="str">
        <f>UPPER('XL-TEST'!G13)</f>
        <v>BOGOR</v>
      </c>
      <c r="G9">
        <f>'XL-TEST'!I13</f>
        <v>0</v>
      </c>
      <c r="H9">
        <f>'XL-TEST'!J13</f>
        <v>5000000</v>
      </c>
      <c r="I9">
        <f>'XL-TEST'!K13</f>
        <v>5000000</v>
      </c>
    </row>
    <row r="10" spans="1:22" x14ac:dyDescent="0.25">
      <c r="C10">
        <v>9</v>
      </c>
      <c r="D10">
        <f>'XL-TEST'!E14</f>
        <v>2015</v>
      </c>
      <c r="E10" t="str">
        <f>'XL-TEST'!F14</f>
        <v>Hukum</v>
      </c>
      <c r="F10" t="str">
        <f>UPPER('XL-TEST'!G14)</f>
        <v>DEPOK</v>
      </c>
      <c r="G10">
        <f>'XL-TEST'!I14</f>
        <v>0.05</v>
      </c>
      <c r="H10">
        <f>'XL-TEST'!J14</f>
        <v>7000000</v>
      </c>
      <c r="I10">
        <f>'XL-TEST'!K14</f>
        <v>6650000</v>
      </c>
    </row>
    <row r="11" spans="1:22" x14ac:dyDescent="0.25">
      <c r="C11">
        <v>10</v>
      </c>
      <c r="D11">
        <f>'XL-TEST'!E15</f>
        <v>2014</v>
      </c>
      <c r="E11" t="str">
        <f>'XL-TEST'!F15</f>
        <v>Arsitek</v>
      </c>
      <c r="F11" t="str">
        <f>UPPER('XL-TEST'!G15)</f>
        <v>BEKASI</v>
      </c>
      <c r="G11">
        <f>'XL-TEST'!I15</f>
        <v>0.05</v>
      </c>
      <c r="H11">
        <f>'XL-TEST'!J15</f>
        <v>6000000</v>
      </c>
      <c r="I11">
        <f>'XL-TEST'!K15</f>
        <v>5700000</v>
      </c>
    </row>
    <row r="13" spans="1:22" x14ac:dyDescent="0.25">
      <c r="C13" t="s">
        <v>68</v>
      </c>
      <c r="D13">
        <f>SUM(D2:D11)+D3+D5+D7+D9+D11</f>
        <v>30213</v>
      </c>
      <c r="E13">
        <f>CODE(LEFT(E2))+CODE(LEFT(E3))+CODE(LEFT(E4))+CODE(LEFT(E5))+CODE(LEFT(E6))+CODE(LEFT(E7))+CODE(LEFT(E8))+CODE(LEFT(E9))+CODE(LEFT(E10))+CODE(LEFT(E11))+
CODE(MID(E2,2,1))+CODE(MID(E3,2,1))+CODE(MID(E4,2,1))+CODE(MID(E5,2,1))+CODE(MID(E6,2,1))+CODE(MID(E7,2,1))+CODE(MID(E8,2,1))+CODE(MID(E9,2,1))+CODE(MID(E10,2,1))+CODE(MID(E11,2,1))+
CODE(RIGHT(E2))+CODE(RIGHT(E3))+CODE(RIGHT(E4))+CODE(RIGHT(E5))+CODE(RIGHT(E6))+CODE(RIGHT(E7))+CODE(RIGHT(E8))+CODE(RIGHT(E9))+CODE(RIGHT(E10))+CODE(RIGHT(E11))</f>
        <v>2898</v>
      </c>
      <c r="F13">
        <f>CODE(LEFT(F2))+CODE(LEFT(F3))+CODE(LEFT(F4))+CODE(LEFT(F5))+CODE(LEFT(F6))+CODE(LEFT(F7))+CODE(LEFT(F8))+CODE(LEFT(F9))+CODE(LEFT(F10))+CODE(LEFT(F11))+
CODE(MID(F2,2,1))+CODE(MID(F3,2,1))+CODE(MID(F4,2,1))+CODE(MID(F5,2,1))+CODE(MID(F6,2,1))+CODE(MID(F7,2,1))+CODE(MID(F8,2,1))+CODE(MID(F9,2,1))+CODE(MID(F10,2,1))+CODE(MID(F11,2,1))+
CODE(RIGHT(F2))+CODE(RIGHT(F3))+CODE(RIGHT(F4))+CODE(RIGHT(F5))+CODE(RIGHT(F6))+CODE(RIGHT(F7))+CODE(RIGHT(F8))+CODE(RIGHT(F9))+CODE(RIGHT(F10))+CODE(RIGHT(F11))</f>
        <v>2168</v>
      </c>
      <c r="G13">
        <f>(SUM(G2:G11)+G3+G5+G7+G9+G11)*10000</f>
        <v>7500.0000000000018</v>
      </c>
      <c r="H13">
        <f>(SUM(H2:H11)+H3+H5+H7+H9+H11)/1000</f>
        <v>93000</v>
      </c>
      <c r="I13">
        <f>(SUM(I2:I11)+I3+I5+I7+I9+I11)/1000</f>
        <v>88150</v>
      </c>
    </row>
    <row r="14" spans="1:22" x14ac:dyDescent="0.25">
      <c r="C14" t="s">
        <v>80</v>
      </c>
      <c r="D14">
        <v>3369</v>
      </c>
      <c r="E14">
        <v>8648</v>
      </c>
      <c r="F14">
        <v>5639</v>
      </c>
      <c r="G14">
        <v>8912</v>
      </c>
      <c r="H14">
        <v>2592</v>
      </c>
      <c r="I14">
        <v>3896</v>
      </c>
    </row>
    <row r="16" spans="1:22" x14ac:dyDescent="0.25">
      <c r="C16" t="s">
        <v>71</v>
      </c>
      <c r="D16" t="b">
        <f ca="1">AND(ISNUMBER(FIND("=",Q2)),ISNUMBER(FIND("6",Q2)))</f>
        <v>1</v>
      </c>
      <c r="E16" t="b">
        <f t="shared" ref="E16:I16" ca="1" si="0">AND(ISNUMBER(FIND("=",R2)),ISNUMBER(FIND("6",R2)))</f>
        <v>1</v>
      </c>
      <c r="F16" t="b">
        <f t="shared" ca="1" si="0"/>
        <v>1</v>
      </c>
      <c r="G16" t="b">
        <f t="shared" ca="1" si="0"/>
        <v>1</v>
      </c>
      <c r="H16" t="b">
        <f t="shared" ca="1" si="0"/>
        <v>1</v>
      </c>
      <c r="I16" t="b">
        <f t="shared" ca="1" si="0"/>
        <v>1</v>
      </c>
    </row>
    <row r="17" spans="2:9" x14ac:dyDescent="0.25">
      <c r="C17" t="s">
        <v>69</v>
      </c>
      <c r="D17" t="b">
        <f>ISNUMBER(D2)</f>
        <v>1</v>
      </c>
      <c r="E17" t="b">
        <f>ISTEXT(E2)</f>
        <v>1</v>
      </c>
      <c r="F17" t="b">
        <f>ISTEXT(F2)</f>
        <v>1</v>
      </c>
      <c r="G17" t="b">
        <f>ISNUMBER(G2)</f>
        <v>1</v>
      </c>
      <c r="H17" t="b">
        <f t="shared" ref="H17:I17" si="1">ISNUMBER(H2)</f>
        <v>1</v>
      </c>
      <c r="I17" t="b">
        <f t="shared" si="1"/>
        <v>1</v>
      </c>
    </row>
    <row r="18" spans="2:9" x14ac:dyDescent="0.25">
      <c r="C18" t="s">
        <v>70</v>
      </c>
      <c r="D18">
        <f ca="1">IFERROR(LEN(Q2)-LEN(SUBSTITUTE(Q2,"(","")),99)</f>
        <v>2</v>
      </c>
      <c r="E18">
        <f t="shared" ref="E18:I18" ca="1" si="2">IFERROR(LEN(R2)-LEN(SUBSTITUTE(R2,"(","")),99)</f>
        <v>2</v>
      </c>
      <c r="F18">
        <f t="shared" ca="1" si="2"/>
        <v>4</v>
      </c>
      <c r="G18">
        <f t="shared" ca="1" si="2"/>
        <v>2</v>
      </c>
      <c r="H18">
        <f t="shared" ca="1" si="2"/>
        <v>2</v>
      </c>
      <c r="I18">
        <f t="shared" ca="1" si="2"/>
        <v>1</v>
      </c>
    </row>
    <row r="19" spans="2:9" x14ac:dyDescent="0.25">
      <c r="D19">
        <v>2</v>
      </c>
      <c r="E19">
        <v>2</v>
      </c>
      <c r="F19">
        <v>6</v>
      </c>
      <c r="G19">
        <v>3</v>
      </c>
      <c r="H19">
        <v>3</v>
      </c>
      <c r="I19">
        <v>1</v>
      </c>
    </row>
    <row r="20" spans="2:9" x14ac:dyDescent="0.25">
      <c r="D20" t="b">
        <f ca="1">D18&lt;=D19</f>
        <v>1</v>
      </c>
      <c r="E20" t="b">
        <f t="shared" ref="E20:I20" ca="1" si="3">E18&lt;=E19</f>
        <v>1</v>
      </c>
      <c r="F20" t="b">
        <f t="shared" ca="1" si="3"/>
        <v>1</v>
      </c>
      <c r="G20" t="b">
        <f t="shared" ca="1" si="3"/>
        <v>1</v>
      </c>
      <c r="H20" t="b">
        <f t="shared" ca="1" si="3"/>
        <v>1</v>
      </c>
      <c r="I20" t="b">
        <f t="shared" ca="1" si="3"/>
        <v>1</v>
      </c>
    </row>
    <row r="21" spans="2:9" x14ac:dyDescent="0.25">
      <c r="C21" t="s">
        <v>72</v>
      </c>
      <c r="D21" t="b">
        <f>NOT(OR(D2=0,D2=""))</f>
        <v>1</v>
      </c>
      <c r="E21" t="b">
        <f t="shared" ref="E21:I21" si="4">NOT(OR(E2=0,E2=""))</f>
        <v>1</v>
      </c>
      <c r="F21" t="b">
        <f t="shared" si="4"/>
        <v>1</v>
      </c>
      <c r="G21" t="b">
        <f t="shared" si="4"/>
        <v>1</v>
      </c>
      <c r="H21" t="b">
        <f t="shared" si="4"/>
        <v>1</v>
      </c>
      <c r="I21" t="b">
        <f t="shared" si="4"/>
        <v>1</v>
      </c>
    </row>
    <row r="23" spans="2:9" x14ac:dyDescent="0.25">
      <c r="B23" t="s">
        <v>74</v>
      </c>
      <c r="C23" t="s">
        <v>73</v>
      </c>
      <c r="D23" t="b">
        <f ca="1">AND(D21,D20,D17,D16)</f>
        <v>1</v>
      </c>
      <c r="E23" t="b">
        <f t="shared" ref="E23:I23" ca="1" si="5">AND(E21,E20,E17,E16)</f>
        <v>1</v>
      </c>
      <c r="F23" t="b">
        <f t="shared" ca="1" si="5"/>
        <v>1</v>
      </c>
      <c r="G23" t="b">
        <f t="shared" ca="1" si="5"/>
        <v>1</v>
      </c>
      <c r="H23" t="b">
        <f t="shared" ca="1" si="5"/>
        <v>1</v>
      </c>
      <c r="I23" t="b">
        <f t="shared" ca="1" si="5"/>
        <v>1</v>
      </c>
    </row>
    <row r="26" spans="2:9" x14ac:dyDescent="0.25">
      <c r="C26" t="s">
        <v>75</v>
      </c>
      <c r="D26" t="b">
        <f ca="1">(ISNUMBER(FIND("MID",Q2)))</f>
        <v>1</v>
      </c>
      <c r="E26" t="b">
        <f ca="1">AND(ISNUMBER(FIND("LOOK",R2)),OR(ISNUMBER(FIND("LEFT",R2)),ISNUMBER(FIND("MID",R2))))</f>
        <v>1</v>
      </c>
      <c r="F26" t="b">
        <f ca="1">AND((ISNUMBER(FIND("RIGHT",S2))),OR((ISNUMBER(FIND("IF",S2))),(ISNUMBER(FIND("SWI",S2))),(ISNUMBER(FIND("CHOO",S2)))))</f>
        <v>1</v>
      </c>
      <c r="G26" t="b">
        <f ca="1">(ISNUMBER(FIND("IF",T2)))</f>
        <v>1</v>
      </c>
      <c r="H26" t="b">
        <f ca="1">(ISNUMBER(FIND("IF",U2)))</f>
        <v>1</v>
      </c>
      <c r="I26" t="b">
        <f ca="1">(ISNUMBER(FIND("*",V2)))</f>
        <v>1</v>
      </c>
    </row>
    <row r="27" spans="2:9" x14ac:dyDescent="0.25">
      <c r="C27" t="s">
        <v>76</v>
      </c>
      <c r="D27" t="b">
        <f ca="1">OR(D34,D36)</f>
        <v>1</v>
      </c>
      <c r="E27" t="b">
        <f t="shared" ref="E27:I27" ca="1" si="6">OR(E34,E36)</f>
        <v>1</v>
      </c>
      <c r="F27" t="b">
        <f t="shared" ca="1" si="6"/>
        <v>1</v>
      </c>
      <c r="G27" t="b">
        <f t="shared" ca="1" si="6"/>
        <v>1</v>
      </c>
      <c r="H27" t="b">
        <f t="shared" ca="1" si="6"/>
        <v>1</v>
      </c>
      <c r="I27" t="b">
        <f t="shared" ca="1" si="6"/>
        <v>1</v>
      </c>
    </row>
    <row r="28" spans="2:9" x14ac:dyDescent="0.25">
      <c r="B28">
        <v>1</v>
      </c>
      <c r="C28">
        <v>6</v>
      </c>
      <c r="D28">
        <f ca="1">IFERROR(LEN(_xlfn.FORMULATEXT('XL-TEST'!E6)),0)</f>
        <v>19</v>
      </c>
      <c r="E28">
        <f ca="1">IFERROR(LEN(_xlfn.FORMULATEXT('XL-TEST'!F6)),0)</f>
        <v>36</v>
      </c>
      <c r="F28">
        <f ca="1">IFERROR(LEN(_xlfn.FORMULATEXT('XL-TEST'!G6)),0)</f>
        <v>65</v>
      </c>
      <c r="G28">
        <f ca="1">IFERROR(LEN(_xlfn.FORMULATEXT('XL-TEST'!I6)),0)</f>
        <v>32</v>
      </c>
      <c r="H28">
        <f ca="1">IFERROR(LEN(_xlfn.FORMULATEXT('XL-TEST'!J6)),0)</f>
        <v>48</v>
      </c>
      <c r="I28">
        <f ca="1">IFERROR(LEN(_xlfn.FORMULATEXT('XL-TEST'!K6)),0)</f>
        <v>11</v>
      </c>
    </row>
    <row r="29" spans="2:9" x14ac:dyDescent="0.25">
      <c r="B29">
        <v>2</v>
      </c>
      <c r="C29">
        <v>7</v>
      </c>
      <c r="D29">
        <f ca="1">IFERROR(LEN(_xlfn.FORMULATEXT('XL-TEST'!E7)),0)</f>
        <v>19</v>
      </c>
      <c r="E29">
        <f ca="1">IFERROR(LEN(_xlfn.FORMULATEXT('XL-TEST'!F7)),0)</f>
        <v>36</v>
      </c>
      <c r="F29">
        <f ca="1">IFERROR(LEN(_xlfn.FORMULATEXT('XL-TEST'!G7)),0)</f>
        <v>65</v>
      </c>
      <c r="G29">
        <f ca="1">IFERROR(LEN(_xlfn.FORMULATEXT('XL-TEST'!I7)),0)</f>
        <v>32</v>
      </c>
      <c r="H29">
        <f ca="1">IFERROR(LEN(_xlfn.FORMULATEXT('XL-TEST'!J7)),0)</f>
        <v>48</v>
      </c>
      <c r="I29">
        <f ca="1">IFERROR(LEN(_xlfn.FORMULATEXT('XL-TEST'!K7)),0)</f>
        <v>11</v>
      </c>
    </row>
    <row r="30" spans="2:9" x14ac:dyDescent="0.25">
      <c r="B30">
        <v>3</v>
      </c>
      <c r="C30">
        <v>8</v>
      </c>
      <c r="D30">
        <f ca="1">IFERROR(LEN(_xlfn.FORMULATEXT('XL-TEST'!E8)),0)</f>
        <v>19</v>
      </c>
      <c r="E30">
        <f ca="1">IFERROR(LEN(_xlfn.FORMULATEXT('XL-TEST'!F8)),0)</f>
        <v>36</v>
      </c>
      <c r="F30">
        <f ca="1">IFERROR(LEN(_xlfn.FORMULATEXT('XL-TEST'!G8)),0)</f>
        <v>65</v>
      </c>
      <c r="G30">
        <f ca="1">IFERROR(LEN(_xlfn.FORMULATEXT('XL-TEST'!I8)),0)</f>
        <v>32</v>
      </c>
      <c r="H30">
        <f ca="1">IFERROR(LEN(_xlfn.FORMULATEXT('XL-TEST'!J8)),0)</f>
        <v>48</v>
      </c>
      <c r="I30">
        <f ca="1">IFERROR(LEN(_xlfn.FORMULATEXT('XL-TEST'!K8)),0)</f>
        <v>11</v>
      </c>
    </row>
    <row r="31" spans="2:9" x14ac:dyDescent="0.25">
      <c r="B31">
        <v>4</v>
      </c>
      <c r="C31">
        <v>9</v>
      </c>
      <c r="D31">
        <f ca="1">IFERROR(LEN(_xlfn.FORMULATEXT('XL-TEST'!E9)),0)</f>
        <v>19</v>
      </c>
      <c r="E31">
        <f ca="1">IFERROR(LEN(_xlfn.FORMULATEXT('XL-TEST'!F9)),0)</f>
        <v>36</v>
      </c>
      <c r="F31">
        <f ca="1">IFERROR(LEN(_xlfn.FORMULATEXT('XL-TEST'!G9)),0)</f>
        <v>65</v>
      </c>
      <c r="G31">
        <f ca="1">IFERROR(LEN(_xlfn.FORMULATEXT('XL-TEST'!I9)),0)</f>
        <v>32</v>
      </c>
      <c r="H31">
        <f ca="1">IFERROR(LEN(_xlfn.FORMULATEXT('XL-TEST'!J9)),0)</f>
        <v>48</v>
      </c>
      <c r="I31">
        <f ca="1">IFERROR(LEN(_xlfn.FORMULATEXT('XL-TEST'!K9)),0)</f>
        <v>11</v>
      </c>
    </row>
    <row r="33" spans="2:14" x14ac:dyDescent="0.25">
      <c r="D33">
        <f ca="1">AVERAGE(D28:D31)</f>
        <v>19</v>
      </c>
      <c r="E33">
        <f t="shared" ref="E33:I33" ca="1" si="7">AVERAGE(E28:E31)</f>
        <v>36</v>
      </c>
      <c r="F33">
        <f t="shared" ca="1" si="7"/>
        <v>65</v>
      </c>
      <c r="G33">
        <f t="shared" ca="1" si="7"/>
        <v>32</v>
      </c>
      <c r="H33">
        <f t="shared" ca="1" si="7"/>
        <v>48</v>
      </c>
      <c r="I33">
        <f t="shared" ca="1" si="7"/>
        <v>11</v>
      </c>
    </row>
    <row r="34" spans="2:14" x14ac:dyDescent="0.25">
      <c r="C34" t="s">
        <v>77</v>
      </c>
      <c r="D34" t="b">
        <f ca="1">D33=D28</f>
        <v>1</v>
      </c>
      <c r="E34" t="b">
        <f t="shared" ref="E34:I34" ca="1" si="8">E33=E28</f>
        <v>1</v>
      </c>
      <c r="F34" t="b">
        <f t="shared" ca="1" si="8"/>
        <v>1</v>
      </c>
      <c r="G34" t="b">
        <f t="shared" ca="1" si="8"/>
        <v>1</v>
      </c>
      <c r="H34" t="b">
        <f t="shared" ca="1" si="8"/>
        <v>1</v>
      </c>
      <c r="I34" t="b">
        <f t="shared" ca="1" si="8"/>
        <v>1</v>
      </c>
    </row>
    <row r="36" spans="2:14" x14ac:dyDescent="0.25">
      <c r="C36" t="s">
        <v>78</v>
      </c>
      <c r="D36" t="b">
        <f ca="1">AND(D28&gt;0,D31=0,D5&gt;0)</f>
        <v>0</v>
      </c>
      <c r="E36" t="b">
        <f t="shared" ref="E36:I36" ca="1" si="9">AND(E28&gt;0,E31=0,E5&gt;0)</f>
        <v>0</v>
      </c>
      <c r="F36" t="b">
        <f t="shared" ca="1" si="9"/>
        <v>0</v>
      </c>
      <c r="G36" t="b">
        <f t="shared" ca="1" si="9"/>
        <v>0</v>
      </c>
      <c r="H36" t="b">
        <f t="shared" ca="1" si="9"/>
        <v>0</v>
      </c>
      <c r="I36" t="b">
        <f t="shared" ca="1" si="9"/>
        <v>0</v>
      </c>
    </row>
    <row r="38" spans="2:14" x14ac:dyDescent="0.25">
      <c r="B38" t="s">
        <v>74</v>
      </c>
      <c r="C38" t="s">
        <v>79</v>
      </c>
      <c r="D38" t="b">
        <f ca="1">AND(D26,D27)</f>
        <v>1</v>
      </c>
      <c r="E38" t="b">
        <f t="shared" ref="E38:I38" ca="1" si="10">AND(E26,E27)</f>
        <v>1</v>
      </c>
      <c r="F38" t="b">
        <f t="shared" ca="1" si="10"/>
        <v>1</v>
      </c>
      <c r="G38" t="b">
        <f t="shared" ca="1" si="10"/>
        <v>1</v>
      </c>
      <c r="H38" t="b">
        <f t="shared" ca="1" si="10"/>
        <v>1</v>
      </c>
      <c r="I38" t="b">
        <f t="shared" ca="1" si="10"/>
        <v>1</v>
      </c>
    </row>
    <row r="40" spans="2:14" x14ac:dyDescent="0.25">
      <c r="C40" t="b">
        <v>1</v>
      </c>
      <c r="D40" t="str">
        <f>DEC2HEX(LEFT(D14,2)+COLUMN())</f>
        <v>25</v>
      </c>
      <c r="E40" t="str">
        <f t="shared" ref="E40:I40" si="11">DEC2HEX(LEFT(E14,2)+COLUMN())</f>
        <v>5B</v>
      </c>
      <c r="F40" t="str">
        <f t="shared" si="11"/>
        <v>3E</v>
      </c>
      <c r="G40" t="str">
        <f t="shared" si="11"/>
        <v>60</v>
      </c>
      <c r="H40" t="str">
        <f t="shared" si="11"/>
        <v>21</v>
      </c>
      <c r="I40" t="str">
        <f t="shared" si="11"/>
        <v>2F</v>
      </c>
    </row>
    <row r="41" spans="2:14" x14ac:dyDescent="0.25">
      <c r="C41" t="b">
        <v>0</v>
      </c>
      <c r="D41" t="str">
        <f>DEC2HEX(RIGHT(D14,2)+COLUMN())</f>
        <v>49</v>
      </c>
      <c r="E41" t="str">
        <f t="shared" ref="E41:I41" si="12">DEC2HEX(RIGHT(E14,2)+COLUMN())</f>
        <v>35</v>
      </c>
      <c r="F41" t="str">
        <f t="shared" si="12"/>
        <v>2D</v>
      </c>
      <c r="G41" t="str">
        <f t="shared" si="12"/>
        <v>13</v>
      </c>
      <c r="H41" t="str">
        <f t="shared" si="12"/>
        <v>64</v>
      </c>
      <c r="I41" t="str">
        <f t="shared" si="12"/>
        <v>69</v>
      </c>
    </row>
    <row r="43" spans="2:14" x14ac:dyDescent="0.25">
      <c r="B43" t="s">
        <v>81</v>
      </c>
      <c r="C43" t="s">
        <v>82</v>
      </c>
      <c r="D43" t="str">
        <f ca="1">IFERROR(DEC2HEX(IF(D23,D13,D14)),"EEE")</f>
        <v>7605</v>
      </c>
      <c r="E43" t="str">
        <f t="shared" ref="E43:I43" ca="1" si="13">IFERROR(DEC2HEX(IF(E23,E13,E14)),"EEE")</f>
        <v>B52</v>
      </c>
      <c r="F43" t="str">
        <f t="shared" ca="1" si="13"/>
        <v>878</v>
      </c>
      <c r="G43" t="str">
        <f t="shared" ca="1" si="13"/>
        <v>1D4C</v>
      </c>
      <c r="H43" t="str">
        <f t="shared" ca="1" si="13"/>
        <v>16B48</v>
      </c>
      <c r="I43" t="str">
        <f t="shared" ca="1" si="13"/>
        <v>15856</v>
      </c>
    </row>
    <row r="44" spans="2:14" x14ac:dyDescent="0.25">
      <c r="B44" t="s">
        <v>81</v>
      </c>
      <c r="C44" t="s">
        <v>83</v>
      </c>
      <c r="D44" t="str">
        <f ca="1">IF(D38,D40,D41)</f>
        <v>25</v>
      </c>
      <c r="E44" t="str">
        <f t="shared" ref="E44:I44" ca="1" si="14">IF(E38,E40,E41)</f>
        <v>5B</v>
      </c>
      <c r="F44" t="str">
        <f t="shared" ca="1" si="14"/>
        <v>3E</v>
      </c>
      <c r="G44" t="str">
        <f t="shared" ca="1" si="14"/>
        <v>60</v>
      </c>
      <c r="H44" t="str">
        <f t="shared" ca="1" si="14"/>
        <v>21</v>
      </c>
      <c r="I44" t="str">
        <f t="shared" ca="1" si="14"/>
        <v>2F</v>
      </c>
    </row>
    <row r="45" spans="2:14" x14ac:dyDescent="0.25">
      <c r="B45" t="s">
        <v>84</v>
      </c>
      <c r="D45" t="str">
        <f ca="1">D44&amp;"-"&amp;D43&amp;";"</f>
        <v>25-7605;</v>
      </c>
      <c r="E45" t="str">
        <f t="shared" ref="E45:H45" ca="1" si="15">E44&amp;"-"&amp;E43&amp;";"</f>
        <v>5B-B52;</v>
      </c>
      <c r="F45" t="str">
        <f t="shared" ca="1" si="15"/>
        <v>3E-878;</v>
      </c>
      <c r="G45" t="str">
        <f t="shared" ca="1" si="15"/>
        <v>60-1D4C;</v>
      </c>
      <c r="H45" t="str">
        <f t="shared" ca="1" si="15"/>
        <v>21-16B48;</v>
      </c>
      <c r="I45" t="str">
        <f ca="1">I44&amp;"-"&amp;I43</f>
        <v>2F-15856</v>
      </c>
    </row>
    <row r="46" spans="2:14" x14ac:dyDescent="0.25">
      <c r="L46" t="s">
        <v>87</v>
      </c>
      <c r="M46" t="s">
        <v>91</v>
      </c>
      <c r="N46">
        <v>45</v>
      </c>
    </row>
    <row r="47" spans="2:14" x14ac:dyDescent="0.25">
      <c r="C47" t="s">
        <v>85</v>
      </c>
      <c r="D47" t="str">
        <f ca="1">A2&amp;"|"&amp;D45&amp;E45&amp;F45&amp;G45&amp;H45&amp;I45</f>
        <v>ED1|25-7605;5B-B52;3E-878;60-1D4C;21-16B48;2F-15856</v>
      </c>
      <c r="L47" t="s">
        <v>88</v>
      </c>
      <c r="M47" t="s">
        <v>92</v>
      </c>
      <c r="N47">
        <v>49</v>
      </c>
    </row>
    <row r="48" spans="2:14" x14ac:dyDescent="0.25">
      <c r="L48" t="s">
        <v>89</v>
      </c>
      <c r="M48" t="s">
        <v>93</v>
      </c>
      <c r="N48">
        <v>42</v>
      </c>
    </row>
    <row r="49" spans="4:14" x14ac:dyDescent="0.25">
      <c r="D49" t="str">
        <f ca="1">D47</f>
        <v>ED1|25-7605;5B-B52;3E-878;60-1D4C;21-16B48;2F-15856</v>
      </c>
      <c r="L49" t="s">
        <v>90</v>
      </c>
      <c r="M49" t="s">
        <v>88</v>
      </c>
      <c r="N49">
        <v>15</v>
      </c>
    </row>
    <row r="51" spans="4:14" x14ac:dyDescent="0.25">
      <c r="D51" t="str" cm="1">
        <f t="array" aca="1" ref="D51" ca="1">INDIRECT(VLOOKUP("E",L46:N49,2,0)&amp;VLOOKUP("R",L46:N49,3,0))</f>
        <v>ED1|25-7605;5B-B52;3E-878;60-1D4C;21-16B48;2F-15856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XL-TEST</vt:lpstr>
      <vt:lpstr>About</vt:lpstr>
      <vt:lpstr>kode_jawaban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 setiadi</dc:creator>
  <cp:lastModifiedBy>Siti Rukoyah Al Munazalah</cp:lastModifiedBy>
  <dcterms:created xsi:type="dcterms:W3CDTF">2025-05-16T03:41:23Z</dcterms:created>
  <dcterms:modified xsi:type="dcterms:W3CDTF">2026-02-21T06:11:43Z</dcterms:modified>
</cp:coreProperties>
</file>